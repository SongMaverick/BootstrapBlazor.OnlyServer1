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inwad5a\documents\CAD_CENTER\Working_place\CADmanager\Drawing_26\"/>
    </mc:Choice>
  </mc:AlternateContent>
  <xr:revisionPtr revIDLastSave="0" documentId="13_ncr:1_{61CA243A-44AE-439C-ACD0-E0EF8BB9608C}" xr6:coauthVersionLast="47" xr6:coauthVersionMax="47" xr10:uidLastSave="{00000000-0000-0000-0000-000000000000}"/>
  <bookViews>
    <workbookView xWindow="-98" yWindow="-98" windowWidth="28996" windowHeight="15675" activeTab="2" xr2:uid="{E382102F-3D8F-4C97-BF49-99DFA70B7C49}"/>
  </bookViews>
  <sheets>
    <sheet name="2025 结构设计订单 " sheetId="5" r:id="rId1"/>
    <sheet name="2026结构设计订单" sheetId="7" r:id="rId2"/>
    <sheet name="问题汇总" sheetId="8" r:id="rId3"/>
    <sheet name="提图计划" sheetId="6" r:id="rId4"/>
    <sheet name="Sheet1" sheetId="9" r:id="rId5"/>
    <sheet name="出口订单" sheetId="3" state="hidden" r:id="rId6"/>
  </sheets>
  <definedNames>
    <definedName name="_xlnm._FilterDatabase" localSheetId="0" hidden="1">'2025 结构设计订单 '!$A$2:$U$136</definedName>
    <definedName name="_xlnm._FilterDatabase" localSheetId="1" hidden="1">'2026结构设计订单'!$A$2:$U$195</definedName>
    <definedName name="_xlnm._FilterDatabase" localSheetId="3" hidden="1">提图计划!$B$4:$N$61</definedName>
    <definedName name="_xlnm._FilterDatabase" localSheetId="2" hidden="1">问题汇总!$B$3:$N$100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6" l="1"/>
  <c r="G60" i="6"/>
  <c r="F60" i="6"/>
  <c r="E60" i="6"/>
  <c r="D60" i="6"/>
  <c r="C60" i="6"/>
  <c r="L60" i="6"/>
  <c r="H59" i="6"/>
  <c r="G59" i="6"/>
  <c r="F59" i="6"/>
  <c r="E59" i="6"/>
  <c r="D59" i="6"/>
  <c r="C59" i="6"/>
  <c r="N59" i="6"/>
  <c r="H58" i="6"/>
  <c r="G58" i="6"/>
  <c r="F58" i="6"/>
  <c r="E58" i="6"/>
  <c r="D58" i="6"/>
  <c r="C58" i="6"/>
  <c r="M58" i="6"/>
  <c r="H57" i="6"/>
  <c r="G57" i="6"/>
  <c r="F57" i="6"/>
  <c r="E57" i="6"/>
  <c r="D57" i="6"/>
  <c r="C57" i="6"/>
  <c r="M57" i="6"/>
  <c r="H56" i="6"/>
  <c r="G56" i="6"/>
  <c r="F56" i="6"/>
  <c r="E56" i="6"/>
  <c r="D56" i="6"/>
  <c r="C56" i="6"/>
  <c r="L56" i="6"/>
  <c r="H55" i="6"/>
  <c r="G55" i="6"/>
  <c r="F55" i="6"/>
  <c r="E55" i="6"/>
  <c r="D55" i="6"/>
  <c r="C55" i="6"/>
  <c r="N55" i="6"/>
  <c r="H54" i="6"/>
  <c r="G54" i="6"/>
  <c r="F54" i="6"/>
  <c r="E54" i="6"/>
  <c r="D54" i="6"/>
  <c r="C54" i="6"/>
  <c r="N54" i="6"/>
  <c r="H53" i="6"/>
  <c r="G53" i="6"/>
  <c r="F53" i="6"/>
  <c r="E53" i="6"/>
  <c r="D53" i="6"/>
  <c r="C53" i="6"/>
  <c r="M53" i="6"/>
  <c r="H52" i="6"/>
  <c r="G52" i="6"/>
  <c r="F52" i="6"/>
  <c r="E52" i="6"/>
  <c r="D52" i="6"/>
  <c r="C52" i="6"/>
  <c r="N52" i="6"/>
  <c r="M60" i="6"/>
  <c r="N60" i="6"/>
  <c r="I60" i="6"/>
  <c r="J60" i="6"/>
  <c r="K60" i="6"/>
  <c r="J59" i="6"/>
  <c r="K59" i="6"/>
  <c r="M59" i="6"/>
  <c r="I59" i="6"/>
  <c r="L59" i="6"/>
  <c r="L55" i="6"/>
  <c r="N57" i="6"/>
  <c r="I55" i="6"/>
  <c r="J55" i="6"/>
  <c r="K55" i="6"/>
  <c r="M55" i="6"/>
  <c r="I58" i="6"/>
  <c r="K58" i="6"/>
  <c r="N58" i="6"/>
  <c r="L58" i="6"/>
  <c r="J58" i="6"/>
  <c r="I57" i="6"/>
  <c r="J57" i="6"/>
  <c r="K57" i="6"/>
  <c r="L57" i="6"/>
  <c r="J56" i="6"/>
  <c r="M56" i="6"/>
  <c r="I56" i="6"/>
  <c r="K56" i="6"/>
  <c r="N56" i="6"/>
  <c r="M52" i="6"/>
  <c r="I54" i="6"/>
  <c r="J54" i="6"/>
  <c r="K54" i="6"/>
  <c r="L54" i="6"/>
  <c r="M54" i="6"/>
  <c r="I53" i="6"/>
  <c r="J53" i="6"/>
  <c r="N53" i="6"/>
  <c r="K53" i="6"/>
  <c r="L53" i="6"/>
  <c r="I52" i="6"/>
  <c r="J52" i="6"/>
  <c r="K52" i="6"/>
  <c r="L52" i="6"/>
  <c r="H51" i="6"/>
  <c r="G51" i="6"/>
  <c r="F51" i="6"/>
  <c r="E51" i="6"/>
  <c r="D51" i="6"/>
  <c r="C51" i="6"/>
  <c r="N51" i="6"/>
  <c r="N61" i="6"/>
  <c r="H50" i="6"/>
  <c r="G50" i="6"/>
  <c r="F50" i="6"/>
  <c r="E50" i="6"/>
  <c r="D50" i="6"/>
  <c r="C50" i="6"/>
  <c r="N50" i="6"/>
  <c r="H49" i="6"/>
  <c r="G49" i="6"/>
  <c r="F49" i="6"/>
  <c r="E49" i="6"/>
  <c r="D49" i="6"/>
  <c r="C49" i="6"/>
  <c r="J49" i="6"/>
  <c r="H48" i="6"/>
  <c r="G48" i="6"/>
  <c r="F48" i="6"/>
  <c r="E48" i="6"/>
  <c r="D48" i="6"/>
  <c r="C48" i="6"/>
  <c r="N48" i="6"/>
  <c r="H47" i="6"/>
  <c r="G47" i="6"/>
  <c r="F47" i="6"/>
  <c r="E47" i="6"/>
  <c r="D47" i="6"/>
  <c r="C47" i="6"/>
  <c r="N47" i="6"/>
  <c r="H44" i="6"/>
  <c r="G44" i="6"/>
  <c r="F44" i="6"/>
  <c r="E44" i="6"/>
  <c r="D44" i="6"/>
  <c r="C44" i="6"/>
  <c r="N44" i="6"/>
  <c r="H42" i="6"/>
  <c r="G42" i="6"/>
  <c r="F42" i="6"/>
  <c r="E42" i="6"/>
  <c r="D42" i="6"/>
  <c r="C42" i="6"/>
  <c r="I42" i="6"/>
  <c r="H41" i="6"/>
  <c r="G41" i="6"/>
  <c r="F41" i="6"/>
  <c r="E41" i="6"/>
  <c r="D41" i="6"/>
  <c r="C41" i="6"/>
  <c r="N41" i="6"/>
  <c r="H38" i="6"/>
  <c r="G38" i="6"/>
  <c r="F38" i="6"/>
  <c r="E38" i="6"/>
  <c r="D38" i="6"/>
  <c r="C38" i="6"/>
  <c r="N38" i="6"/>
  <c r="H36" i="6"/>
  <c r="G36" i="6"/>
  <c r="F36" i="6"/>
  <c r="E36" i="6"/>
  <c r="D36" i="6"/>
  <c r="C36" i="6"/>
  <c r="M36" i="6"/>
  <c r="H34" i="6"/>
  <c r="G34" i="6"/>
  <c r="F34" i="6"/>
  <c r="E34" i="6"/>
  <c r="D34" i="6"/>
  <c r="C34" i="6"/>
  <c r="N34" i="6"/>
  <c r="H32" i="6"/>
  <c r="G32" i="6"/>
  <c r="F32" i="6"/>
  <c r="E32" i="6"/>
  <c r="D32" i="6"/>
  <c r="C32" i="6"/>
  <c r="N32" i="6"/>
  <c r="H30" i="6"/>
  <c r="G30" i="6"/>
  <c r="F30" i="6"/>
  <c r="E30" i="6"/>
  <c r="D30" i="6"/>
  <c r="C30" i="6"/>
  <c r="N30" i="6"/>
  <c r="H29" i="6"/>
  <c r="G29" i="6"/>
  <c r="F29" i="6"/>
  <c r="E29" i="6"/>
  <c r="D29" i="6"/>
  <c r="C29" i="6"/>
  <c r="N29" i="6"/>
  <c r="H28" i="6"/>
  <c r="G28" i="6"/>
  <c r="F28" i="6"/>
  <c r="E28" i="6"/>
  <c r="D28" i="6"/>
  <c r="C28" i="6"/>
  <c r="N28" i="6"/>
  <c r="H24" i="6"/>
  <c r="G24" i="6"/>
  <c r="F24" i="6"/>
  <c r="E24" i="6"/>
  <c r="D24" i="6"/>
  <c r="C24" i="6"/>
  <c r="N24" i="6"/>
  <c r="H20" i="6"/>
  <c r="G20" i="6"/>
  <c r="F20" i="6"/>
  <c r="E20" i="6"/>
  <c r="D20" i="6"/>
  <c r="C20" i="6"/>
  <c r="J20" i="6"/>
  <c r="H19" i="6"/>
  <c r="G19" i="6"/>
  <c r="F19" i="6"/>
  <c r="E19" i="6"/>
  <c r="D19" i="6"/>
  <c r="C19" i="6"/>
  <c r="I19" i="6"/>
  <c r="H18" i="6"/>
  <c r="G18" i="6"/>
  <c r="F18" i="6"/>
  <c r="E18" i="6"/>
  <c r="D18" i="6"/>
  <c r="C18" i="6"/>
  <c r="I18" i="6"/>
  <c r="H17" i="6"/>
  <c r="G17" i="6"/>
  <c r="F17" i="6"/>
  <c r="E17" i="6"/>
  <c r="D17" i="6"/>
  <c r="C17" i="6"/>
  <c r="N17" i="6"/>
  <c r="H16" i="6"/>
  <c r="G16" i="6"/>
  <c r="F16" i="6"/>
  <c r="E16" i="6"/>
  <c r="D16" i="6"/>
  <c r="C16" i="6"/>
  <c r="L16" i="6"/>
  <c r="H15" i="6"/>
  <c r="G15" i="6"/>
  <c r="F15" i="6"/>
  <c r="E15" i="6"/>
  <c r="D15" i="6"/>
  <c r="C15" i="6"/>
  <c r="I15" i="6"/>
  <c r="H14" i="6"/>
  <c r="G14" i="6"/>
  <c r="F14" i="6"/>
  <c r="E14" i="6"/>
  <c r="D14" i="6"/>
  <c r="C14" i="6"/>
  <c r="I14" i="6"/>
  <c r="H13" i="6"/>
  <c r="G13" i="6"/>
  <c r="F13" i="6"/>
  <c r="E13" i="6"/>
  <c r="D13" i="6"/>
  <c r="C13" i="6"/>
  <c r="N13" i="6"/>
  <c r="H12" i="6"/>
  <c r="G12" i="6"/>
  <c r="F12" i="6"/>
  <c r="E12" i="6"/>
  <c r="D12" i="6"/>
  <c r="C12" i="6"/>
  <c r="K12" i="6"/>
  <c r="H11" i="6"/>
  <c r="G11" i="6"/>
  <c r="F11" i="6"/>
  <c r="E11" i="6"/>
  <c r="D11" i="6"/>
  <c r="C11" i="6"/>
  <c r="M11" i="6"/>
  <c r="H10" i="6"/>
  <c r="G10" i="6"/>
  <c r="F10" i="6"/>
  <c r="E10" i="6"/>
  <c r="D10" i="6"/>
  <c r="C10" i="6"/>
  <c r="I10" i="6"/>
  <c r="H9" i="6"/>
  <c r="G9" i="6"/>
  <c r="F9" i="6"/>
  <c r="E9" i="6"/>
  <c r="D9" i="6"/>
  <c r="C9" i="6"/>
  <c r="K9" i="6"/>
  <c r="H8" i="6"/>
  <c r="G8" i="6"/>
  <c r="F8" i="6"/>
  <c r="E8" i="6"/>
  <c r="D8" i="6"/>
  <c r="C8" i="6"/>
  <c r="I8" i="6"/>
  <c r="H7" i="6"/>
  <c r="G7" i="6"/>
  <c r="F7" i="6"/>
  <c r="E7" i="6"/>
  <c r="D7" i="6"/>
  <c r="C7" i="6"/>
  <c r="K7" i="6"/>
  <c r="H6" i="6"/>
  <c r="G6" i="6"/>
  <c r="F6" i="6"/>
  <c r="E6" i="6"/>
  <c r="D6" i="6"/>
  <c r="C6" i="6"/>
  <c r="J6" i="6"/>
  <c r="H5" i="6"/>
  <c r="G5" i="6"/>
  <c r="F5" i="6"/>
  <c r="E5" i="6"/>
  <c r="D5" i="6"/>
  <c r="C5" i="6"/>
  <c r="I5" i="6"/>
  <c r="J42" i="6"/>
  <c r="I36" i="6"/>
  <c r="J36" i="6"/>
  <c r="K42" i="6"/>
  <c r="K36" i="6"/>
  <c r="N36" i="6"/>
  <c r="L42" i="6"/>
  <c r="M42" i="6"/>
  <c r="N42" i="6"/>
  <c r="I47" i="6"/>
  <c r="K47" i="6"/>
  <c r="L47" i="6"/>
  <c r="J47" i="6"/>
  <c r="M47" i="6"/>
  <c r="L36" i="6"/>
  <c r="I51" i="6"/>
  <c r="K51" i="6"/>
  <c r="J51" i="6"/>
  <c r="L51" i="6"/>
  <c r="M51" i="6"/>
  <c r="K61" i="6"/>
  <c r="L61" i="6"/>
  <c r="M61" i="6"/>
  <c r="J50" i="6"/>
  <c r="I50" i="6"/>
  <c r="K50" i="6"/>
  <c r="L50" i="6"/>
  <c r="M50" i="6"/>
  <c r="I49" i="6"/>
  <c r="K49" i="6"/>
  <c r="M49" i="6"/>
  <c r="L49" i="6"/>
  <c r="N49" i="6"/>
  <c r="I48" i="6"/>
  <c r="L48" i="6"/>
  <c r="M48" i="6"/>
  <c r="J48" i="6"/>
  <c r="K48" i="6"/>
  <c r="J44" i="6"/>
  <c r="K44" i="6"/>
  <c r="M44" i="6"/>
  <c r="I44" i="6"/>
  <c r="L44" i="6"/>
  <c r="I41" i="6"/>
  <c r="J41" i="6"/>
  <c r="K41" i="6"/>
  <c r="L41" i="6"/>
  <c r="M41" i="6"/>
  <c r="M38" i="6"/>
  <c r="I38" i="6"/>
  <c r="J38" i="6"/>
  <c r="K38" i="6"/>
  <c r="L38" i="6"/>
  <c r="I34" i="6"/>
  <c r="K34" i="6"/>
  <c r="M34" i="6"/>
  <c r="J34" i="6"/>
  <c r="L34" i="6"/>
  <c r="J32" i="6"/>
  <c r="K32" i="6"/>
  <c r="M32" i="6"/>
  <c r="I32" i="6"/>
  <c r="L32" i="6"/>
  <c r="J30" i="6"/>
  <c r="M30" i="6"/>
  <c r="I30" i="6"/>
  <c r="L30" i="6"/>
  <c r="K30" i="6"/>
  <c r="I29" i="6"/>
  <c r="J29" i="6"/>
  <c r="K29" i="6"/>
  <c r="L29" i="6"/>
  <c r="M29" i="6"/>
  <c r="J28" i="6"/>
  <c r="M28" i="6"/>
  <c r="I28" i="6"/>
  <c r="K28" i="6"/>
  <c r="L28" i="6"/>
  <c r="I24" i="6"/>
  <c r="J24" i="6"/>
  <c r="K24" i="6"/>
  <c r="L24" i="6"/>
  <c r="M24" i="6"/>
  <c r="L17" i="6"/>
  <c r="K10" i="6"/>
  <c r="L20" i="6"/>
  <c r="K20" i="6"/>
  <c r="K17" i="6"/>
  <c r="M9" i="6"/>
  <c r="M18" i="6"/>
  <c r="I11" i="6"/>
  <c r="L15" i="6"/>
  <c r="K15" i="6"/>
  <c r="L5" i="6"/>
  <c r="M20" i="6"/>
  <c r="J19" i="6"/>
  <c r="M6" i="6"/>
  <c r="J11" i="6"/>
  <c r="M15" i="6"/>
  <c r="J10" i="6"/>
  <c r="N11" i="6"/>
  <c r="K5" i="6"/>
  <c r="M5" i="6"/>
  <c r="J17" i="6"/>
  <c r="N10" i="6"/>
  <c r="J15" i="6"/>
  <c r="N9" i="6"/>
  <c r="M10" i="6"/>
  <c r="J5" i="6"/>
  <c r="J14" i="6"/>
  <c r="L14" i="6"/>
  <c r="N20" i="6"/>
  <c r="K14" i="6"/>
  <c r="N6" i="6"/>
  <c r="N15" i="6"/>
  <c r="K13" i="6"/>
  <c r="N5" i="6"/>
  <c r="L13" i="6"/>
  <c r="L11" i="6"/>
  <c r="K11" i="6"/>
  <c r="I13" i="6"/>
  <c r="L10" i="6"/>
  <c r="I12" i="6"/>
  <c r="I20" i="6"/>
  <c r="L6" i="6"/>
  <c r="I6" i="6"/>
  <c r="K6" i="6"/>
  <c r="J12" i="6"/>
  <c r="K8" i="6"/>
  <c r="M19" i="6"/>
  <c r="J7" i="6"/>
  <c r="K19" i="6"/>
  <c r="N19" i="6"/>
  <c r="L18" i="6"/>
  <c r="J9" i="6"/>
  <c r="K18" i="6"/>
  <c r="L19" i="6"/>
  <c r="J18" i="6"/>
  <c r="M14" i="6"/>
  <c r="J8" i="6"/>
  <c r="I17" i="6"/>
  <c r="L8" i="6"/>
  <c r="M8" i="6"/>
  <c r="N8" i="6"/>
  <c r="M13" i="6"/>
  <c r="J13" i="6"/>
  <c r="I16" i="6"/>
  <c r="M12" i="6"/>
  <c r="N14" i="6"/>
  <c r="N12" i="6"/>
  <c r="N7" i="6"/>
  <c r="L12" i="6"/>
  <c r="K16" i="6"/>
  <c r="N18" i="6"/>
  <c r="I9" i="6"/>
  <c r="I7" i="6"/>
  <c r="M17" i="6"/>
  <c r="L9" i="6"/>
  <c r="M16" i="6"/>
  <c r="M7" i="6"/>
  <c r="J16" i="6"/>
  <c r="L7" i="6"/>
  <c r="N16" i="6"/>
  <c r="H46" i="6"/>
  <c r="G46" i="6"/>
  <c r="F46" i="6"/>
  <c r="E46" i="6"/>
  <c r="D46" i="6"/>
  <c r="C46" i="6"/>
  <c r="H45" i="6"/>
  <c r="G45" i="6"/>
  <c r="F45" i="6"/>
  <c r="E45" i="6"/>
  <c r="D45" i="6"/>
  <c r="C45" i="6"/>
  <c r="H43" i="6"/>
  <c r="G43" i="6"/>
  <c r="F43" i="6"/>
  <c r="E43" i="6"/>
  <c r="D43" i="6"/>
  <c r="C43" i="6"/>
  <c r="H39" i="6"/>
  <c r="G39" i="6"/>
  <c r="F39" i="6"/>
  <c r="E39" i="6"/>
  <c r="D39" i="6"/>
  <c r="C39" i="6"/>
  <c r="H40" i="6"/>
  <c r="G40" i="6"/>
  <c r="F40" i="6"/>
  <c r="E40" i="6"/>
  <c r="D40" i="6"/>
  <c r="C40" i="6"/>
  <c r="H37" i="6"/>
  <c r="G37" i="6"/>
  <c r="F37" i="6"/>
  <c r="E37" i="6"/>
  <c r="D37" i="6"/>
  <c r="C37" i="6"/>
  <c r="H35" i="6"/>
  <c r="G35" i="6"/>
  <c r="F35" i="6"/>
  <c r="E35" i="6"/>
  <c r="D35" i="6"/>
  <c r="C35" i="6"/>
  <c r="H33" i="6"/>
  <c r="G33" i="6"/>
  <c r="F33" i="6"/>
  <c r="E33" i="6"/>
  <c r="D33" i="6"/>
  <c r="C33" i="6"/>
  <c r="H31" i="6"/>
  <c r="G31" i="6"/>
  <c r="F31" i="6"/>
  <c r="E31" i="6"/>
  <c r="D31" i="6"/>
  <c r="C31" i="6"/>
  <c r="H27" i="6"/>
  <c r="G27" i="6"/>
  <c r="F27" i="6"/>
  <c r="E27" i="6"/>
  <c r="D27" i="6"/>
  <c r="C27" i="6"/>
  <c r="H26" i="6"/>
  <c r="G26" i="6"/>
  <c r="F26" i="6"/>
  <c r="E26" i="6"/>
  <c r="D26" i="6"/>
  <c r="C26" i="6"/>
  <c r="H25" i="6"/>
  <c r="G25" i="6"/>
  <c r="F25" i="6"/>
  <c r="E25" i="6"/>
  <c r="D25" i="6"/>
  <c r="C25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K25" i="6"/>
  <c r="J25" i="6"/>
  <c r="I25" i="6"/>
  <c r="N25" i="6"/>
  <c r="M25" i="6"/>
  <c r="L25" i="6"/>
  <c r="M35" i="6"/>
  <c r="K35" i="6"/>
  <c r="N35" i="6"/>
  <c r="L35" i="6"/>
  <c r="J35" i="6"/>
  <c r="I35" i="6"/>
  <c r="K26" i="6"/>
  <c r="L26" i="6"/>
  <c r="J26" i="6"/>
  <c r="M26" i="6"/>
  <c r="N26" i="6"/>
  <c r="I26" i="6"/>
  <c r="N43" i="6"/>
  <c r="I43" i="6"/>
  <c r="M43" i="6"/>
  <c r="J43" i="6"/>
  <c r="K43" i="6"/>
  <c r="L43" i="6"/>
  <c r="J45" i="6"/>
  <c r="I45" i="6"/>
  <c r="L45" i="6"/>
  <c r="N45" i="6"/>
  <c r="K45" i="6"/>
  <c r="M45" i="6"/>
  <c r="J46" i="6"/>
  <c r="I46" i="6"/>
  <c r="K46" i="6"/>
  <c r="L46" i="6"/>
  <c r="N46" i="6"/>
  <c r="M46" i="6"/>
  <c r="K31" i="6"/>
  <c r="J31" i="6"/>
  <c r="L31" i="6"/>
  <c r="M31" i="6"/>
  <c r="N31" i="6"/>
  <c r="I31" i="6"/>
  <c r="N33" i="6"/>
  <c r="M33" i="6"/>
  <c r="K33" i="6"/>
  <c r="J33" i="6"/>
  <c r="L33" i="6"/>
  <c r="I33" i="6"/>
  <c r="I37" i="6"/>
  <c r="K37" i="6"/>
  <c r="J37" i="6"/>
  <c r="N37" i="6"/>
  <c r="L37" i="6"/>
  <c r="M37" i="6"/>
  <c r="J27" i="6"/>
  <c r="K27" i="6"/>
  <c r="L27" i="6"/>
  <c r="N27" i="6"/>
  <c r="M27" i="6"/>
  <c r="I27" i="6"/>
  <c r="L22" i="6"/>
  <c r="N22" i="6"/>
  <c r="J22" i="6"/>
  <c r="M22" i="6"/>
  <c r="K22" i="6"/>
  <c r="I22" i="6"/>
  <c r="I39" i="6"/>
  <c r="N39" i="6"/>
  <c r="M39" i="6"/>
  <c r="J39" i="6"/>
  <c r="K39" i="6"/>
  <c r="L39" i="6"/>
  <c r="I40" i="6"/>
  <c r="N40" i="6"/>
  <c r="M40" i="6"/>
  <c r="J40" i="6"/>
  <c r="L40" i="6"/>
  <c r="K40" i="6"/>
  <c r="M21" i="6"/>
  <c r="K21" i="6"/>
  <c r="J21" i="6"/>
  <c r="L21" i="6"/>
  <c r="N21" i="6"/>
  <c r="I21" i="6"/>
  <c r="J23" i="6"/>
  <c r="I23" i="6"/>
  <c r="K23" i="6"/>
  <c r="N23" i="6"/>
  <c r="L23" i="6"/>
  <c r="M23" i="6"/>
  <c r="A1" i="9" a="1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Yong Mei</author>
    <author>Guo, Yun Bo</author>
  </authors>
  <commentList>
    <comment ref="J76" authorId="0" shapeId="0" xr:uid="{4993278D-622C-4A09-9D00-B92182EF8462}">
      <text>
        <r>
          <rPr>
            <b/>
            <sz val="9"/>
            <color indexed="81"/>
            <rFont val="Tahoma"/>
            <family val="2"/>
          </rPr>
          <t>原时间2025-06-30</t>
        </r>
      </text>
    </comment>
    <comment ref="J77" authorId="1" shapeId="0" xr:uid="{C775ABD3-350B-4FDD-9CAD-7E21B431615A}">
      <text>
        <r>
          <rPr>
            <b/>
            <sz val="9"/>
            <color indexed="81"/>
            <rFont val="Tahoma"/>
            <family val="2"/>
          </rPr>
          <t>先提外形基础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1" authorId="0" shapeId="0" xr:uid="{0FFD6F3D-B3FF-4B49-BD74-C7A41B4A9169}">
      <text>
        <r>
          <rPr>
            <b/>
            <sz val="9"/>
            <color indexed="81"/>
            <rFont val="Tahoma"/>
            <family val="2"/>
          </rPr>
          <t>原时间2025-07-30</t>
        </r>
      </text>
    </comment>
    <comment ref="B82" authorId="0" shapeId="0" xr:uid="{1ADBE20B-DA72-493F-B290-20CCFC261D54}">
      <text>
        <r>
          <rPr>
            <b/>
            <sz val="9"/>
            <color indexed="81"/>
            <rFont val="Tahoma"/>
            <family val="2"/>
          </rPr>
          <t>copy design 813157</t>
        </r>
      </text>
    </comment>
    <comment ref="J84" authorId="0" shapeId="0" xr:uid="{C8AB7E5E-0439-45BB-BFBC-3CCE874A4EB0}">
      <text>
        <r>
          <rPr>
            <b/>
            <sz val="9"/>
            <color indexed="81"/>
            <rFont val="Tahoma"/>
            <family val="2"/>
          </rPr>
          <t>原时间2025-07-24</t>
        </r>
      </text>
    </comment>
    <comment ref="J94" authorId="0" shapeId="0" xr:uid="{61329585-1972-41A4-8F89-07EDD913520F}">
      <text>
        <r>
          <rPr>
            <b/>
            <sz val="9"/>
            <color indexed="81"/>
            <rFont val="Tahoma"/>
            <family val="2"/>
          </rPr>
          <t>2025-07-02 PM70 确认提图日期</t>
        </r>
      </text>
    </comment>
    <comment ref="B105" authorId="0" shapeId="0" xr:uid="{A30BAA46-0D01-47F5-B688-82486445EB3F}">
      <text>
        <r>
          <rPr>
            <b/>
            <sz val="9"/>
            <color indexed="81"/>
            <rFont val="Tahoma"/>
            <family val="2"/>
          </rPr>
          <t>copy design 812870</t>
        </r>
      </text>
    </comment>
    <comment ref="J128" authorId="0" shapeId="0" xr:uid="{61B295C6-EA1C-49F7-9DA2-FD4E910A1209}">
      <text>
        <r>
          <rPr>
            <b/>
            <sz val="9"/>
            <color indexed="81"/>
            <rFont val="Tahoma"/>
            <family val="2"/>
          </rPr>
          <t>offer 技术澄清没结束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Yong Mei</author>
    <author>Guo, Yun Bo</author>
  </authors>
  <commentList>
    <comment ref="J75" authorId="0" shapeId="0" xr:uid="{B29FC878-F51C-465F-A42B-F611DADF61D0}">
      <text>
        <r>
          <rPr>
            <b/>
            <sz val="9"/>
            <color indexed="81"/>
            <rFont val="Tahoma"/>
            <family val="2"/>
          </rPr>
          <t>原时间2025-06-30</t>
        </r>
      </text>
    </comment>
    <comment ref="J76" authorId="1" shapeId="0" xr:uid="{C3A2C5B9-6448-4DBA-92F1-AD6EDD77F151}">
      <text>
        <r>
          <rPr>
            <b/>
            <sz val="9"/>
            <color indexed="81"/>
            <rFont val="Tahoma"/>
            <family val="2"/>
          </rPr>
          <t>先提外形基础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0" authorId="0" shapeId="0" xr:uid="{8D190E4C-7DCC-4A47-AD55-1C1E2C9D5355}">
      <text>
        <r>
          <rPr>
            <b/>
            <sz val="9"/>
            <color indexed="81"/>
            <rFont val="Tahoma"/>
            <family val="2"/>
          </rPr>
          <t>原时间2025-07-30</t>
        </r>
      </text>
    </comment>
    <comment ref="B81" authorId="0" shapeId="0" xr:uid="{D61AEFE4-9F91-4E9C-A1FA-B3FBA811B6FA}">
      <text>
        <r>
          <rPr>
            <b/>
            <sz val="9"/>
            <color indexed="81"/>
            <rFont val="Tahoma"/>
            <family val="2"/>
          </rPr>
          <t>copy design 813157</t>
        </r>
      </text>
    </comment>
    <comment ref="J151" authorId="0" shapeId="0" xr:uid="{F4CD023C-C3A8-4622-A831-ECD2F67BA28F}">
      <text>
        <r>
          <rPr>
            <b/>
            <sz val="9"/>
            <color indexed="81"/>
            <rFont val="Tahoma"/>
            <family val="2"/>
          </rPr>
          <t>原时间2025-07-24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Yong Mei</author>
  </authors>
  <commentList>
    <comment ref="N19" authorId="0" shapeId="0" xr:uid="{3BB7AC08-BCAC-42F5-83B0-531E1575D98D}">
      <text>
        <r>
          <rPr>
            <sz val="9"/>
            <color indexed="81"/>
            <rFont val="Tahoma"/>
            <family val="2"/>
          </rPr>
          <t xml:space="preserve">更改CT 参数，重新询价，check 套管尾部长度CT 出线盒数量，二次仪表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<sst xmlns="http://schemas.openxmlformats.org/spreadsheetml/2006/main" count="2524" uniqueCount="669">
  <si>
    <r>
      <rPr>
        <b/>
        <sz val="20"/>
        <color theme="1"/>
        <rFont val="STKaiti"/>
        <family val="1"/>
      </rPr>
      <t xml:space="preserve">订单号
</t>
    </r>
  </si>
  <si>
    <r>
      <rPr>
        <b/>
        <sz val="20"/>
        <color theme="1"/>
        <rFont val="STKaiti"/>
        <family val="1"/>
      </rPr>
      <t>项目名称</t>
    </r>
  </si>
  <si>
    <r>
      <rPr>
        <b/>
        <sz val="20"/>
        <color theme="1"/>
        <rFont val="STKaiti"/>
        <family val="1"/>
      </rPr>
      <t>负责人</t>
    </r>
  </si>
  <si>
    <r>
      <rPr>
        <b/>
        <sz val="20"/>
        <color theme="1"/>
        <rFont val="等线"/>
        <family val="3"/>
        <charset val="134"/>
      </rPr>
      <t>备注</t>
    </r>
    <phoneticPr fontId="12" type="noConversion"/>
  </si>
  <si>
    <r>
      <rPr>
        <b/>
        <sz val="20"/>
        <color rgb="FF0000FF"/>
        <rFont val="STKaiti"/>
        <charset val="134"/>
      </rPr>
      <t>一次图纸</t>
    </r>
    <phoneticPr fontId="12" type="noConversion"/>
  </si>
  <si>
    <r>
      <rPr>
        <b/>
        <sz val="20"/>
        <color rgb="FF0000FF"/>
        <rFont val="STKaiti"/>
        <charset val="134"/>
      </rPr>
      <t>二次图纸</t>
    </r>
    <phoneticPr fontId="12" type="noConversion"/>
  </si>
  <si>
    <t>李咏梅</t>
  </si>
  <si>
    <t>出口</t>
  </si>
  <si>
    <t>陈振东</t>
  </si>
  <si>
    <t>郭运波</t>
  </si>
  <si>
    <t>张金环</t>
  </si>
  <si>
    <t>NGCP 334MVA/500kV</t>
    <phoneticPr fontId="12" type="noConversion"/>
  </si>
  <si>
    <r>
      <t>DGA</t>
    </r>
    <r>
      <rPr>
        <b/>
        <sz val="20"/>
        <color rgb="FFFF0000"/>
        <rFont val="宋体"/>
        <family val="2"/>
        <charset val="134"/>
      </rPr>
      <t>、光纤</t>
    </r>
    <phoneticPr fontId="12" type="noConversion"/>
  </si>
  <si>
    <r>
      <rPr>
        <b/>
        <sz val="20"/>
        <color theme="1"/>
        <rFont val="宋体"/>
        <family val="2"/>
        <charset val="134"/>
      </rPr>
      <t>郭运波</t>
    </r>
    <phoneticPr fontId="12" type="noConversion"/>
  </si>
  <si>
    <t>项目负责人</t>
  </si>
  <si>
    <t>客户</t>
  </si>
  <si>
    <t>高伟廷</t>
  </si>
  <si>
    <t>Iraq</t>
  </si>
  <si>
    <t>戚彬</t>
  </si>
  <si>
    <t>计划图纸提交日期</t>
    <phoneticPr fontId="11" type="noConversion"/>
  </si>
  <si>
    <t>郑瑞阳</t>
  </si>
  <si>
    <t>特殊材料</t>
    <phoneticPr fontId="12" type="noConversion"/>
  </si>
  <si>
    <t>序号</t>
  </si>
  <si>
    <t xml:space="preserve">订单号 </t>
  </si>
  <si>
    <t>台数</t>
  </si>
  <si>
    <t>二次</t>
  </si>
  <si>
    <t>是否分体  大架子</t>
  </si>
  <si>
    <t>是否试验套管</t>
  </si>
  <si>
    <t>试验套管型号及 数量，目前套管能具备几台同时试验的条件?</t>
  </si>
  <si>
    <t>开关数量</t>
  </si>
  <si>
    <t>焊接箱沿</t>
  </si>
  <si>
    <t xml:space="preserve">一次 </t>
  </si>
  <si>
    <t>2025财年结构设计订单管理</t>
  </si>
  <si>
    <t>其他备注</t>
  </si>
  <si>
    <t>容量
MVA</t>
  </si>
  <si>
    <t>电压
Kv</t>
  </si>
  <si>
    <t>合肥</t>
  </si>
  <si>
    <t>一次图纸</t>
  </si>
  <si>
    <t>提交日期</t>
  </si>
  <si>
    <t>确认日期</t>
  </si>
  <si>
    <t>二次图纸</t>
  </si>
  <si>
    <t xml:space="preserve"> Indonesia Vantage Data Center KL</t>
  </si>
  <si>
    <t>王芳</t>
  </si>
  <si>
    <t>是</t>
  </si>
  <si>
    <t>占用3支试验套管</t>
  </si>
  <si>
    <t>812921/2922</t>
  </si>
  <si>
    <t>813055~813057</t>
  </si>
  <si>
    <t>Egypt SCATEC</t>
  </si>
  <si>
    <t>李世升</t>
  </si>
  <si>
    <t>Mexico Las Glorias</t>
  </si>
  <si>
    <t>山西临汾郑庄2号</t>
  </si>
  <si>
    <t>812846~812848</t>
  </si>
  <si>
    <t>Portugal Startcampus EHV SS</t>
  </si>
  <si>
    <t>Peru SUNNY II Solar Plant</t>
  </si>
  <si>
    <t>812871~812899</t>
  </si>
  <si>
    <t>司林杰</t>
  </si>
  <si>
    <t>RO Cornatelu</t>
  </si>
  <si>
    <t>RO PV Butimanu</t>
  </si>
  <si>
    <t>RO Calafat</t>
  </si>
  <si>
    <t>812952/812953</t>
  </si>
  <si>
    <t>France_Paris_225kV_Data4 project</t>
  </si>
  <si>
    <t>813065~813068</t>
  </si>
  <si>
    <t>Indonesia Amazon</t>
  </si>
  <si>
    <t>813017~813019</t>
  </si>
  <si>
    <t xml:space="preserve">South Africa_ ESKOM </t>
  </si>
  <si>
    <t xml:space="preserve"> Portugal REN </t>
  </si>
  <si>
    <t>813050~813053</t>
  </si>
  <si>
    <t>Venezuela project</t>
  </si>
  <si>
    <t>812855/812856</t>
  </si>
  <si>
    <t>杭州祝桥</t>
  </si>
  <si>
    <t>邢晓静</t>
  </si>
  <si>
    <t>813058/813059</t>
  </si>
  <si>
    <t>812645~812654</t>
  </si>
  <si>
    <t>NGCP</t>
  </si>
  <si>
    <t xml:space="preserve">CA Napanee Simple Cycle </t>
  </si>
  <si>
    <t>Australia Wellington BESS</t>
  </si>
  <si>
    <t>813032/813033</t>
  </si>
  <si>
    <t>Portugal EDPR</t>
  </si>
  <si>
    <t>813060/813061</t>
  </si>
  <si>
    <t>江苏土山</t>
  </si>
  <si>
    <t>毕海宁</t>
  </si>
  <si>
    <t>812860~812862</t>
  </si>
  <si>
    <t>Australia WPC, NREP project</t>
  </si>
  <si>
    <t>813029~813031</t>
  </si>
  <si>
    <t>Finland_Kristinestad &amp; Anttila SVC PLUS</t>
  </si>
  <si>
    <t>Romania  Brazi Vest Substation</t>
  </si>
  <si>
    <t>杭州万安</t>
  </si>
  <si>
    <t>Chile PV Gran Teno</t>
  </si>
  <si>
    <t>813069/813070</t>
  </si>
  <si>
    <t>Australia_Supernode Stage 3 Project</t>
  </si>
  <si>
    <t>山西朔州翠微2号主变返厂大修</t>
  </si>
  <si>
    <t>山西朔州亲和1号主变返厂大修</t>
  </si>
  <si>
    <t>山西运城桃园2号主变返厂大修</t>
  </si>
  <si>
    <t>山西运城临晋3号主变返厂大修</t>
  </si>
  <si>
    <t>NEW</t>
  </si>
  <si>
    <t>STCL 试验变压器</t>
  </si>
  <si>
    <t>湖南</t>
  </si>
  <si>
    <t>备用变 现场为广州厂产品</t>
  </si>
  <si>
    <t>Australia _CPP Williamsdale BESS</t>
  </si>
  <si>
    <t>813021/813022</t>
  </si>
  <si>
    <t xml:space="preserve">Romania Banca </t>
  </si>
  <si>
    <t>唐山乐亭月坨岛海上风电</t>
  </si>
  <si>
    <t>813046~813048</t>
  </si>
  <si>
    <t>四川谭家湾500kV主变增容扩建工程</t>
  </si>
  <si>
    <t>器身导变812520，但外部套管位置镜像</t>
  </si>
  <si>
    <t>813001~813003</t>
  </si>
  <si>
    <t xml:space="preserve"> Spain REE reactors</t>
  </si>
  <si>
    <t>第一台电抗器订单</t>
  </si>
  <si>
    <t xml:space="preserve">Romania  Draganesti Olt </t>
  </si>
  <si>
    <t>器身导变812941，但外部套管位置不同</t>
  </si>
  <si>
    <t>812938~812941</t>
  </si>
  <si>
    <t>UK GLP Project Olympus</t>
  </si>
  <si>
    <t>813006~813015</t>
  </si>
  <si>
    <t>Philippines TERRA NE 2 Solar Power Project</t>
  </si>
  <si>
    <t>Romania Trivalea Mosteni</t>
  </si>
  <si>
    <t>错层10.5米</t>
  </si>
  <si>
    <t>是(错层)</t>
  </si>
  <si>
    <t>4支40.5kV试验套管</t>
  </si>
  <si>
    <t>202410-10</t>
  </si>
  <si>
    <t>无</t>
  </si>
  <si>
    <t>错层10米</t>
  </si>
  <si>
    <t xml:space="preserve">Ester oil (Midel 7131) </t>
  </si>
  <si>
    <t>Ester oil (Midel 7131) 
repeat order 822807</t>
  </si>
  <si>
    <t>交货期2026</t>
  </si>
  <si>
    <t>国内/出口</t>
  </si>
  <si>
    <t>国内</t>
  </si>
  <si>
    <t xml:space="preserve">高伟廷 </t>
  </si>
  <si>
    <t>812996/812997</t>
  </si>
  <si>
    <t>武汉道观河主变850629维修</t>
  </si>
  <si>
    <t>李红杰</t>
  </si>
  <si>
    <t>2024-12-10仪表订单已释放</t>
  </si>
  <si>
    <t>设计工具</t>
    <phoneticPr fontId="11" type="noConversion"/>
  </si>
  <si>
    <t>2D</t>
    <phoneticPr fontId="11" type="noConversion"/>
  </si>
  <si>
    <t>3D</t>
    <phoneticPr fontId="11" type="noConversion"/>
  </si>
  <si>
    <t>浙江尖山新区</t>
  </si>
  <si>
    <t>813075-813077</t>
  </si>
  <si>
    <t>导变812642， 试验套管完成厂内试验</t>
  </si>
  <si>
    <t>导变812595</t>
  </si>
  <si>
    <t>3D</t>
  </si>
  <si>
    <t>813081-813087</t>
  </si>
  <si>
    <t>UAE</t>
  </si>
  <si>
    <t>第一台做短路试验</t>
  </si>
  <si>
    <t>813037-813045</t>
  </si>
  <si>
    <t>Australia</t>
  </si>
  <si>
    <t>器身导变812738</t>
  </si>
  <si>
    <t>813079-813080</t>
  </si>
  <si>
    <t>广州紫研老挝Laos</t>
  </si>
  <si>
    <t>813095-813096</t>
  </si>
  <si>
    <t>葡萄牙REN</t>
  </si>
  <si>
    <t xml:space="preserve"> Romania</t>
  </si>
  <si>
    <t>813072-813073</t>
  </si>
  <si>
    <t>湖北军山</t>
  </si>
  <si>
    <t>Australia CPP Tailem BESS project</t>
  </si>
  <si>
    <t>813099-813100</t>
  </si>
  <si>
    <t xml:space="preserve">匈牙利Hungary_PV park Sihalom </t>
  </si>
  <si>
    <t>813097-813098</t>
  </si>
  <si>
    <t>秘鲁 Peru _Caraveli</t>
  </si>
  <si>
    <t xml:space="preserve"> </t>
  </si>
  <si>
    <t>813101-813103</t>
  </si>
  <si>
    <t>UAE _Transco Haffar</t>
  </si>
  <si>
    <t>Chile Proyectos renovables Domeyko project</t>
  </si>
  <si>
    <t>813108-109</t>
  </si>
  <si>
    <t>813115-813123</t>
  </si>
  <si>
    <t>Spain REE</t>
  </si>
  <si>
    <t>copy design 812825</t>
  </si>
  <si>
    <t>TADcurrentversion</t>
    <phoneticPr fontId="11" type="noConversion"/>
  </si>
  <si>
    <t>812752/812753</t>
    <phoneticPr fontId="11" type="noConversion"/>
  </si>
  <si>
    <t>ABB套管不满足印尼标准，要满足的话不满足交货期, 
ABB套管无法满足0.3g抗震加速度。如要满足需要更改设计不满足交货期</t>
  </si>
  <si>
    <t>绝缘水平高于500kV，前期投标没有分辨出来，花费大量时间澄清</t>
  </si>
  <si>
    <t>1,,开关于2月10号确定由ABB更换为MR,耽误一个月时间
2,套管最高电压无法满足系统最高电压，套管短路电流无法满足客户要求
3,与客户team会议关闭合同前lop</t>
  </si>
  <si>
    <t>,1，算单评审后offer 更新高压额定电压，电算、结构重新设计
2，客户要求中性点套管耐受3*1N电流，更新套管型号</t>
  </si>
  <si>
    <t>器身、引线设计 测绘返修变压器尺寸 设计周期是正常设计2.5倍</t>
  </si>
  <si>
    <t>错层高度更改
开关压力释放阀选型
海风冷却方式研发
影响设计进度</t>
  </si>
  <si>
    <t>Nigeria Brownfield</t>
  </si>
  <si>
    <t>Peru</t>
  </si>
  <si>
    <t>董立乔</t>
  </si>
  <si>
    <t>813090-093</t>
  </si>
  <si>
    <t>上海电气埃及 Kom Ombo二期500KV光储EPC项目</t>
  </si>
  <si>
    <t>813145-147</t>
  </si>
  <si>
    <t>青岛观龙500KV变</t>
  </si>
  <si>
    <t>813130-132</t>
  </si>
  <si>
    <t>渤海500KV变</t>
  </si>
  <si>
    <t>813111~813113</t>
  </si>
  <si>
    <t>UK_Statera Energy Framework</t>
  </si>
  <si>
    <t>Same customer as 812955~957</t>
  </si>
  <si>
    <t>813125~3126</t>
  </si>
  <si>
    <t>copy design 812976</t>
  </si>
  <si>
    <t xml:space="preserve">Romania Saceni </t>
  </si>
  <si>
    <r>
      <rPr>
        <sz val="14"/>
        <rFont val="微软雅黑"/>
        <family val="2"/>
        <charset val="134"/>
      </rPr>
      <t>国内</t>
    </r>
    <r>
      <rPr>
        <sz val="14"/>
        <rFont val="Arial"/>
        <family val="2"/>
      </rPr>
      <t>/</t>
    </r>
    <r>
      <rPr>
        <sz val="14"/>
        <rFont val="微软雅黑"/>
        <family val="2"/>
        <charset val="134"/>
      </rPr>
      <t>出口</t>
    </r>
    <phoneticPr fontId="11" type="noConversion"/>
  </si>
  <si>
    <t>沙特Aramco Asia备用变项目</t>
  </si>
  <si>
    <t>Spain_Villameca Solar</t>
  </si>
  <si>
    <t>Spain_Cepeda</t>
  </si>
  <si>
    <t>合同没交接</t>
  </si>
  <si>
    <t>813151-813152</t>
  </si>
  <si>
    <t>宁德霞浦海上风电</t>
  </si>
  <si>
    <t>813155-813156</t>
  </si>
  <si>
    <t>Vienam_CPMB_Shunt Reactor</t>
  </si>
  <si>
    <t>120MVAr</t>
  </si>
  <si>
    <t>90MVAr</t>
  </si>
  <si>
    <t>Romania_Terpezita</t>
  </si>
  <si>
    <t>813157-813158</t>
  </si>
  <si>
    <t>813025-8123027</t>
  </si>
  <si>
    <t>813025 合并到813026</t>
  </si>
  <si>
    <t>沙特SEC电抗器中变</t>
  </si>
  <si>
    <t>广西防城港 谭松站</t>
  </si>
  <si>
    <t>813111一个业主</t>
  </si>
  <si>
    <t>813161-813162</t>
  </si>
  <si>
    <r>
      <rPr>
        <strike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3</t>
    </r>
  </si>
  <si>
    <t>813175-813177</t>
  </si>
  <si>
    <t>山东官亭500千伏变电站</t>
  </si>
  <si>
    <t>813178-813180</t>
  </si>
  <si>
    <t>山东济南500千伏主变增容工程</t>
  </si>
  <si>
    <t>一次图纸
提交日期</t>
  </si>
  <si>
    <t>一次图纸
确认日期</t>
  </si>
  <si>
    <t>项目负责人
一次</t>
  </si>
  <si>
    <t>项目负责人
二次</t>
  </si>
  <si>
    <t>二次图纸
提交日期</t>
  </si>
  <si>
    <t>二次图纸
确认日期</t>
  </si>
  <si>
    <t>Western Power project</t>
  </si>
  <si>
    <t>copy design 812870</t>
  </si>
  <si>
    <t>Philippines</t>
  </si>
  <si>
    <t>copy design 813063</t>
  </si>
  <si>
    <t>Chile</t>
  </si>
  <si>
    <t>813191-813193</t>
  </si>
  <si>
    <t>30MVAr</t>
  </si>
  <si>
    <t>霞浦B区陆上集控站</t>
  </si>
  <si>
    <t>copy design 812839</t>
  </si>
  <si>
    <t>similar812645</t>
  </si>
  <si>
    <t>Philippines_Meralco</t>
  </si>
  <si>
    <t>813195-813196</t>
  </si>
  <si>
    <t>Senegal Pole</t>
  </si>
  <si>
    <t>Saudi Arabia</t>
  </si>
  <si>
    <t>3种海拔，3种套管型式</t>
  </si>
  <si>
    <t>Poland_BC Wind</t>
  </si>
  <si>
    <t xml:space="preserve">2025-6-19 更改调压范围 </t>
  </si>
  <si>
    <t>813197-813198</t>
  </si>
  <si>
    <t>Canada_SaskPower</t>
  </si>
  <si>
    <t>813181-813182</t>
  </si>
  <si>
    <t>copy design 813157</t>
  </si>
  <si>
    <t>华勘院深圳汕尾红海湾六海上风电</t>
  </si>
  <si>
    <t>813205-813207</t>
  </si>
  <si>
    <t>UAE Transco ICAD-N</t>
  </si>
  <si>
    <t>客户提供文件多，未分出优先等级，套管ABB改传奇询价信息并未包含客户所有要求</t>
  </si>
  <si>
    <t>813168-813169</t>
  </si>
  <si>
    <t>813165-813167</t>
  </si>
  <si>
    <t xml:space="preserve">2025-6-19 更改调压范围
2025-07-21 不改了
</t>
  </si>
  <si>
    <t>similar 812945</t>
  </si>
  <si>
    <t>Spain_IGNIS</t>
  </si>
  <si>
    <t>上海电气马来西亚</t>
  </si>
  <si>
    <t>813208-813210</t>
  </si>
  <si>
    <t>渔盐项目</t>
  </si>
  <si>
    <t>813215-813217</t>
  </si>
  <si>
    <t>潍坊项目</t>
  </si>
  <si>
    <t>813199/813200</t>
  </si>
  <si>
    <t xml:space="preserve">Romania Ostrovu Mare </t>
  </si>
  <si>
    <t>South Africa _ Eskom</t>
  </si>
  <si>
    <t>Romania_ Vacareni WPP</t>
  </si>
  <si>
    <t>copy design 812975</t>
  </si>
  <si>
    <t>813231/813232</t>
  </si>
  <si>
    <t>813233/813234</t>
  </si>
  <si>
    <t>813235/813236</t>
  </si>
  <si>
    <t>泰国西门子EPC 台湾 reactor</t>
  </si>
  <si>
    <t>Vietnam Shunt reactor</t>
  </si>
  <si>
    <t>813237/813238</t>
  </si>
  <si>
    <t>100MVAr</t>
  </si>
  <si>
    <t>813240/813241</t>
  </si>
  <si>
    <t xml:space="preserve">UAE ADNOC </t>
  </si>
  <si>
    <t>similar 812832</t>
  </si>
  <si>
    <t>Canada_Irvng Pulp and Paper</t>
  </si>
  <si>
    <t>Australia_CPP</t>
  </si>
  <si>
    <t>Portgual REN</t>
  </si>
  <si>
    <t>813255/813256</t>
  </si>
  <si>
    <t>Canada</t>
  </si>
  <si>
    <t>山西大同</t>
  </si>
  <si>
    <t>813220/813221</t>
  </si>
  <si>
    <t>Australia Punch Creek</t>
  </si>
  <si>
    <t>Belgium</t>
  </si>
  <si>
    <t>2D</t>
  </si>
  <si>
    <t>低压套管更换</t>
  </si>
  <si>
    <r>
      <rPr>
        <sz val="11"/>
        <rFont val="等线"/>
        <family val="2"/>
        <charset val="134"/>
      </rPr>
      <t>问题汇总</t>
    </r>
    <phoneticPr fontId="11" type="noConversion"/>
  </si>
  <si>
    <r>
      <rPr>
        <sz val="11"/>
        <color theme="1"/>
        <rFont val="等线"/>
        <family val="2"/>
        <charset val="134"/>
      </rPr>
      <t>订单号</t>
    </r>
    <phoneticPr fontId="11" type="noConversion"/>
  </si>
  <si>
    <r>
      <rPr>
        <sz val="11"/>
        <color theme="1"/>
        <rFont val="等线"/>
        <family val="2"/>
        <charset val="134"/>
      </rPr>
      <t>问题描述</t>
    </r>
    <phoneticPr fontId="11" type="noConversion"/>
  </si>
  <si>
    <r>
      <rPr>
        <sz val="11"/>
        <color theme="1"/>
        <rFont val="等线"/>
        <family val="2"/>
        <charset val="134"/>
      </rPr>
      <t>油位计带槽，与供货商提供的图纸不一致</t>
    </r>
    <phoneticPr fontId="11" type="noConversion"/>
  </si>
  <si>
    <r>
      <rPr>
        <sz val="11"/>
        <color theme="1"/>
        <rFont val="等线"/>
        <family val="2"/>
        <charset val="134"/>
      </rPr>
      <t>客户要求更改相序，仍未最终确定，一旦更改，结构将重新设计</t>
    </r>
    <phoneticPr fontId="11" type="noConversion"/>
  </si>
  <si>
    <r>
      <rPr>
        <sz val="11"/>
        <color theme="1"/>
        <rFont val="等线"/>
        <family val="2"/>
        <charset val="134"/>
      </rPr>
      <t>电算将调压线圈线规设计错误，讨论结构更改内容后不再更改</t>
    </r>
    <phoneticPr fontId="11" type="noConversion"/>
  </si>
  <si>
    <r>
      <rPr>
        <sz val="11"/>
        <color theme="1"/>
        <rFont val="等线"/>
        <family val="2"/>
        <charset val="134"/>
      </rPr>
      <t>智达套管无法按时到货，讨论临时套管试验方案</t>
    </r>
    <phoneticPr fontId="11" type="noConversion"/>
  </si>
  <si>
    <r>
      <t>MR</t>
    </r>
    <r>
      <rPr>
        <sz val="11"/>
        <color theme="1"/>
        <rFont val="宋体"/>
        <family val="2"/>
        <charset val="134"/>
      </rPr>
      <t>提供的开关瓦斯继电器与自己的图纸不符，设计出处理方案</t>
    </r>
    <phoneticPr fontId="11" type="noConversion"/>
  </si>
  <si>
    <t>812178/813215</t>
    <phoneticPr fontId="11" type="noConversion"/>
  </si>
  <si>
    <t>智达提供的套管图纸813006，813170，812645尾部均压球尺寸做的不一样，以后能否改成统一的</t>
  </si>
  <si>
    <t>813006/813170/812645</t>
  </si>
  <si>
    <t>8RE061</t>
  </si>
  <si>
    <t>客户有更改绝缘水平至LI 650/275的可能，要尽快确定，以免事后更改</t>
  </si>
  <si>
    <t>2D</t>
    <phoneticPr fontId="11" type="noConversion"/>
  </si>
  <si>
    <t>3D</t>
    <phoneticPr fontId="11" type="noConversion"/>
  </si>
  <si>
    <r>
      <rPr>
        <sz val="11"/>
        <color theme="1"/>
        <rFont val="等线"/>
        <family val="2"/>
        <charset val="134"/>
      </rPr>
      <t>额外时间</t>
    </r>
    <phoneticPr fontId="11" type="noConversion"/>
  </si>
  <si>
    <r>
      <rPr>
        <sz val="11"/>
        <color theme="1"/>
        <rFont val="宋体"/>
        <family val="2"/>
        <charset val="134"/>
      </rPr>
      <t>图纸未确认，投产后客户提出更改控制柜位置，油箱、箱盖更改</t>
    </r>
    <phoneticPr fontId="11" type="noConversion"/>
  </si>
  <si>
    <r>
      <t>MR</t>
    </r>
    <r>
      <rPr>
        <sz val="11"/>
        <color theme="1"/>
        <rFont val="等线"/>
        <family val="2"/>
        <charset val="134"/>
      </rPr>
      <t>开关实物与提供的图纸不符</t>
    </r>
    <phoneticPr fontId="11" type="noConversion"/>
  </si>
  <si>
    <r>
      <t>Hitach</t>
    </r>
    <r>
      <rPr>
        <sz val="11"/>
        <color theme="1"/>
        <rFont val="等线"/>
        <family val="2"/>
        <charset val="134"/>
      </rPr>
      <t>套管到不了货，需要临时套管做试验</t>
    </r>
    <phoneticPr fontId="11" type="noConversion"/>
  </si>
  <si>
    <r>
      <rPr>
        <sz val="11"/>
        <color theme="1"/>
        <rFont val="宋体"/>
        <family val="2"/>
        <charset val="134"/>
      </rPr>
      <t>行动计划</t>
    </r>
    <phoneticPr fontId="11" type="noConversion"/>
  </si>
  <si>
    <r>
      <rPr>
        <sz val="11"/>
        <color theme="1"/>
        <rFont val="宋体"/>
        <family val="2"/>
        <charset val="134"/>
      </rPr>
      <t>负责人</t>
    </r>
    <phoneticPr fontId="11" type="noConversion"/>
  </si>
  <si>
    <r>
      <rPr>
        <sz val="11"/>
        <color theme="1"/>
        <rFont val="宋体"/>
        <family val="2"/>
        <charset val="134"/>
      </rPr>
      <t>完成状态</t>
    </r>
    <phoneticPr fontId="11" type="noConversion"/>
  </si>
  <si>
    <r>
      <t>1-</t>
    </r>
    <r>
      <rPr>
        <sz val="11"/>
        <color theme="1"/>
        <rFont val="宋体"/>
        <family val="2"/>
        <charset val="134"/>
      </rPr>
      <t>调整引线设计</t>
    </r>
    <r>
      <rPr>
        <sz val="11"/>
        <color theme="1"/>
        <rFont val="Calibri"/>
        <family val="2"/>
      </rPr>
      <t xml:space="preserve"> 2</t>
    </r>
    <phoneticPr fontId="11" type="noConversion"/>
  </si>
  <si>
    <r>
      <rPr>
        <sz val="11"/>
        <color theme="1"/>
        <rFont val="等线"/>
        <family val="2"/>
        <charset val="134"/>
      </rPr>
      <t>测绘尺寸不对，窗高测成了上下夹件间距</t>
    </r>
    <phoneticPr fontId="11" type="noConversion"/>
  </si>
  <si>
    <r>
      <rPr>
        <sz val="11"/>
        <color theme="1"/>
        <rFont val="宋体"/>
        <family val="2"/>
        <charset val="134"/>
      </rPr>
      <t>重新设计</t>
    </r>
    <phoneticPr fontId="11" type="noConversion"/>
  </si>
  <si>
    <r>
      <rPr>
        <sz val="11"/>
        <color theme="1"/>
        <rFont val="宋体"/>
        <family val="2"/>
        <charset val="134"/>
      </rPr>
      <t>周骞</t>
    </r>
    <phoneticPr fontId="11" type="noConversion"/>
  </si>
  <si>
    <r>
      <rPr>
        <sz val="11"/>
        <color theme="1"/>
        <rFont val="宋体"/>
        <family val="2"/>
        <charset val="134"/>
      </rPr>
      <t>张勇</t>
    </r>
    <phoneticPr fontId="11" type="noConversion"/>
  </si>
  <si>
    <r>
      <t>12</t>
    </r>
    <r>
      <rPr>
        <sz val="11"/>
        <color theme="1"/>
        <rFont val="宋体"/>
        <family val="2"/>
        <charset val="134"/>
      </rPr>
      <t>月</t>
    </r>
    <r>
      <rPr>
        <sz val="11"/>
        <color theme="1"/>
        <rFont val="Calibri"/>
        <family val="2"/>
      </rPr>
      <t>15</t>
    </r>
    <r>
      <rPr>
        <sz val="11"/>
        <color theme="1"/>
        <rFont val="宋体"/>
        <family val="2"/>
        <charset val="134"/>
      </rPr>
      <t>号</t>
    </r>
    <phoneticPr fontId="11" type="noConversion"/>
  </si>
  <si>
    <r>
      <t>copy design  EPC</t>
    </r>
    <r>
      <rPr>
        <sz val="11"/>
        <color theme="1"/>
        <rFont val="宋体"/>
        <family val="2"/>
        <charset val="134"/>
      </rPr>
      <t>对附件的</t>
    </r>
    <r>
      <rPr>
        <sz val="11"/>
        <color theme="1"/>
        <rFont val="微软雅黑"/>
        <family val="2"/>
        <charset val="134"/>
      </rPr>
      <t>每份图纸都给出很多意见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需要逐条回复</t>
    </r>
    <phoneticPr fontId="11" type="noConversion"/>
  </si>
  <si>
    <t>林利润</t>
    <phoneticPr fontId="11" type="noConversion"/>
  </si>
  <si>
    <t>郭运波</t>
    <phoneticPr fontId="11" type="noConversion"/>
  </si>
  <si>
    <t>李咏梅</t>
    <phoneticPr fontId="11" type="noConversion"/>
  </si>
  <si>
    <t>一次技术负责人</t>
    <phoneticPr fontId="11" type="noConversion"/>
  </si>
  <si>
    <t>二次技术负责人</t>
    <phoneticPr fontId="11" type="noConversion"/>
  </si>
  <si>
    <t>王芳</t>
    <phoneticPr fontId="11" type="noConversion"/>
  </si>
  <si>
    <t>司林杰</t>
    <phoneticPr fontId="11" type="noConversion"/>
  </si>
  <si>
    <t>黄丹慧</t>
    <phoneticPr fontId="11" type="noConversion"/>
  </si>
  <si>
    <r>
      <rPr>
        <sz val="11"/>
        <color theme="1"/>
        <rFont val="微软雅黑"/>
        <family val="2"/>
        <charset val="134"/>
      </rPr>
      <t>客户提供新的抗震要求，</t>
    </r>
    <r>
      <rPr>
        <sz val="11"/>
        <color theme="1"/>
        <rFont val="Calibri"/>
        <family val="2"/>
      </rPr>
      <t>HSP</t>
    </r>
    <r>
      <rPr>
        <sz val="11"/>
        <color theme="1"/>
        <rFont val="宋体"/>
        <family val="2"/>
        <charset val="134"/>
      </rPr>
      <t>原设计图纸不满足客户新要求</t>
    </r>
    <phoneticPr fontId="11" type="noConversion"/>
  </si>
  <si>
    <t>影响设计</t>
    <phoneticPr fontId="11" type="noConversion"/>
  </si>
  <si>
    <t>订单相关</t>
    <phoneticPr fontId="11" type="noConversion"/>
  </si>
  <si>
    <t>客户确认一次、二次图纸</t>
  </si>
  <si>
    <t>周坤</t>
  </si>
  <si>
    <t>close</t>
  </si>
  <si>
    <t>on going</t>
  </si>
  <si>
    <t>NA</t>
  </si>
  <si>
    <t>8RE011</t>
  </si>
  <si>
    <t>8RE012</t>
  </si>
  <si>
    <t>8RE013</t>
  </si>
  <si>
    <t>8RE062</t>
  </si>
  <si>
    <r>
      <t>2026</t>
    </r>
    <r>
      <rPr>
        <sz val="16"/>
        <color theme="1"/>
        <rFont val="微软雅黑"/>
        <family val="2"/>
        <charset val="134"/>
      </rPr>
      <t>财年结构设计提图计划</t>
    </r>
  </si>
  <si>
    <t>Hitach套管到不了货，需要临时套管做试验</t>
  </si>
  <si>
    <t>史乾坤</t>
  </si>
  <si>
    <t>黄丹慧</t>
  </si>
  <si>
    <t>算单更新，更新订单号。重新检查并进行设计</t>
  </si>
  <si>
    <t>王芳</t>
    <phoneticPr fontId="11" type="noConversion"/>
  </si>
  <si>
    <t>徐海梅</t>
    <phoneticPr fontId="11" type="noConversion"/>
  </si>
  <si>
    <t>NA</t>
    <phoneticPr fontId="11" type="noConversion"/>
  </si>
  <si>
    <r>
      <rPr>
        <sz val="11"/>
        <color theme="1"/>
        <rFont val="微软雅黑"/>
        <family val="2"/>
        <charset val="134"/>
      </rPr>
      <t>原</t>
    </r>
    <r>
      <rPr>
        <sz val="11"/>
        <color theme="1"/>
        <rFont val="Calibri"/>
        <family val="2"/>
      </rPr>
      <t>812947</t>
    </r>
    <r>
      <rPr>
        <sz val="11"/>
        <color theme="1"/>
        <rFont val="微软雅黑"/>
        <family val="2"/>
        <charset val="134"/>
      </rPr>
      <t>订单文件是否重新出具？</t>
    </r>
    <r>
      <rPr>
        <sz val="11"/>
        <color theme="1"/>
        <rFont val="Calibri"/>
        <family val="2"/>
      </rPr>
      <t xml:space="preserve">
</t>
    </r>
    <r>
      <rPr>
        <sz val="11"/>
        <color rgb="FF0000FF"/>
        <rFont val="宋体"/>
        <family val="2"/>
        <charset val="134"/>
      </rPr>
      <t>可以在</t>
    </r>
    <r>
      <rPr>
        <sz val="11"/>
        <color rgb="FF0000FF"/>
        <rFont val="Calibri"/>
        <family val="2"/>
      </rPr>
      <t>CSL822947</t>
    </r>
    <r>
      <rPr>
        <sz val="11"/>
        <color rgb="FF0000FF"/>
        <rFont val="宋体"/>
        <family val="2"/>
        <charset val="134"/>
      </rPr>
      <t>中引用</t>
    </r>
    <r>
      <rPr>
        <sz val="11"/>
        <color rgb="FF0000FF"/>
        <rFont val="Calibri"/>
        <family val="2"/>
      </rPr>
      <t>C812947-14BU02</t>
    </r>
    <phoneticPr fontId="11" type="noConversion"/>
  </si>
  <si>
    <r>
      <t xml:space="preserve">1- </t>
    </r>
    <r>
      <rPr>
        <sz val="11"/>
        <color theme="1"/>
        <rFont val="宋体"/>
        <family val="2"/>
        <charset val="134"/>
      </rPr>
      <t xml:space="preserve">李咏梅负责推进套管尾部结构的标准化
</t>
    </r>
    <r>
      <rPr>
        <sz val="11"/>
        <color theme="1"/>
        <rFont val="Calibri"/>
        <family val="2"/>
      </rPr>
      <t xml:space="preserve">2- </t>
    </r>
    <r>
      <rPr>
        <sz val="11"/>
        <color theme="1"/>
        <rFont val="宋体"/>
        <family val="2"/>
        <charset val="134"/>
      </rPr>
      <t>结构设计将标准化套管提交给</t>
    </r>
    <r>
      <rPr>
        <sz val="11"/>
        <color theme="1"/>
        <rFont val="Calibri"/>
        <family val="2"/>
      </rPr>
      <t>offer</t>
    </r>
    <r>
      <rPr>
        <sz val="11"/>
        <color theme="1"/>
        <rFont val="宋体"/>
        <family val="2"/>
        <charset val="134"/>
      </rPr>
      <t>部门</t>
    </r>
    <r>
      <rPr>
        <sz val="11"/>
        <color theme="1"/>
        <rFont val="Calibri"/>
        <family val="2"/>
      </rPr>
      <t xml:space="preserve">
3- 11/28</t>
    </r>
    <r>
      <rPr>
        <sz val="11"/>
        <color theme="1"/>
        <rFont val="宋体"/>
        <family val="2"/>
        <charset val="134"/>
      </rPr>
      <t>已书面通知智达，标准均压球尺寸</t>
    </r>
    <r>
      <rPr>
        <sz val="11"/>
        <color theme="1"/>
        <rFont val="Calibri"/>
        <family val="2"/>
      </rPr>
      <t xml:space="preserve">
4- </t>
    </r>
    <r>
      <rPr>
        <sz val="11"/>
        <color theme="1"/>
        <rFont val="宋体"/>
        <family val="2"/>
        <charset val="134"/>
      </rPr>
      <t>考虑作为标准化套管</t>
    </r>
    <phoneticPr fontId="11" type="noConversion"/>
  </si>
  <si>
    <r>
      <t>11</t>
    </r>
    <r>
      <rPr>
        <sz val="11"/>
        <color theme="1"/>
        <rFont val="宋体"/>
        <family val="2"/>
        <charset val="134"/>
      </rPr>
      <t>月</t>
    </r>
    <r>
      <rPr>
        <sz val="11"/>
        <color theme="1"/>
        <rFont val="Calibri"/>
        <family val="2"/>
      </rPr>
      <t>25</t>
    </r>
    <r>
      <rPr>
        <sz val="11"/>
        <color theme="1"/>
        <rFont val="宋体"/>
        <family val="2"/>
        <charset val="134"/>
      </rPr>
      <t>号林利润确定是否提高绝缘水平，如果要改，电算重新设计，图纸重新提交</t>
    </r>
    <r>
      <rPr>
        <sz val="11"/>
        <color theme="1"/>
        <rFont val="Calibri"/>
        <family val="2"/>
      </rPr>
      <t xml:space="preserve">
12/1 PM</t>
    </r>
    <r>
      <rPr>
        <sz val="11"/>
        <color theme="1"/>
        <rFont val="宋体"/>
        <family val="2"/>
        <charset val="134"/>
      </rPr>
      <t>通知不再更改绝缘水平</t>
    </r>
    <phoneticPr fontId="11" type="noConversion"/>
  </si>
  <si>
    <t>close</t>
    <phoneticPr fontId="11" type="noConversion"/>
  </si>
  <si>
    <t>813111/813160</t>
    <phoneticPr fontId="11" type="noConversion"/>
  </si>
  <si>
    <r>
      <rPr>
        <sz val="11"/>
        <color theme="1"/>
        <rFont val="宋体"/>
        <family val="2"/>
        <charset val="134"/>
      </rPr>
      <t>内容</t>
    </r>
    <phoneticPr fontId="11" type="noConversion"/>
  </si>
  <si>
    <r>
      <rPr>
        <sz val="11"/>
        <color theme="1"/>
        <rFont val="微软雅黑"/>
        <family val="2"/>
        <charset val="134"/>
      </rPr>
      <t>影响设计</t>
    </r>
    <phoneticPr fontId="11" type="noConversion"/>
  </si>
  <si>
    <r>
      <rPr>
        <sz val="11"/>
        <color theme="1"/>
        <rFont val="微软雅黑"/>
        <family val="2"/>
        <charset val="134"/>
      </rPr>
      <t>订单相关</t>
    </r>
    <phoneticPr fontId="11" type="noConversion"/>
  </si>
  <si>
    <r>
      <t>2025-4</t>
    </r>
    <r>
      <rPr>
        <sz val="11"/>
        <color theme="1"/>
        <rFont val="微软雅黑"/>
        <family val="2"/>
        <charset val="134"/>
      </rPr>
      <t>月份第一次提图，至今未确认
客户返回开关意见</t>
    </r>
    <r>
      <rPr>
        <sz val="11"/>
        <color theme="1"/>
        <rFont val="Calibri"/>
        <family val="2"/>
      </rPr>
      <t>(2025-12-1)</t>
    </r>
    <phoneticPr fontId="11" type="noConversion"/>
  </si>
  <si>
    <r>
      <rPr>
        <sz val="11"/>
        <color theme="1"/>
        <rFont val="宋体"/>
        <family val="2"/>
        <charset val="134"/>
      </rPr>
      <t>订单相关</t>
    </r>
    <phoneticPr fontId="11" type="noConversion"/>
  </si>
  <si>
    <r>
      <rPr>
        <sz val="11"/>
        <color theme="1"/>
        <rFont val="宋体"/>
        <family val="2"/>
        <charset val="134"/>
      </rPr>
      <t>郑瑞阳</t>
    </r>
    <phoneticPr fontId="11" type="noConversion"/>
  </si>
  <si>
    <r>
      <rPr>
        <sz val="11"/>
        <color theme="1"/>
        <rFont val="宋体"/>
        <family val="2"/>
        <charset val="134"/>
      </rPr>
      <t>董立乔</t>
    </r>
    <phoneticPr fontId="11" type="noConversion"/>
  </si>
  <si>
    <r>
      <t xml:space="preserve">1) </t>
    </r>
    <r>
      <rPr>
        <sz val="11"/>
        <color theme="1"/>
        <rFont val="宋体"/>
        <family val="2"/>
        <charset val="134"/>
      </rPr>
      <t>一次、二次图纸未确认(10月17号提交)</t>
    </r>
    <phoneticPr fontId="11" type="noConversion"/>
  </si>
  <si>
    <r>
      <t>1-PM</t>
    </r>
    <r>
      <rPr>
        <sz val="11"/>
        <color theme="1"/>
        <rFont val="宋体"/>
        <family val="2"/>
        <charset val="134"/>
      </rPr>
      <t>催客户确认图纸</t>
    </r>
    <phoneticPr fontId="11" type="noConversion"/>
  </si>
  <si>
    <t>戚彬</t>
    <phoneticPr fontId="11" type="noConversion"/>
  </si>
  <si>
    <t>庄琰</t>
    <phoneticPr fontId="11" type="noConversion"/>
  </si>
  <si>
    <r>
      <t xml:space="preserve">1) </t>
    </r>
    <r>
      <rPr>
        <sz val="11"/>
        <color theme="1"/>
        <rFont val="宋体"/>
        <family val="2"/>
        <charset val="134"/>
      </rPr>
      <t>一次、二次图纸未确认</t>
    </r>
    <r>
      <rPr>
        <sz val="11"/>
        <color theme="1"/>
        <rFont val="Calibri"/>
        <family val="2"/>
      </rPr>
      <t>(6</t>
    </r>
    <r>
      <rPr>
        <sz val="11"/>
        <color theme="1"/>
        <rFont val="宋体"/>
        <family val="2"/>
        <charset val="134"/>
      </rPr>
      <t>月</t>
    </r>
    <r>
      <rPr>
        <sz val="11"/>
        <color theme="1"/>
        <rFont val="Calibri"/>
        <family val="2"/>
      </rPr>
      <t>15</t>
    </r>
    <r>
      <rPr>
        <sz val="11"/>
        <color theme="1"/>
        <rFont val="宋体"/>
        <family val="2"/>
        <charset val="134"/>
      </rPr>
      <t>号提交</t>
    </r>
    <r>
      <rPr>
        <sz val="11"/>
        <color theme="1"/>
        <rFont val="Calibri"/>
        <family val="2"/>
      </rPr>
      <t>)</t>
    </r>
    <phoneticPr fontId="11" type="noConversion"/>
  </si>
  <si>
    <t>李咏梅</t>
    <phoneticPr fontId="11" type="noConversion"/>
  </si>
  <si>
    <r>
      <t>1-PM</t>
    </r>
    <r>
      <rPr>
        <sz val="11"/>
        <color theme="1"/>
        <rFont val="宋体"/>
        <family val="3"/>
        <charset val="134"/>
      </rPr>
      <t>催客户确认图纸</t>
    </r>
    <r>
      <rPr>
        <sz val="11"/>
        <color theme="1"/>
        <rFont val="Calibri"/>
        <family val="2"/>
      </rPr>
      <t>(PM</t>
    </r>
    <r>
      <rPr>
        <sz val="11"/>
        <color theme="1"/>
        <rFont val="宋体"/>
        <family val="2"/>
        <charset val="134"/>
      </rPr>
      <t>答应不用等客户确认)</t>
    </r>
    <phoneticPr fontId="11" type="noConversion"/>
  </si>
  <si>
    <t>813133/813153</t>
    <phoneticPr fontId="11" type="noConversion"/>
  </si>
  <si>
    <t>林利润</t>
    <phoneticPr fontId="11" type="noConversion"/>
  </si>
  <si>
    <r>
      <t xml:space="preserve">1) </t>
    </r>
    <r>
      <rPr>
        <sz val="11"/>
        <color theme="1"/>
        <rFont val="宋体"/>
        <family val="2"/>
        <charset val="134"/>
      </rPr>
      <t>一次二次图纸未确认(8月份提图)</t>
    </r>
    <phoneticPr fontId="11" type="noConversion"/>
  </si>
  <si>
    <t>司林杰</t>
    <phoneticPr fontId="11" type="noConversion"/>
  </si>
  <si>
    <t>周骞</t>
    <phoneticPr fontId="11" type="noConversion"/>
  </si>
  <si>
    <t>李红杰</t>
    <phoneticPr fontId="11" type="noConversion"/>
  </si>
  <si>
    <t>黄丹慧</t>
    <phoneticPr fontId="11" type="noConversion"/>
  </si>
  <si>
    <r>
      <t xml:space="preserve">1) </t>
    </r>
    <r>
      <rPr>
        <sz val="11"/>
        <color theme="1"/>
        <rFont val="宋体"/>
        <family val="2"/>
        <charset val="134"/>
      </rPr>
      <t>一次二次图纸未确认(9月份提图)</t>
    </r>
    <phoneticPr fontId="11" type="noConversion"/>
  </si>
  <si>
    <t>导变813016 更换套管</t>
  </si>
  <si>
    <t>Laos_EDH_KALONG</t>
  </si>
  <si>
    <t>Paraguay ANDE</t>
  </si>
  <si>
    <t>813265/813266</t>
  </si>
  <si>
    <t>Australia Powercor</t>
  </si>
  <si>
    <t>8RE063</t>
  </si>
  <si>
    <t>8RE051</t>
  </si>
  <si>
    <t>8RE052</t>
  </si>
  <si>
    <t>8RE053</t>
  </si>
  <si>
    <t>8RE041</t>
  </si>
  <si>
    <t>8RE042</t>
  </si>
  <si>
    <t>8RE043</t>
  </si>
  <si>
    <r>
      <t>1)</t>
    </r>
    <r>
      <rPr>
        <sz val="11"/>
        <color theme="1"/>
        <rFont val="微软雅黑"/>
        <family val="2"/>
        <charset val="134"/>
      </rPr>
      <t>一次图纸、二次图纸未确认</t>
    </r>
    <r>
      <rPr>
        <sz val="11"/>
        <color theme="1"/>
        <rFont val="Calibri"/>
        <family val="2"/>
      </rPr>
      <t>(11</t>
    </r>
    <r>
      <rPr>
        <sz val="11"/>
        <color theme="1"/>
        <rFont val="微软雅黑"/>
        <family val="2"/>
        <charset val="134"/>
      </rPr>
      <t>月</t>
    </r>
    <r>
      <rPr>
        <sz val="11"/>
        <color theme="1"/>
        <rFont val="Calibri"/>
        <family val="2"/>
      </rPr>
      <t>12</t>
    </r>
    <r>
      <rPr>
        <sz val="11"/>
        <color theme="1"/>
        <rFont val="微软雅黑"/>
        <family val="2"/>
        <charset val="134"/>
      </rPr>
      <t>号提供修改版，客户答应一周后确认图纸，二次信号没有提供全，设计等待中</t>
    </r>
    <r>
      <rPr>
        <sz val="11"/>
        <color theme="1"/>
        <rFont val="Calibri"/>
        <family val="2"/>
      </rPr>
      <t xml:space="preserve">)
2) </t>
    </r>
    <r>
      <rPr>
        <sz val="11"/>
        <color theme="1"/>
        <rFont val="宋体"/>
        <family val="2"/>
        <charset val="134"/>
      </rPr>
      <t>开关图纸需要按客户意见更改，至今未收到</t>
    </r>
    <r>
      <rPr>
        <sz val="11"/>
        <color theme="1"/>
        <rFont val="Calibri"/>
        <family val="2"/>
      </rPr>
      <t>MR</t>
    </r>
    <r>
      <rPr>
        <sz val="11"/>
        <color theme="1"/>
        <rFont val="宋体"/>
        <family val="2"/>
        <charset val="134"/>
      </rPr>
      <t>图纸</t>
    </r>
  </si>
  <si>
    <r>
      <t>1)</t>
    </r>
    <r>
      <rPr>
        <sz val="11"/>
        <color theme="1"/>
        <rFont val="微软雅黑"/>
        <family val="2"/>
        <charset val="134"/>
      </rPr>
      <t>一次图纸、二次图纸未确认</t>
    </r>
    <r>
      <rPr>
        <sz val="11"/>
        <color theme="1"/>
        <rFont val="Calibri"/>
        <family val="2"/>
      </rPr>
      <t>(2025-10-24</t>
    </r>
    <r>
      <rPr>
        <sz val="11"/>
        <color theme="1"/>
        <rFont val="微软雅黑"/>
        <family val="2"/>
        <charset val="134"/>
      </rPr>
      <t>提供修改版</t>
    </r>
    <r>
      <rPr>
        <sz val="11"/>
        <color theme="1"/>
        <rFont val="Calibri"/>
        <family val="2"/>
      </rPr>
      <t xml:space="preserve">)
</t>
    </r>
    <r>
      <rPr>
        <sz val="11"/>
        <color rgb="FF00B050"/>
        <rFont val="Calibri"/>
        <family val="2"/>
      </rPr>
      <t xml:space="preserve">2)11/28 </t>
    </r>
    <r>
      <rPr>
        <sz val="11"/>
        <color rgb="FF00B050"/>
        <rFont val="微软雅黑"/>
        <family val="2"/>
        <charset val="134"/>
      </rPr>
      <t>客户提出要更改</t>
    </r>
    <r>
      <rPr>
        <sz val="11"/>
        <color rgb="FF00B050"/>
        <rFont val="Calibri"/>
        <family val="2"/>
      </rPr>
      <t>CT</t>
    </r>
    <r>
      <rPr>
        <sz val="11"/>
        <color rgb="FF00B050"/>
        <rFont val="微软雅黑"/>
        <family val="2"/>
        <charset val="134"/>
      </rPr>
      <t>参数，未收到具体参数要求（2025-12-5日确认CT 参数）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theme="1"/>
        <rFont val="Calibri"/>
        <family val="2"/>
      </rPr>
      <t>3) 813111</t>
    </r>
    <r>
      <rPr>
        <sz val="11"/>
        <color theme="1"/>
        <rFont val="微软雅黑"/>
        <family val="2"/>
        <charset val="134"/>
      </rPr>
      <t>控制柜已开始生产，客户未确认端子</t>
    </r>
  </si>
  <si>
    <t>813275/813276</t>
  </si>
  <si>
    <r>
      <t xml:space="preserve">1) ABB </t>
    </r>
    <r>
      <rPr>
        <sz val="11"/>
        <color theme="1"/>
        <rFont val="宋体"/>
        <family val="2"/>
        <charset val="134"/>
      </rPr>
      <t xml:space="preserve">气体继电器资料不全
</t>
    </r>
    <r>
      <rPr>
        <sz val="11"/>
        <color theme="1"/>
        <rFont val="Calibri"/>
        <family val="2"/>
      </rPr>
      <t xml:space="preserve">2) Weschler advantage </t>
    </r>
    <r>
      <rPr>
        <sz val="11"/>
        <color theme="1"/>
        <rFont val="宋体"/>
        <family val="2"/>
        <charset val="134"/>
      </rPr>
      <t>在线监测资料不全</t>
    </r>
  </si>
  <si>
    <r>
      <t>1-</t>
    </r>
    <r>
      <rPr>
        <sz val="11"/>
        <color theme="1"/>
        <rFont val="宋体"/>
        <family val="2"/>
        <charset val="134"/>
      </rPr>
      <t>将油枕侧法兰改为不带槽</t>
    </r>
  </si>
  <si>
    <t>1, 采购催MR尽快回复开关二次图纸意见及图纸更新</t>
  </si>
  <si>
    <t>徐海梅</t>
  </si>
  <si>
    <t>MR开关二次2025-10-28日图纸意见</t>
  </si>
  <si>
    <t>MR 开关是否提供开关 在线检测平柜</t>
  </si>
  <si>
    <t xml:space="preserve">催供货商提供设计所需资料
</t>
  </si>
  <si>
    <t>徐海梅/周坤</t>
  </si>
  <si>
    <r>
      <t>1-PM</t>
    </r>
    <r>
      <rPr>
        <sz val="11"/>
        <color theme="1"/>
        <rFont val="宋体"/>
        <family val="2"/>
        <charset val="134"/>
      </rPr>
      <t>尝试说服客户接受原</t>
    </r>
    <r>
      <rPr>
        <sz val="11"/>
        <color theme="1"/>
        <rFont val="Calibri"/>
        <family val="2"/>
      </rPr>
      <t>HSP</t>
    </r>
    <r>
      <rPr>
        <sz val="11"/>
        <color theme="1"/>
        <rFont val="宋体"/>
        <family val="2"/>
        <charset val="134"/>
      </rPr>
      <t xml:space="preserve">套管
</t>
    </r>
    <r>
      <rPr>
        <sz val="11"/>
        <color theme="1"/>
        <rFont val="Calibri"/>
        <family val="2"/>
      </rPr>
      <t>2-HSP</t>
    </r>
    <r>
      <rPr>
        <sz val="11"/>
        <color theme="1"/>
        <rFont val="宋体"/>
        <family val="2"/>
        <charset val="134"/>
      </rPr>
      <t>提供满足要求的套管图纸、套管材质及抗震报告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  <charset val="134"/>
      </rPr>
      <t>影响成本及交期</t>
    </r>
    <r>
      <rPr>
        <sz val="11"/>
        <color theme="1"/>
        <rFont val="Calibri"/>
        <family val="2"/>
      </rPr>
      <t>)-</t>
    </r>
    <r>
      <rPr>
        <sz val="11"/>
        <color rgb="FF00B050"/>
        <rFont val="Calibri"/>
        <family val="2"/>
      </rPr>
      <t>2025-12-09 项目经理确认HSP套管满足抗震要求，此项关闭</t>
    </r>
    <r>
      <rPr>
        <sz val="11"/>
        <color theme="1"/>
        <rFont val="Calibri"/>
        <family val="2"/>
      </rPr>
      <t xml:space="preserve">
3- PM</t>
    </r>
    <r>
      <rPr>
        <sz val="11"/>
        <color theme="1"/>
        <rFont val="宋体"/>
        <family val="2"/>
        <charset val="134"/>
      </rPr>
      <t xml:space="preserve">考虑是否可以换成沈阳传奇的套管
</t>
    </r>
    <r>
      <rPr>
        <sz val="11"/>
        <color theme="1"/>
        <rFont val="Calibri"/>
        <family val="2"/>
      </rPr>
      <t>4-</t>
    </r>
    <r>
      <rPr>
        <sz val="11"/>
        <color theme="1"/>
        <rFont val="宋体"/>
        <family val="2"/>
        <charset val="134"/>
      </rPr>
      <t>客户找</t>
    </r>
    <r>
      <rPr>
        <sz val="11"/>
        <color theme="1"/>
        <rFont val="Calibri"/>
        <family val="2"/>
      </rPr>
      <t>HSP</t>
    </r>
    <r>
      <rPr>
        <sz val="11"/>
        <color theme="1"/>
        <rFont val="宋体"/>
        <family val="2"/>
        <charset val="134"/>
      </rPr>
      <t>讨论，公司可以先用现套管做试验</t>
    </r>
  </si>
  <si>
    <r>
      <t>1-PM</t>
    </r>
    <r>
      <rPr>
        <sz val="11"/>
        <color theme="1"/>
        <rFont val="宋体"/>
        <family val="2"/>
        <charset val="134"/>
      </rPr>
      <t xml:space="preserve"> 确认图纸</t>
    </r>
  </si>
  <si>
    <t>1-PM 通知一次图纸确认，但是客户后续增加SEGRI 充氮灭火
2-PM催客户确认二次图纸 2025-12-09确认</t>
  </si>
  <si>
    <r>
      <t>1-PM 通知一次图纸确认，但是客户后续增加SEGRI 充氮灭火
2-PM</t>
    </r>
    <r>
      <rPr>
        <sz val="11"/>
        <color theme="1"/>
        <rFont val="宋体"/>
        <family val="2"/>
        <charset val="134"/>
      </rPr>
      <t>通知确认二次图纸 2025-12-09确认</t>
    </r>
  </si>
  <si>
    <t>客户未提供高压电缆终端图纸，影响高压母线箱设计</t>
  </si>
  <si>
    <t>张勇</t>
  </si>
  <si>
    <t>1,ABB 套管 变压器测带油罐
2,ABB 国内不生产34.5/13.8kV低压套管</t>
  </si>
  <si>
    <t>813135-813142</t>
  </si>
  <si>
    <t>其中3台油油改为油油套管+油空气+避雷器</t>
  </si>
  <si>
    <t>周骞</t>
  </si>
  <si>
    <t xml:space="preserve">OTI/WTI 大连世友仪表价格超报价，和其光电报价满足技术要求 </t>
  </si>
  <si>
    <t>邓亮</t>
  </si>
  <si>
    <t>庄琰</t>
  </si>
  <si>
    <t>813271-813273</t>
  </si>
  <si>
    <t>没有开关继电器和压力释放阀接线图，端子箱预留信号，能否现场接线</t>
  </si>
  <si>
    <r>
      <t>1)</t>
    </r>
    <r>
      <rPr>
        <sz val="11"/>
        <color theme="1"/>
        <rFont val="宋体"/>
        <family val="2"/>
        <charset val="134"/>
      </rPr>
      <t xml:space="preserve">一次图纸提交后，根据客户要求改版两次，至今未确认
</t>
    </r>
    <r>
      <rPr>
        <sz val="11"/>
        <color theme="1"/>
        <rFont val="Calibri"/>
        <family val="2"/>
      </rPr>
      <t>2)</t>
    </r>
    <r>
      <rPr>
        <sz val="11"/>
        <color theme="1"/>
        <rFont val="宋体"/>
        <family val="2"/>
        <charset val="134"/>
      </rPr>
      <t>二次图纸</t>
    </r>
    <r>
      <rPr>
        <sz val="11"/>
        <color theme="1"/>
        <rFont val="Calibri"/>
        <family val="2"/>
      </rPr>
      <t>11/28</t>
    </r>
    <r>
      <rPr>
        <sz val="11"/>
        <color theme="1"/>
        <rFont val="宋体"/>
        <family val="2"/>
        <charset val="134"/>
      </rPr>
      <t xml:space="preserve">提交
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>MR</t>
    </r>
    <r>
      <rPr>
        <sz val="11"/>
        <color theme="1"/>
        <rFont val="宋体"/>
        <family val="2"/>
        <charset val="134"/>
      </rPr>
      <t>未提交开关图纸</t>
    </r>
    <r>
      <rPr>
        <sz val="11"/>
        <color theme="1"/>
        <rFont val="Calibri"/>
        <family val="2"/>
      </rPr>
      <t xml:space="preserve"> 
4)设计院额外要求提供计算机电缆,</t>
    </r>
  </si>
  <si>
    <t>813279/813280</t>
  </si>
  <si>
    <t>马来西亚</t>
  </si>
  <si>
    <t>马来西亚 （脂油）</t>
  </si>
  <si>
    <t>Romania Valter Maracineanu</t>
  </si>
  <si>
    <t>福建</t>
  </si>
  <si>
    <t>Romania Yarok</t>
  </si>
  <si>
    <t>copy design 812941</t>
  </si>
  <si>
    <t>原订单811228</t>
  </si>
  <si>
    <r>
      <rPr>
        <sz val="11"/>
        <color theme="1"/>
        <rFont val="微软雅黑"/>
        <family val="2"/>
        <charset val="134"/>
      </rPr>
      <t>客户确认一次、二次图纸</t>
    </r>
    <r>
      <rPr>
        <sz val="11"/>
        <color theme="1"/>
        <rFont val="Calibri"/>
        <family val="2"/>
      </rPr>
      <t xml:space="preserve">
</t>
    </r>
    <r>
      <rPr>
        <b/>
        <strike/>
        <sz val="11"/>
        <color rgb="FF0000FF"/>
        <rFont val="宋体"/>
        <family val="3"/>
        <charset val="134"/>
      </rPr>
      <t>有取消订单的可能</t>
    </r>
    <r>
      <rPr>
        <sz val="11"/>
        <color theme="1"/>
        <rFont val="Calibri"/>
        <family val="2"/>
      </rPr>
      <t xml:space="preserve">
PM </t>
    </r>
    <r>
      <rPr>
        <sz val="11"/>
        <color theme="1"/>
        <rFont val="宋体"/>
        <family val="2"/>
        <charset val="134"/>
      </rPr>
      <t>组织</t>
    </r>
    <r>
      <rPr>
        <sz val="11"/>
        <color theme="1"/>
        <rFont val="Calibri"/>
        <family val="2"/>
      </rPr>
      <t>MR</t>
    </r>
    <r>
      <rPr>
        <sz val="11"/>
        <color theme="1"/>
        <rFont val="宋体"/>
        <family val="2"/>
        <charset val="134"/>
      </rPr>
      <t xml:space="preserve">及客户开会沟通-已沟通
</t>
    </r>
    <r>
      <rPr>
        <sz val="11"/>
        <color rgb="FF92D050"/>
        <rFont val="宋体"/>
        <family val="3"/>
        <charset val="134"/>
      </rPr>
      <t>PM 可以展开详细设计</t>
    </r>
    <r>
      <rPr>
        <sz val="11"/>
        <color theme="1"/>
        <rFont val="宋体"/>
        <family val="2"/>
        <charset val="134"/>
      </rPr>
      <t xml:space="preserve">
PM 将项目更改事项对应更新checklist
</t>
    </r>
  </si>
  <si>
    <r>
      <rPr>
        <sz val="11"/>
        <color theme="1"/>
        <rFont val="微软雅黑"/>
        <family val="2"/>
        <charset val="134"/>
      </rPr>
      <t xml:space="preserve">客户确认一次、二次图纸
</t>
    </r>
    <r>
      <rPr>
        <b/>
        <sz val="11"/>
        <color theme="1"/>
        <rFont val="微软雅黑"/>
        <family val="2"/>
        <charset val="134"/>
      </rPr>
      <t>PM-端子部分还需继续澄清，影响端子箱交货期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PM</t>
    </r>
    <r>
      <rPr>
        <b/>
        <sz val="11"/>
        <color theme="1"/>
        <rFont val="宋体"/>
        <family val="2"/>
        <charset val="134"/>
      </rPr>
      <t>继续催客户确认图纸+1</t>
    </r>
    <r>
      <rPr>
        <sz val="11"/>
        <color theme="1"/>
        <rFont val="Calibri"/>
        <family val="2"/>
        <charset val="134"/>
      </rPr>
      <t xml:space="preserve">
一二次图纸确认，端子按我司方案</t>
    </r>
  </si>
  <si>
    <t>1,PM 说服客户采用和其光电方案，PM已确认和其广电
2, offer 关注客户技术要求
3.,客户接受，方案可行。</t>
  </si>
  <si>
    <t>1，PM 确认方案是否可行
2客户接受，方案可行。</t>
  </si>
  <si>
    <t>813267/813270</t>
  </si>
  <si>
    <t>813295-300</t>
  </si>
  <si>
    <t>闽宁750千伏变电站</t>
  </si>
  <si>
    <t>北京青云地下变</t>
  </si>
  <si>
    <t>参考812396成都后子门</t>
  </si>
  <si>
    <t>Romania_Pestera project</t>
  </si>
  <si>
    <t>第一台VSR</t>
  </si>
  <si>
    <t>400kV_VSR</t>
  </si>
  <si>
    <t>77.5~155MVAr</t>
  </si>
  <si>
    <t>813303,813305-306</t>
  </si>
  <si>
    <t>813313,813315-813319</t>
  </si>
  <si>
    <t>150MVAr</t>
  </si>
  <si>
    <t>Spain REE /SE San Fost</t>
  </si>
  <si>
    <t>Spain REE /SE Meco</t>
  </si>
  <si>
    <t>copy design 813115</t>
  </si>
  <si>
    <t>试验套管数量不够</t>
  </si>
  <si>
    <t>沙特电抗器</t>
  </si>
  <si>
    <t>沙特电抗器6套提图日期太紧迫</t>
  </si>
  <si>
    <t>林林润</t>
  </si>
  <si>
    <t>813025-813028</t>
  </si>
  <si>
    <t>马来西亚脂油 提图</t>
  </si>
  <si>
    <t>Romania_Pestera 2WF</t>
  </si>
  <si>
    <t xml:space="preserve">Romania_Pestera 2WF </t>
  </si>
  <si>
    <t>详细设计完成状态</t>
  </si>
  <si>
    <t>813283, 813285-813287</t>
  </si>
  <si>
    <t>Peru_Alupar</t>
  </si>
  <si>
    <t>输入日期</t>
  </si>
  <si>
    <t>813095/96</t>
  </si>
  <si>
    <t>1,2026-01-05 各部门会议讨论执行方案
2, 2026-01-12 close</t>
  </si>
  <si>
    <t>一次二次图纸确认</t>
  </si>
  <si>
    <t>外形图意见</t>
  </si>
  <si>
    <t>1,2026-01-05:PM要求2026-01-15日之前提供6套图纸
2,2026-01-05:TPM 今天按照当前进度提供合理提图日期发给项目经理与客户沟通
3,2026-01-12:最后确认2026-1-31之前提供所有图纸
4,2026-01-12:套管需要提前采购 PM 需执行特殊流程审批</t>
  </si>
  <si>
    <t>1,2026-01-05：结构设计2026-01-14 提供一次二次图纸  （陈/王芳）</t>
  </si>
  <si>
    <t>copy design 813165</t>
  </si>
  <si>
    <t>客户提供CT 参数</t>
  </si>
  <si>
    <t>客户发来的现场铭牌 电算确认无法并联运行</t>
  </si>
  <si>
    <r>
      <rPr>
        <b/>
        <sz val="11"/>
        <rFont val="Calibri"/>
        <family val="2"/>
      </rPr>
      <t xml:space="preserve">PM </t>
    </r>
    <r>
      <rPr>
        <b/>
        <sz val="11"/>
        <rFont val="微软雅黑"/>
        <family val="2"/>
        <charset val="134"/>
      </rPr>
      <t>催客户提供</t>
    </r>
    <r>
      <rPr>
        <b/>
        <sz val="11"/>
        <rFont val="Calibri"/>
        <family val="2"/>
      </rPr>
      <t xml:space="preserve"> </t>
    </r>
    <r>
      <rPr>
        <b/>
        <sz val="11"/>
        <rFont val="微软雅黑"/>
        <family val="2"/>
        <charset val="134"/>
      </rPr>
      <t>电缆终端图纸</t>
    </r>
    <r>
      <rPr>
        <b/>
        <sz val="11"/>
        <rFont val="Calibri"/>
        <family val="2"/>
      </rPr>
      <t>+1 +2</t>
    </r>
    <r>
      <rPr>
        <b/>
        <sz val="11"/>
        <color rgb="FFFF0000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2026-01-05 PM </t>
    </r>
    <r>
      <rPr>
        <b/>
        <sz val="11"/>
        <color theme="1"/>
        <rFont val="微软雅黑"/>
        <family val="2"/>
        <charset val="134"/>
      </rPr>
      <t>沟通升级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微软雅黑"/>
        <family val="2"/>
        <charset val="134"/>
      </rPr>
      <t>通知</t>
    </r>
    <r>
      <rPr>
        <b/>
        <sz val="11"/>
        <color theme="1"/>
        <rFont val="Calibri"/>
        <family val="2"/>
      </rPr>
      <t>UAE+1
2026-01-13 客户邮件确认按照标准执行</t>
    </r>
  </si>
  <si>
    <t>周骞/丁睿</t>
  </si>
  <si>
    <t>高压套管该电压等级
2026-01-18 确认高压套管550kV 改420kV</t>
  </si>
  <si>
    <t>高压中压套管不能及时到货，考虑试验套管做试验</t>
  </si>
  <si>
    <t>一次二次图纸确认（2026-02 初期开始详细设计）</t>
  </si>
  <si>
    <t>2026-01-18 PM 催 一次二次图纸确认
2026-01-18 下午 PM 通知一次二次图纸确认</t>
  </si>
  <si>
    <t>实际完成日期</t>
  </si>
  <si>
    <t>要求完成日期</t>
  </si>
  <si>
    <t xml:space="preserve">2026-01-18 PM 确认变压器详细设计是否继续进行？PM 组织会议 重新安排设计计划
2026-01-26 确认更改并联运行，重新设计 更改新订单号
</t>
  </si>
  <si>
    <t xml:space="preserve"> 水冷器高度未提供，主变和冷却器噪音未提供</t>
  </si>
  <si>
    <t>2026-01-18  3支高压套管用罗马尼亚项目传奇420kV套管 替代试验，PM需要与客户确认是否同意用试验套管做试验
2026-01-26 PM 确认客户同意试验套管做试验，设计出试验方案
2026-02-02 close</t>
  </si>
  <si>
    <t>2026-01-26 PM 催客户提供参数
2026-02-02 close</t>
  </si>
  <si>
    <t>2026-01-26 PM 催图纸确认
2026-02-02 一次二次确认图纸 PM发邮件</t>
  </si>
  <si>
    <t>客户有意向增加平衡母线箱，此项更改影响本项目加防护罩</t>
  </si>
  <si>
    <t>此项更改影响外新图！ 
206-02-09 确认带平衡母线箱</t>
  </si>
  <si>
    <t>Sensformer 接线未按照说明书接线，需要Sensoformer 厂家 更新说明书</t>
  </si>
  <si>
    <t>PM  确认按照Sensformer 厂家邮件接线即可</t>
  </si>
  <si>
    <t xml:space="preserve">Spain REE /SE Villarino </t>
  </si>
  <si>
    <t>现场测量后重新提图</t>
  </si>
  <si>
    <t>Australia _LSBP Lower Wonga Solar Farm</t>
  </si>
  <si>
    <t>外形图意见，一次二次图纸确认</t>
  </si>
  <si>
    <t>813277/278</t>
  </si>
  <si>
    <t>导变问题</t>
  </si>
  <si>
    <t>2026-01-18 PM 催客户提供CT 参数 ，套管已经发技术订单
2026-01-26：PM 继续催客户提供参数
2026-02-02 PM 继续联系客户确认
2026-02-09 PM 继续联系客户确认
2026-03-02  接PM通知，此项目暂停</t>
  </si>
  <si>
    <t>Romania_Noria 2 project</t>
  </si>
  <si>
    <t>Romania_Arad project</t>
  </si>
  <si>
    <t>copy 812976</t>
  </si>
  <si>
    <t>813295~300</t>
  </si>
  <si>
    <t>套管抗震问题</t>
  </si>
  <si>
    <r>
      <t xml:space="preserve">1, 2026-01-05: PM催客户确认方案
2, 2026-01-12: PM催客户确认方案+1w
</t>
    </r>
    <r>
      <rPr>
        <b/>
        <sz val="11"/>
        <rFont val="Calibri"/>
        <family val="2"/>
      </rPr>
      <t>3, 2026-01-18 采购和 PM 确认 已经采购的550kV套管使用到其他项目
4,2026-01-18 PM 催客户提供420kV套管新的供应商
5,2026-01-18 采购 与传奇沟通是否能够生产该绝缘水平的420kV 套管，</t>
    </r>
    <r>
      <rPr>
        <sz val="11"/>
        <rFont val="Calibri"/>
        <family val="2"/>
      </rPr>
      <t xml:space="preserve">
6.2026-01-26 SE 再次与客户沟通原套管（只改电气参数）的可行性
7.2026-02-02 采购协助催传奇改图纸，PM 继续与客户沟通
8.2026-02-09  PM 反馈2026-02-11 客户给答复
9. 2026-03-02：客户已于2026-02-25 确认</t>
    </r>
  </si>
  <si>
    <t>copy design 813001</t>
  </si>
  <si>
    <t>1,2026-01-12:使用4支 252kV 和新库存套管做试验套管，
                            PM确认试验套管是否其他项目使用冲突
2, 2026-01-18 客户不接受试验套管
3,2026-01-26 PM 林与客户再次沟通
4.2026-02-02 PM 与客户沟通 用传奇套管替代HSP供货
5.2026-02-09  客户不同意替代套管电流1250A 代替1600A,采购协助联系传奇能否更改桃套管图纸
6. 2026-03-02  客户不同意传奇套管方案，需要采购继续催HSP交期
7.2026-03-09  确认等原套管做试验，此项目从设计移除。请相关部门关注</t>
  </si>
  <si>
    <t>813301/302</t>
  </si>
  <si>
    <t>外形图确认</t>
  </si>
  <si>
    <t xml:space="preserve">1. 2026-03-02:MD按照客户意见更新完图纸，PM协助催客户2026-3-09日前确认
2. 2026-03-09   客户2026-03-06确认图纸
</t>
  </si>
  <si>
    <t>2026-01-12： 一次二次图纸确认
2026-01-18：PM 与客户联系年前确认一次图纸
2026-01-26：PM 与客户联系年前确认一次图纸
2026-02-02 PM 继续联系客户确认
2026-02-09 PM 继续联系客户确认
2026-03-02  客户于2026-02-12 外形图确认</t>
  </si>
  <si>
    <t>CT参数</t>
  </si>
  <si>
    <t>1.  2026-03-02:   原设计都导变813165，  客户最新要求一台导变813165(不带平衡)， 一台导变813168(带平衡)。 需要PM于2026-03-05日确认。(开关、套管订单已下发)
2. 2026-03-09：PM确认2个不同导变，是否需等签PO后，详设才执行？
3.2026-03-16  项目经理已发邮件通知确认2个项目，813278已移至4月份详设</t>
  </si>
  <si>
    <t>确认变压器运输高度4.2米限制</t>
  </si>
  <si>
    <t>高压零相套管型式试验报告</t>
  </si>
  <si>
    <t xml:space="preserve">1.  2026-03-16 :  中性点CT参数请客户于03-19之前提供，否则影响提图和订购套管
2,2026-03-23 PM 意见按照以前罗马尼亚项目提供铭牌图纸，发用户确认
</t>
  </si>
  <si>
    <t>PM 确认是否采购一支套管做型式试验 ；2026-03-23 PM 邮件确认重新采购</t>
  </si>
  <si>
    <t>2D</t>
    <phoneticPr fontId="11" type="noConversion"/>
  </si>
  <si>
    <t>3D</t>
    <phoneticPr fontId="11" type="noConversion"/>
  </si>
  <si>
    <t>813326/813327</t>
  </si>
  <si>
    <t>上海电气Malaysia Serian</t>
  </si>
  <si>
    <t>South Africa_Strategic Spare</t>
  </si>
  <si>
    <t>813329/813330/813331</t>
  </si>
  <si>
    <t>South Africa_Eige Substation</t>
  </si>
  <si>
    <t>813337/813338</t>
  </si>
  <si>
    <t xml:space="preserve">Malaysia Equinix </t>
  </si>
  <si>
    <t>813352/813353/813355/813356</t>
  </si>
  <si>
    <t>Laos Phakao</t>
  </si>
  <si>
    <t>一次、二次图纸确认</t>
  </si>
  <si>
    <t>812752/812753</t>
  </si>
  <si>
    <t xml:space="preserve">	813211/245/208 </t>
  </si>
  <si>
    <t>二次图纸确认</t>
  </si>
  <si>
    <r>
      <t xml:space="preserve">2026-01-12：图纸确认过程中 小是否配小车 技术协议与LOP 不一致，需要项目经理尽快确认是否带小车，影响外形图和基础图
2026-01-26：PM 继续催客户确认
</t>
    </r>
    <r>
      <rPr>
        <b/>
        <u/>
        <sz val="11"/>
        <rFont val="Calibri"/>
        <family val="2"/>
      </rPr>
      <t>2026-02-02 PM 继续联系客户确认
2026-02-09  暂时按照不提供小车提供图纸
2026-03-02:MD按照客户意见更新完图纸，PM协助催客户2026-03-06日前确认</t>
    </r>
    <r>
      <rPr>
        <sz val="11"/>
        <rFont val="Calibri"/>
        <family val="2"/>
      </rPr>
      <t xml:space="preserve">
2026-03-09  客户于2026-03-06回复意见，外形只对梯子有意见。二次和评审报告有意见，需更新。
2026-03-16  外形图已更新，请客户03-18前确认。
2026-03-23外形图已更新，客户 未确认图纸 </t>
    </r>
    <r>
      <rPr>
        <b/>
        <u/>
        <sz val="11"/>
        <rFont val="Calibri"/>
        <family val="2"/>
      </rPr>
      <t>已经影响详细设计</t>
    </r>
    <r>
      <rPr>
        <sz val="11"/>
        <rFont val="Calibri"/>
        <family val="2"/>
      </rPr>
      <t>，PM 继续跟踪！！
2026-03-30 外形图已确认</t>
    </r>
  </si>
  <si>
    <t>加拿大电缆需CSA 认证</t>
  </si>
  <si>
    <t>开关图纸</t>
  </si>
  <si>
    <t xml:space="preserve">	813328/329</t>
  </si>
  <si>
    <t>提图计划</t>
  </si>
  <si>
    <t>二次图纸跟踪</t>
  </si>
  <si>
    <t>2026-03-23 PM 确认4.2米运输高度是否为强制要求，如果有此要求 ED 需要3柱改5柱铁芯，重新电算设计，PM 权衡是否影响交货期
2026-03-30 客户确认可以按现在外形图的运输高度</t>
  </si>
  <si>
    <t xml:space="preserve">	813037</t>
  </si>
  <si>
    <t>Romania  Iron Gates I HPP</t>
  </si>
  <si>
    <t>813357-813359</t>
  </si>
  <si>
    <t>813345-813351</t>
  </si>
  <si>
    <t>Romania_CEF Arad</t>
  </si>
  <si>
    <t>郑瑞阳</t>
    <phoneticPr fontId="11" type="noConversion"/>
  </si>
  <si>
    <t>813340/341</t>
  </si>
  <si>
    <t>813342/343</t>
  </si>
  <si>
    <t>导变813267</t>
  </si>
  <si>
    <t>沙特80MVAR/132kV电抗器</t>
  </si>
  <si>
    <t>沙特SEC-油空气</t>
  </si>
  <si>
    <t>沙特SEC-油SF6</t>
  </si>
  <si>
    <t>813307-813309</t>
  </si>
  <si>
    <t>813310-813312</t>
  </si>
  <si>
    <t>配合现场油油母线箱/空气母线箱接口</t>
  </si>
  <si>
    <t xml:space="preserve">Romania  Yarok </t>
  </si>
  <si>
    <t>导变812975</t>
  </si>
  <si>
    <t>813231/813232(2套图纸)</t>
  </si>
  <si>
    <t>泰国西门子EPC 台湾变压器</t>
  </si>
  <si>
    <t>813237/813238(2套图纸)</t>
  </si>
  <si>
    <t>813235/813236(2套图纸)</t>
  </si>
  <si>
    <t>813233/813234(2套图纸)</t>
  </si>
  <si>
    <t>813277/813278(2套图纸)</t>
  </si>
  <si>
    <r>
      <t xml:space="preserve">2026-01-12： 一次二次图纸确认
</t>
    </r>
    <r>
      <rPr>
        <sz val="11"/>
        <rFont val="Calibri"/>
        <family val="2"/>
      </rPr>
      <t>2026-01-18：PM 与客户联系年前确认图纸</t>
    </r>
    <r>
      <rPr>
        <sz val="11"/>
        <color theme="1"/>
        <rFont val="Calibri"/>
        <family val="2"/>
      </rPr>
      <t xml:space="preserve">
2026-03-02  客户已于2026-02-12确认图纸
2026-04-13 设计院提落地供控制柜位置，核实发货电缆长度</t>
    </r>
  </si>
  <si>
    <r>
      <rPr>
        <sz val="11"/>
        <rFont val="Calibri"/>
        <family val="2"/>
      </rPr>
      <t xml:space="preserve">1.  2026-03-09 :   瓷套管不满足竖直0.4g的抗震要求， 硅橡胶可以满足。 QGDW 13001-2025 不执行。 需要项目经理和采购决定如何执行.请本周内确定
2. 2026-03-16 PM需要确认是否改为硅橡胶干式-2026-03-19前
3. 2026-03-23 PM 正式书面确认 800kV 套管 使用瓷外套 OIP 套管
4.2026-03-30  客户接受 800kV 套管 使用磁外套 OIP 套管
</t>
    </r>
    <r>
      <rPr>
        <sz val="11"/>
        <color rgb="FFFF0000"/>
        <rFont val="Calibri"/>
        <family val="2"/>
      </rPr>
      <t xml:space="preserve">
</t>
    </r>
  </si>
  <si>
    <t>郑瑞阳/高伟廷</t>
  </si>
  <si>
    <t>ABB 继电器，油位计型号选型</t>
  </si>
  <si>
    <r>
      <rPr>
        <sz val="11"/>
        <rFont val="Calibri"/>
        <family val="2"/>
      </rPr>
      <t>2026-03-30 :   采购跟踪MR图纸更改，PM澄清sensformer的我们供货范围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2026-04-13  PM 确认 sensformer传感器和光纤盒供货范围问题，采购确认sensformer咱不供了，光纤盒供应商也无法提供；结论：MD 下库存订单30个 </t>
    </r>
  </si>
  <si>
    <t xml:space="preserve">Australia_ Quinbrook </t>
  </si>
  <si>
    <t>813292/913293 脂油</t>
  </si>
  <si>
    <t>珠海高栏海上风电</t>
  </si>
  <si>
    <t>周骞
周坤</t>
  </si>
  <si>
    <t xml:space="preserve">	813139 先做设计</t>
  </si>
  <si>
    <t>813340/813341</t>
  </si>
  <si>
    <t>更改设计</t>
  </si>
  <si>
    <t>现场改造</t>
  </si>
  <si>
    <t>器身导变822807，出线方式更改</t>
  </si>
  <si>
    <t>是否有备件</t>
  </si>
  <si>
    <t xml:space="preserve">1,技术先询价OIP +RIP 套管+避雷器
2,项目经理确认方案+1w+2w
3, 2026-01-12：客户已经反馈部分技术参数，PM继续催提供全部技术方案，2026-01-18 +1W，
4,2026-01-26 确认了两台变压器的方案，PM 继续催其他没有确认方案
5.2026-01-26 讨论重新提图日期
6.2026-02-02 根据客户提供的技术资料 更新technical input check 陈+周
7. 2026-03-02 两台阻抗不明，电算无法展开设计，影响设计。PM继续跟客户确认
8. 2026-03-09  PM继续跟客户确认阻抗问题
9. 2026-03-16 PM需跟客户继续澄清-2026-03-20前
10.2026-3-23 客户提供了阻抗值，PM 跟踪方案可行性 以便展开设计 
11,2026-04-13 PM 继续跟踪线圈布置，电算按照当前方案继续
 2026-04-27 继续跟踪线圈布置，电算按照当前方案继续 close
</t>
  </si>
  <si>
    <t>813138-813139提图后无反馈</t>
  </si>
  <si>
    <t xml:space="preserve">2026-03-30 采购寻满足CSA 认证的电缆供应商
2026-03-30 PM 同步与客户确认能否用当前电缆供货
2026-04-13 二次澄清问题至今没回复，影响二次图纸
2026-04-20 PM 油位计、端子排、电缆颜色三个待处理项
2026-04-27 PM 油位计、端子排、电缆颜色三个相 确认 </t>
  </si>
  <si>
    <t>2026-03-30 :   PM催客户二次监测设备图纸确认(牵涉客户现场监测配合)
2026-04-27 ：二次确认</t>
  </si>
  <si>
    <t>813375-813380</t>
  </si>
  <si>
    <t>甘肃酒泉玉门750千伏变电站</t>
  </si>
  <si>
    <t>813381-813383</t>
  </si>
  <si>
    <t>郑州500千伏变电站</t>
  </si>
  <si>
    <t>Close</t>
  </si>
  <si>
    <r>
      <t>1- PM</t>
    </r>
    <r>
      <rPr>
        <sz val="11"/>
        <rFont val="宋体"/>
        <family val="2"/>
        <charset val="134"/>
      </rPr>
      <t xml:space="preserve">催客户尽快确认图纸+1
</t>
    </r>
    <r>
      <rPr>
        <sz val="11"/>
        <rFont val="Calibri"/>
        <family val="2"/>
      </rPr>
      <t>2-</t>
    </r>
    <r>
      <rPr>
        <sz val="11"/>
        <rFont val="宋体"/>
        <family val="2"/>
        <charset val="134"/>
      </rPr>
      <t>采购催</t>
    </r>
    <r>
      <rPr>
        <sz val="11"/>
        <rFont val="Calibri"/>
        <family val="2"/>
      </rPr>
      <t>MR</t>
    </r>
    <r>
      <rPr>
        <sz val="11"/>
        <rFont val="宋体"/>
        <family val="2"/>
        <charset val="134"/>
      </rPr>
      <t>尽快提交开关二次图纸-close</t>
    </r>
    <r>
      <rPr>
        <sz val="11"/>
        <rFont val="Calibri"/>
        <family val="2"/>
      </rPr>
      <t xml:space="preserve">
3,PM确认要什么型号电缆
4.一次已经确认，二次稍有意见，可以往下进行
2026-04-13 设计院提落地供控制柜位置，核实发货电缆长度，2026-05-11已确认</t>
    </r>
  </si>
  <si>
    <t>2026-04-13 采购催Messko 油位计 回复；PM 与客户沟通Qulitrol  油位计 与现场图片不匹配
2026-04-27 配传统继电器 +ABB 继电器，设计检查油箱油位计可行性 
2026-05-11：图纸已更新</t>
  </si>
  <si>
    <t>813385-813386</t>
  </si>
  <si>
    <t>Poland_ Gryfino LPT</t>
  </si>
  <si>
    <t>套管图纸</t>
  </si>
  <si>
    <t>813375 甘肃酒泉玉门</t>
  </si>
  <si>
    <t xml:space="preserve">导变813157 </t>
  </si>
  <si>
    <t>2026财年结构设计订单管理</t>
  </si>
  <si>
    <t>copy design 813387</t>
  </si>
  <si>
    <t xml:space="preserve">Romania_Rosiori </t>
  </si>
  <si>
    <t>similar design813698</t>
  </si>
  <si>
    <t xml:space="preserve">更换套管厂家 </t>
  </si>
  <si>
    <t>未中标</t>
  </si>
  <si>
    <t>813368~371</t>
  </si>
  <si>
    <t>芬兰Google</t>
  </si>
  <si>
    <r>
      <t>1-</t>
    </r>
    <r>
      <rPr>
        <sz val="11"/>
        <rFont val="宋体"/>
        <family val="2"/>
        <charset val="134"/>
      </rPr>
      <t xml:space="preserve">客户确认一次图纸
</t>
    </r>
    <r>
      <rPr>
        <sz val="11"/>
        <rFont val="Calibri"/>
        <family val="2"/>
      </rPr>
      <t>2-</t>
    </r>
    <r>
      <rPr>
        <sz val="11"/>
        <rFont val="宋体"/>
        <family val="2"/>
        <charset val="134"/>
      </rPr>
      <t>二次信号全部提供</t>
    </r>
    <r>
      <rPr>
        <sz val="11"/>
        <rFont val="Calibri"/>
        <family val="2"/>
      </rPr>
      <t>(12/1</t>
    </r>
    <r>
      <rPr>
        <sz val="11"/>
        <rFont val="宋体"/>
        <family val="2"/>
        <charset val="134"/>
      </rPr>
      <t>，二次信号已提供</t>
    </r>
    <r>
      <rPr>
        <sz val="11"/>
        <rFont val="Calibri"/>
        <family val="2"/>
      </rPr>
      <t>)
3-PM</t>
    </r>
    <r>
      <rPr>
        <sz val="11"/>
        <rFont val="宋体"/>
        <family val="2"/>
        <charset val="134"/>
      </rPr>
      <t>答应详设继续</t>
    </r>
    <r>
      <rPr>
        <sz val="11"/>
        <rFont val="Calibri"/>
        <family val="2"/>
      </rPr>
      <t>(12/1)
4-</t>
    </r>
    <r>
      <rPr>
        <sz val="11"/>
        <rFont val="宋体"/>
        <family val="2"/>
        <charset val="134"/>
      </rPr>
      <t>采购催</t>
    </r>
    <r>
      <rPr>
        <sz val="11"/>
        <rFont val="Calibri"/>
        <family val="2"/>
      </rPr>
      <t>MR</t>
    </r>
    <r>
      <rPr>
        <sz val="11"/>
        <rFont val="宋体"/>
        <family val="2"/>
        <charset val="134"/>
      </rPr>
      <t>提交图纸</t>
    </r>
    <r>
      <rPr>
        <sz val="11"/>
        <rFont val="Calibri"/>
        <family val="2"/>
      </rPr>
      <t xml:space="preserve">
5-PM </t>
    </r>
    <r>
      <rPr>
        <sz val="11"/>
        <rFont val="微软雅黑"/>
        <family val="2"/>
        <charset val="134"/>
      </rPr>
      <t xml:space="preserve">催客户确认二次图纸,
</t>
    </r>
    <r>
      <rPr>
        <sz val="11"/>
        <rFont val="Calibri"/>
        <family val="2"/>
      </rPr>
      <t>6.</t>
    </r>
    <r>
      <rPr>
        <sz val="11"/>
        <rFont val="微软雅黑"/>
        <family val="2"/>
        <charset val="134"/>
      </rPr>
      <t>施乐百风机数量及噪音问题，噪音只有</t>
    </r>
    <r>
      <rPr>
        <sz val="11"/>
        <rFont val="Calibri"/>
        <family val="2"/>
      </rPr>
      <t>1dBA</t>
    </r>
    <r>
      <rPr>
        <sz val="11"/>
        <rFont val="微软雅黑"/>
        <family val="2"/>
        <charset val="134"/>
      </rPr>
      <t>的裕度，需提前通知试验室注意。</t>
    </r>
    <r>
      <rPr>
        <sz val="11"/>
        <rFont val="Calibri"/>
        <family val="2"/>
      </rPr>
      <t xml:space="preserve">
7.</t>
    </r>
    <r>
      <rPr>
        <sz val="11"/>
        <rFont val="微软雅黑"/>
        <family val="2"/>
        <charset val="134"/>
      </rPr>
      <t>开关</t>
    </r>
    <r>
      <rPr>
        <sz val="11"/>
        <rFont val="Calibri"/>
        <family val="2"/>
      </rPr>
      <t>MR</t>
    </r>
    <r>
      <rPr>
        <sz val="11"/>
        <rFont val="微软雅黑"/>
        <family val="2"/>
        <charset val="134"/>
      </rPr>
      <t>通知要把电动机构改为</t>
    </r>
    <r>
      <rPr>
        <sz val="11"/>
        <rFont val="Calibri"/>
        <family val="2"/>
      </rPr>
      <t>ED,</t>
    </r>
    <r>
      <rPr>
        <sz val="11"/>
        <rFont val="微软雅黑"/>
        <family val="2"/>
        <charset val="134"/>
      </rPr>
      <t xml:space="preserve">进一步落实。2026-1-3日确认更改为ED
</t>
    </r>
    <r>
      <rPr>
        <sz val="11"/>
        <rFont val="Calibri"/>
        <family val="2"/>
      </rPr>
      <t xml:space="preserve">8.MR </t>
    </r>
    <r>
      <rPr>
        <sz val="11"/>
        <rFont val="微软雅黑"/>
        <family val="2"/>
        <charset val="134"/>
      </rPr>
      <t>提供更改</t>
    </r>
    <r>
      <rPr>
        <sz val="11"/>
        <rFont val="Calibri"/>
        <family val="2"/>
      </rPr>
      <t xml:space="preserve">ED </t>
    </r>
    <r>
      <rPr>
        <sz val="11"/>
        <rFont val="微软雅黑"/>
        <family val="2"/>
        <charset val="134"/>
      </rPr>
      <t>后的图纸</t>
    </r>
    <r>
      <rPr>
        <sz val="11"/>
        <rFont val="Calibri"/>
        <family val="2"/>
      </rPr>
      <t xml:space="preserve">  </t>
    </r>
    <r>
      <rPr>
        <sz val="11"/>
        <rFont val="微软雅黑"/>
        <family val="2"/>
        <charset val="134"/>
      </rPr>
      <t>采购</t>
    </r>
    <r>
      <rPr>
        <sz val="11"/>
        <rFont val="Calibri"/>
        <family val="2"/>
      </rPr>
      <t>+1W+2W, 2026-01-19 提供图纸
9.2026-01-19 重新更新一次二次图纸，发客户确认
10,.2026-02-02 客户已确认</t>
    </r>
  </si>
  <si>
    <r>
      <t xml:space="preserve">1- </t>
    </r>
    <r>
      <rPr>
        <sz val="11"/>
        <rFont val="微软雅黑"/>
        <family val="2"/>
        <charset val="134"/>
      </rPr>
      <t>是否只有高压和中压套管无法到货？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低压和中性点的</t>
    </r>
    <r>
      <rPr>
        <sz val="11"/>
        <rFont val="Calibri"/>
        <family val="2"/>
      </rPr>
      <t>COMEN</t>
    </r>
    <r>
      <rPr>
        <sz val="11"/>
        <rFont val="微软雅黑"/>
        <family val="2"/>
        <charset val="134"/>
      </rPr>
      <t xml:space="preserve">套管能按时到货。
</t>
    </r>
    <r>
      <rPr>
        <sz val="11"/>
        <rFont val="Calibri"/>
        <family val="2"/>
      </rPr>
      <t>2-</t>
    </r>
    <r>
      <rPr>
        <sz val="11"/>
        <rFont val="微软雅黑"/>
        <family val="2"/>
        <charset val="134"/>
      </rPr>
      <t xml:space="preserve">几台变压器需要做试验布置？
</t>
    </r>
    <r>
      <rPr>
        <sz val="11"/>
        <rFont val="Calibri"/>
        <family val="2"/>
      </rPr>
      <t>3-</t>
    </r>
    <r>
      <rPr>
        <sz val="11"/>
        <rFont val="微软雅黑"/>
        <family val="2"/>
        <charset val="134"/>
      </rPr>
      <t xml:space="preserve">库存套管列表里的是否都能选用？
</t>
    </r>
    <r>
      <rPr>
        <sz val="11"/>
        <rFont val="Calibri"/>
        <family val="2"/>
      </rPr>
      <t>4-</t>
    </r>
    <r>
      <rPr>
        <sz val="11"/>
        <rFont val="微软雅黑"/>
        <family val="2"/>
        <charset val="134"/>
      </rPr>
      <t>由于原高压引线用的</t>
    </r>
    <r>
      <rPr>
        <sz val="11"/>
        <rFont val="Calibri"/>
        <family val="2"/>
      </rPr>
      <t>ABB</t>
    </r>
    <r>
      <rPr>
        <sz val="11"/>
        <rFont val="微软雅黑"/>
        <family val="2"/>
        <charset val="134"/>
      </rPr>
      <t>套管自带均压球，</t>
    </r>
    <r>
      <rPr>
        <sz val="11"/>
        <rFont val="Calibri"/>
        <family val="2"/>
      </rPr>
      <t xml:space="preserve"> </t>
    </r>
    <r>
      <rPr>
        <sz val="11"/>
        <rFont val="微软雅黑"/>
        <family val="2"/>
        <charset val="134"/>
      </rPr>
      <t>与试验套管尾部不同，所以需要重做一套高压引线</t>
    </r>
    <r>
      <rPr>
        <sz val="11"/>
        <rFont val="Calibri"/>
        <family val="2"/>
      </rPr>
      <t xml:space="preserve">
</t>
    </r>
    <r>
      <rPr>
        <b/>
        <sz val="11"/>
        <rFont val="微软雅黑"/>
        <family val="2"/>
        <charset val="134"/>
      </rPr>
      <t>目前看满足交期，后续需要跟踪</t>
    </r>
  </si>
  <si>
    <r>
      <rPr>
        <b/>
        <sz val="11"/>
        <rFont val="Calibri"/>
        <family val="2"/>
      </rPr>
      <t>1</t>
    </r>
    <r>
      <rPr>
        <b/>
        <strike/>
        <sz val="11"/>
        <rFont val="Calibri"/>
        <family val="2"/>
      </rPr>
      <t xml:space="preserve">，MR 说服当地客户不提供，
</t>
    </r>
    <r>
      <rPr>
        <b/>
        <sz val="11"/>
        <rFont val="Calibri"/>
        <family val="2"/>
      </rPr>
      <t xml:space="preserve">2025-12-15 最新意见：就目前技术 MR在菲律宾寻求新的解决方案
2025-12-22 MR 直接与现场客户确认技术接口，等待MR 报价
</t>
    </r>
    <r>
      <rPr>
        <sz val="11"/>
        <rFont val="Calibri"/>
        <family val="2"/>
      </rPr>
      <t xml:space="preserve">2,PM 跟进此问题进程 避免影响项目进行
3. 等待客户意见（是否接受MR的方案）
4, 2026-01-05 客户召集MR开会讨论具体方案
5,2026-01-12 客户确认MR不再负责在线监测远方控制方案，改为DGA （锐开）负责，采购进行询价 并提供图纸
6,2026-01-18 已提供检测图纸，PM发给客户确认
</t>
    </r>
    <r>
      <rPr>
        <b/>
        <sz val="11"/>
        <rFont val="Calibri"/>
        <family val="2"/>
      </rPr>
      <t>7,2026-01-18 三相电400V改为230V ，影响风机、油泵、开关、二次控制箱，项目经理 确认是否坚持更改，影响太大，PM 2026-1-21号之前答复</t>
    </r>
    <r>
      <rPr>
        <sz val="11"/>
        <rFont val="Calibri"/>
        <family val="2"/>
      </rPr>
      <t xml:space="preserve">
8.2026-01-26 PM 确认电源无需更改继续进行
9.2026-01-26 采购催更改MR图纸</t>
    </r>
  </si>
  <si>
    <t>2026-01-12： 一次二次图纸确认
2026-01-18：低压套管高度更改 ，结构设计更新图纸 发客户确认
2026-01-26 PM 与客户确认 低压套管高度无法降低
2026-02-02 PM 继续联系客户确认
2026-02-09 一次图纸确认，PM 继续催客户确认二次图纸
2026-03-02    客户承诺2026-3-2日给二次确认
2026-03-09  客户已反馈二次意见，03-12更新后提交
2026-03-16  客户已确认二次图纸 
2026-04-13 设计院提落地供控制柜位置，核实发货电缆长度
2026-04-27  close</t>
  </si>
  <si>
    <t>1.  2026-03-09 :   2026-2-13已提交先期图纸，需PM协助要求客户2026-03-20前确认
2.  2026-03-16 :   PM催客户2026-03-31确认一次图纸
3. 2026-03-26: 客户如果2026-03-31日一次图纸不确认， 将延迟交货期 。二次也等待确认
4. 2026-03-30: 客户可能推迟交货期，4.5日客户给下一步确认图纸的时间，客户需优先确认房间布置
5. 2026-04-13 close</t>
  </si>
  <si>
    <r>
      <rPr>
        <strike/>
        <sz val="11"/>
        <rFont val="Calibri"/>
        <family val="2"/>
      </rPr>
      <t xml:space="preserve">1/19/2026
</t>
    </r>
    <r>
      <rPr>
        <sz val="11"/>
        <rFont val="Calibri"/>
        <family val="2"/>
      </rPr>
      <t>2026-01-31</t>
    </r>
  </si>
  <si>
    <t xml:space="preserve">2026-03-30 :   采购跟踪MR图纸提供
2026-04-13 ：采购催MR开关图纸
2026-04-20 ：采购催MR开关图纸
2026-04-27：MR 图纸继续更新
2026-05-11：未更新正确，需要继续更改
2026-05-18：未更新正确，需要继续更改 
2026-05-25  MR已提供更新图纸，已提交客户
</t>
  </si>
  <si>
    <t>2026-03-30 :   PM跟踪推动 相应在线监测设备图纸的确认 
2026-04-13 :   PM跟踪推动 相应在线监测设备图纸的确认
2026-04-27: 813211端子箱位置确认
2026-05-11：只差813208未确认
2026-05-18 813208 端子箱位置+5 庄琰
2026-05-25 813208二次已确认</t>
  </si>
  <si>
    <r>
      <t>2026-03-30 :   PM要求提供提图计划表(2个设计，813329交期急) ；813329 5月15日提图；813328 6月15提图
2026-04-13：PM 催套管图纸确认，
2026-04-20 套管图纸带意见批复，设计发订单
2</t>
    </r>
    <r>
      <rPr>
        <b/>
        <u/>
        <sz val="11"/>
        <rFont val="Calibri"/>
        <family val="2"/>
      </rPr>
      <t>026-04-27：PM 催套管图纸确认</t>
    </r>
    <r>
      <rPr>
        <sz val="11"/>
        <rFont val="Calibri"/>
        <family val="2"/>
      </rPr>
      <t xml:space="preserve">
2026-05-11：客户对图纸还未完全确认
2026-05-18：客户对图纸还未完全确认+3
2026-05-25：PM确认套管图纸都批复可行
</t>
    </r>
  </si>
  <si>
    <t>2026-04-20：PM 确认是否提供备件
2026-05-11：PM 继续澄清
2026-05-18 PM继续澄清 如何执行+3
2026-05-25 PM待合同签订后更新checklist</t>
  </si>
  <si>
    <t>2026-05-18 PM:813181 一次二次图纸没有确认是否可以生产
2026-05-25 PM通知设计暂停</t>
  </si>
  <si>
    <t xml:space="preserve">2026-05-18 PM 第三方提供的 DGA 设备接口变动  需在本体端子箱内增加设备，端子箱已经在车间 接线，但前端子箱空间不够 建议不再更改 端子箱；DGA 设备阀门接口未提供尺寸无法下技术订单
2026-05-25 PM确认已解决
</t>
  </si>
  <si>
    <t>Romania_Ungheni (交货期着急需要尽早图）</t>
  </si>
  <si>
    <t xml:space="preserve">2026-04-20 ：PM 确认是否合并至813342项目，PM 通知813340开关套管订单暂停
2026-04-27 close
2026-5-25 PM需要更新checklist, 以便按此更新算单和设计
</t>
  </si>
  <si>
    <t>813388/389</t>
  </si>
  <si>
    <t>史乾坤林立润</t>
  </si>
  <si>
    <r>
      <rPr>
        <sz val="11"/>
        <rFont val="Calibri"/>
        <family val="2"/>
      </rPr>
      <t xml:space="preserve">2026-04-20 ： 设计评估但前设计输入是否可开展设计；ED 尽快设计方案以便检查器身重量是否满足现场基础载荷；PM 协调客户提供需要的现场接口尺寸 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>2026-04-27 结构设计check 重量是否超出现场基础载荷
2026-05-11：自冷负荷需确认 2026-5-8 日已经确认
2026-05-18：结构设计check 重量是否超出现场基础载荷+2
2026-05-25：结构设计check 重量是否超出现场基础载荷+3-李红杰
2026-06-01：结构设计check 重量是否超出现场基础载荷+4-李红杰 06-01 确认总重不超过现场变压器重量</t>
    </r>
  </si>
  <si>
    <t>Australia Powercor II</t>
  </si>
  <si>
    <t>Copy design 813275</t>
  </si>
  <si>
    <r>
      <t xml:space="preserve">2026-03-30 :   PM催客户确认一次、二次图纸
</t>
    </r>
    <r>
      <rPr>
        <sz val="11"/>
        <rFont val="Calibri"/>
        <family val="2"/>
      </rPr>
      <t>项目经理需催促客户4月22日前确认二次图纸，尽早确认，否则影响详设。客户指定的供货商</t>
    </r>
    <r>
      <rPr>
        <sz val="11"/>
        <color theme="1"/>
        <rFont val="Calibri"/>
        <family val="2"/>
      </rPr>
      <t xml:space="preserve">
</t>
    </r>
    <r>
      <rPr>
        <sz val="11"/>
        <rFont val="Calibri"/>
        <family val="2"/>
      </rPr>
      <t>5.2026-04-13 二次图纸确认
2026-04-27 二次图纸确认</t>
    </r>
    <r>
      <rPr>
        <sz val="11"/>
        <color theme="1"/>
        <rFont val="Calibri"/>
        <family val="2"/>
      </rPr>
      <t xml:space="preserve">，
</t>
    </r>
    <r>
      <rPr>
        <b/>
        <sz val="11"/>
        <color rgb="FFFF0000"/>
        <rFont val="Calibri"/>
        <family val="2"/>
      </rPr>
      <t>2026-5-11 预计本周确认</t>
    </r>
    <r>
      <rPr>
        <b/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 xml:space="preserve">2026-5-18 预计本周确认+4
</t>
    </r>
    <r>
      <rPr>
        <sz val="11"/>
        <color rgb="FFFF0000"/>
        <rFont val="Calibri"/>
        <family val="2"/>
      </rPr>
      <t>2026-5-25 预计本周确认+5</t>
    </r>
    <r>
      <rPr>
        <sz val="11"/>
        <color theme="1"/>
        <rFont val="Calibri"/>
        <family val="2"/>
      </rPr>
      <t xml:space="preserve">
2026-06-01 PM 今日确认 2026-06-03确认</t>
    </r>
  </si>
  <si>
    <t>2026-05-18 采购协助催传奇提供813375 甘肃酒泉玉门 套管图纸  
2026-05-25 采购协助催传奇提供813375 甘肃酒泉玉门 套管图纸+1
2026-06-01 采购 传奇出具不满足海拔修正的解释函；同时更新其他套管图纸; 已经提供。</t>
  </si>
  <si>
    <t>Romania CEF Arad</t>
  </si>
  <si>
    <t>copy design 813357</t>
  </si>
  <si>
    <t xml:space="preserve">Romania_Mintia  </t>
  </si>
  <si>
    <t>813288/813289</t>
  </si>
  <si>
    <t>Spain REE /SE La Secuita/SE Litoral</t>
  </si>
  <si>
    <t xml:space="preserve">2026-06-01 PM一次二次图纸确认
2026-06-15 PM 通知按照图纸确认执行
</t>
  </si>
  <si>
    <t xml:space="preserve">2026-06-08PM一次二次图纸确认
2026-06-15 PM 一次二次确认
</t>
  </si>
  <si>
    <t>张金环/戚彬</t>
  </si>
  <si>
    <t>813321/813322</t>
  </si>
  <si>
    <t>813399-813401</t>
  </si>
  <si>
    <t>Romania_ CERNAVODA</t>
  </si>
  <si>
    <t>2026-06-15 PM 一次二次图纸确认
2026-06-22 视为已确认</t>
  </si>
  <si>
    <t>813321/322/323</t>
  </si>
  <si>
    <t>2026-06-22 PM催在线监测确认</t>
  </si>
  <si>
    <t>813290/291</t>
  </si>
  <si>
    <t>813395-398</t>
  </si>
  <si>
    <t>UK Statera Energy-Chickerell&amp;Cullum BESS</t>
  </si>
  <si>
    <t>copy design 813160</t>
  </si>
  <si>
    <t xml:space="preserve">2026-06-08 PM一次二次图纸确认
2026-06-22 PM一次二次图纸确认+1
2026-06-29PM一次二次图纸确认
</t>
  </si>
  <si>
    <r>
      <rPr>
        <sz val="11"/>
        <rFont val="Calibri"/>
        <family val="2"/>
      </rPr>
      <t>2026-06-22 SM催供货商提供开关图纸-TMR和AVR自动调压都能实现，需要PM跟客户确认是否还都提供</t>
    </r>
    <r>
      <rPr>
        <sz val="11"/>
        <color rgb="FFFF0000"/>
        <rFont val="Calibri"/>
        <family val="2"/>
      </rPr>
      <t xml:space="preserve">
</t>
    </r>
  </si>
  <si>
    <t>Similar design 812925，高中压套管不同，12通道光纤测温</t>
  </si>
  <si>
    <r>
      <rPr>
        <sz val="11"/>
        <rFont val="Calibri"/>
        <family val="2"/>
      </rPr>
      <t xml:space="preserve">2026-03-30 :   PM催客户确认一次、二次图纸
2026-04-13： PM催客户确认一次、二次图纸 二次已影响仪表订单
</t>
    </r>
    <r>
      <rPr>
        <b/>
        <sz val="11"/>
        <rFont val="Calibri"/>
        <family val="2"/>
      </rPr>
      <t>2026-04-26 PM催客户确认一次、二次图纸 +2
2026-05-11 PM催客户确认一次、二次图纸 +3+4</t>
    </r>
    <r>
      <rPr>
        <sz val="11"/>
        <rFont val="Calibri"/>
        <family val="2"/>
      </rPr>
      <t xml:space="preserve">
2026-05-25 一次预计5月底，二次图纸预计6月15给确认
2026-06-01 本周确认一次+6
6月份详设中，图纸需要尽快确认。
2026-06-15  06-16 一次图纸确认
2026-6-22  PM继续催二次确认
2026-6-29  PM继续催二次确认
</t>
    </r>
    <r>
      <rPr>
        <sz val="11"/>
        <color rgb="FFFF0000"/>
        <rFont val="Calibri"/>
        <family val="2"/>
      </rPr>
      <t>2026-07-06 PM通知 二次确认</t>
    </r>
  </si>
  <si>
    <t xml:space="preserve">2026-05-18 PM一次二次图纸没确认,仪表设计计划已到期 本周需回复
2026-05-25 PM通知仪表可以下订单，其余图纸PM继续催客户确认
2026-06-15 PM 一次二次图纸确认
2026-06-22 PM 一次二次图纸确认，二次仪表和套管监测客户还有意见（紧急）
2026-06-29 客户提供了新的外形图纸意见，PM 认为一次图纸确认
2026-07-06 PM  二次图纸确认
</t>
  </si>
  <si>
    <t>高伟廷/
李世升</t>
  </si>
  <si>
    <t>Australia Parron Developments and Atmos Renewables Project</t>
  </si>
  <si>
    <t>813410-411</t>
  </si>
  <si>
    <t>813362-363</t>
  </si>
  <si>
    <t>UK_West Burton Solar Project</t>
  </si>
  <si>
    <t>813412-422</t>
  </si>
  <si>
    <t>US_Vantage Fairfield</t>
  </si>
  <si>
    <t>813405-407</t>
  </si>
  <si>
    <t>Indonesia DCI H3 project</t>
  </si>
  <si>
    <t>(武汉厂设计，济南生产）</t>
  </si>
  <si>
    <t>813408-409</t>
  </si>
  <si>
    <t>山东创新沙特SEC电抗器项目</t>
  </si>
  <si>
    <r>
      <rPr>
        <sz val="11"/>
        <rFont val="Calibri"/>
        <family val="2"/>
      </rPr>
      <t xml:space="preserve">2026-05-18 PM一次二次图纸确认
2026-05-25  更新的图纸刚提交，PM需催客户尽快一次二次图纸确认
</t>
    </r>
    <r>
      <rPr>
        <sz val="11"/>
        <color rgb="FFFF0000"/>
        <rFont val="Calibri"/>
        <family val="2"/>
      </rPr>
      <t>2026-06-15 PM 催一次 在图纸确认；
2026-06-15  结构设计更新二次 图纸；</t>
    </r>
    <r>
      <rPr>
        <sz val="11"/>
        <rFont val="Calibri"/>
        <family val="2"/>
      </rPr>
      <t>董立乔</t>
    </r>
    <r>
      <rPr>
        <sz val="11"/>
        <color rgb="FFFF0000"/>
        <rFont val="Calibri"/>
        <family val="2"/>
      </rPr>
      <t xml:space="preserve">
2026-06-22 PM 一次二次图纸确认+1
</t>
    </r>
    <r>
      <rPr>
        <sz val="11"/>
        <rFont val="Calibri"/>
        <family val="2"/>
      </rPr>
      <t>2026-06-29 一次图纸确认</t>
    </r>
    <r>
      <rPr>
        <sz val="11"/>
        <color rgb="FFFF0000"/>
        <rFont val="Calibri"/>
        <family val="2"/>
      </rPr>
      <t xml:space="preserve">
2026-07-06 客户反馈图纸意见，结构设计更新图纸
</t>
    </r>
    <r>
      <rPr>
        <sz val="11"/>
        <rFont val="Calibri"/>
        <family val="2"/>
      </rPr>
      <t>2026-07-06 PM 通知二次视为确认</t>
    </r>
  </si>
  <si>
    <r>
      <t>2026-06-01 PM一次二次图纸确认
2026-06-15 PM 催一次 在图纸确认；
2026-06-15  结构设计更新二次 图纸；</t>
    </r>
    <r>
      <rPr>
        <sz val="11"/>
        <rFont val="Calibri"/>
        <family val="2"/>
      </rPr>
      <t xml:space="preserve">董立乔
</t>
    </r>
    <r>
      <rPr>
        <sz val="11"/>
        <color rgb="FFFF0000"/>
        <rFont val="Calibri"/>
        <family val="2"/>
      </rPr>
      <t xml:space="preserve">2026-06-22  PM一次二次图纸确认+2
2026-07-06 客户反馈图纸意见，结构设计更新图纸@戚彬
</t>
    </r>
    <r>
      <rPr>
        <sz val="11"/>
        <rFont val="Calibri"/>
        <family val="2"/>
      </rPr>
      <t>2026-07-06 PM 通知二次视为确认</t>
    </r>
    <r>
      <rPr>
        <sz val="11"/>
        <color rgb="FFFF0000"/>
        <rFont val="Calibri"/>
        <family val="2"/>
      </rPr>
      <t xml:space="preserve">
2026-07-13 PM 通知一次视为确认</t>
    </r>
  </si>
  <si>
    <r>
      <rPr>
        <strike/>
        <sz val="11"/>
        <color theme="1"/>
        <rFont val="Calibri"/>
        <family val="2"/>
      </rPr>
      <t>史乾坤</t>
    </r>
    <r>
      <rPr>
        <sz val="11"/>
        <color theme="1"/>
        <rFont val="Calibri"/>
        <family val="2"/>
      </rPr>
      <t>林立润</t>
    </r>
  </si>
  <si>
    <t>林利润</t>
  </si>
  <si>
    <t xml:space="preserve">Indonesia OKI-3 </t>
  </si>
  <si>
    <t>copy design 812828</t>
  </si>
  <si>
    <r>
      <rPr>
        <sz val="11"/>
        <rFont val="Calibri"/>
        <family val="2"/>
      </rPr>
      <t xml:space="preserve">2026-06-22 SM催供货商提供开关图纸
2026-06-29 SM 催322 开关图纸
2026-07-06 SM 催322/323 开关图纸；2026-07-13 323开关图纸已经更新
</t>
    </r>
    <r>
      <rPr>
        <sz val="11"/>
        <color rgb="FFFF0000"/>
        <rFont val="Calibri"/>
        <family val="2"/>
      </rPr>
      <t>2026-07-13 催322开关图纸
2026-07-20 close</t>
    </r>
  </si>
  <si>
    <t>813255/202</t>
  </si>
  <si>
    <t>813365~367</t>
  </si>
  <si>
    <t xml:space="preserve">山西 </t>
  </si>
  <si>
    <t>浙江温州横阳变</t>
  </si>
  <si>
    <t>cope design 813292</t>
  </si>
  <si>
    <r>
      <rPr>
        <sz val="11"/>
        <rFont val="Calibri"/>
        <family val="2"/>
      </rPr>
      <t xml:space="preserve">2026-07-06 PM 协调尽快提供利旧相关部件测量信息，以便详细设计展开
2026-07-13 结构设计继续提供的尺寸展开设计 有问题及时与项目经理和相关部门沟通
</t>
    </r>
    <r>
      <rPr>
        <sz val="11"/>
        <color rgb="FFFF0000"/>
        <rFont val="Calibri"/>
        <family val="2"/>
      </rPr>
      <t>2026-07-20 PM 协调 提供测量尺寸 2026-07-24 close</t>
    </r>
  </si>
  <si>
    <t>813399-401</t>
  </si>
  <si>
    <t>配合现场冷却器和储油柜，其他全新</t>
  </si>
  <si>
    <t>越南电抗器</t>
  </si>
  <si>
    <t>武汉设计</t>
  </si>
  <si>
    <t>813435-813440</t>
  </si>
  <si>
    <t>合肥500千伏变电站</t>
  </si>
  <si>
    <t>徐腾</t>
  </si>
  <si>
    <r>
      <t xml:space="preserve">2026-7-13 PM 通知套管在线检测设备 客户提出自行采购，结构设计通知采购暂停；控制柜设计订单已经到期，PM 需要尽快协调 
</t>
    </r>
    <r>
      <rPr>
        <sz val="11"/>
        <color rgb="FFFF0000"/>
        <rFont val="Calibri"/>
        <family val="2"/>
      </rPr>
      <t>2026-07-20 PM 确认套管在线检测设备STCL不提供; 在线监测设备箱体挂本体；PM 催检测设备箱体尺寸 
2026-07-27 PM 催检测设备箱体尺寸 ；PM协调一次二次图纸确认</t>
    </r>
    <r>
      <rPr>
        <sz val="11"/>
        <color theme="1"/>
        <rFont val="Calibri"/>
        <family val="2"/>
      </rPr>
      <t xml:space="preserve">
2026-08-03 PM 视为确认</t>
    </r>
  </si>
  <si>
    <t>徐腾/林利润</t>
  </si>
  <si>
    <t>copy design 813361 需要更换满足EC 风机</t>
  </si>
  <si>
    <r>
      <t xml:space="preserve">1,PM: ABB 套管图纸发给客户确认
2.PM: 72.5kV 代替34.5/13.8kV 套管图纸发给客户确认+1W+2W
3.2026-01-05 ：PM 沟通升级 通知菲律宾
4. 2026-01-12：PM+3W
</t>
    </r>
    <r>
      <rPr>
        <b/>
        <sz val="11"/>
        <rFont val="Calibri"/>
        <family val="2"/>
      </rPr>
      <t>5. 2026-01-18 套管按照72.5kV下发采购订单，PM需要评估以大代小的风险,PM 2026-01-23之前回复，
6.2026-01-26  PM 继续催促客户确认</t>
    </r>
    <r>
      <rPr>
        <sz val="11"/>
        <rFont val="Calibri"/>
        <family val="2"/>
      </rPr>
      <t xml:space="preserve">
7.2026-02-02 PM 继续催促客户确认+1 （采购已经12月份出采购订单）
8,2026-02-09 客户不同意以大代小方案，PM 与客户沟通能否更改套管厂家，PM 联系offer 报价时如何与客户沟通的套管信息
9.2026-03-02  PM需继续催客户同意(计划2026-3-4日与客户开会确认)
10. 2026-03-09  客户口头接受以大代小，等书面正式回复
11. 2026-03-16 客户确认
12.2026-04-13 二次需要确认 仪表要求发订单
2026-04-27二次需要确认 仪表要求发订单+2    
2026-05-11确认。
</t>
    </r>
    <r>
      <rPr>
        <b/>
        <u/>
        <sz val="11"/>
        <rFont val="Calibri"/>
        <family val="2"/>
      </rPr>
      <t>2026-06-12 低压平衡高压中性点共7支套管 客户推翻以大代小，结构设计已经完成，请PM协助尽快确认套管厂家；结构设计重新询图</t>
    </r>
    <r>
      <rPr>
        <sz val="11"/>
        <rFont val="Calibri"/>
        <family val="2"/>
      </rPr>
      <t xml:space="preserve">
2026-6-22 PM继续催
2026-06-29 PM 周会信息客户推荐美国ABB 套管，需要PM继续跟进
2026-07-06 PM 周会信息客户推荐美国ABB 套管，需要PM继续跟进 +1
2026-07-13 PM 周会信息客户推荐美国ABB 套管，需要PM继续跟进 +2
</t>
    </r>
    <r>
      <rPr>
        <sz val="11"/>
        <color rgb="FFFF0000"/>
        <rFont val="Calibri"/>
        <family val="2"/>
      </rPr>
      <t>2026-07-20 PM 客户确认使用美国ABB 套管，交货期24周？结构设计Review 套管技术资料 尽早下单@老陈；PM review 成本和交货期是否满足要求</t>
    </r>
    <r>
      <rPr>
        <sz val="11"/>
        <rFont val="Calibri"/>
        <family val="2"/>
      </rPr>
      <t xml:space="preserve">
</t>
    </r>
    <r>
      <rPr>
        <sz val="11"/>
        <color rgb="FFFF0000"/>
        <rFont val="Calibri"/>
        <family val="2"/>
      </rPr>
      <t>2027-07-27  客户确认套管厂家，结构设计下发新的设计订单，详细设更改工作量很大需要八月份重新进入安排进入设计计划</t>
    </r>
    <r>
      <rPr>
        <sz val="11"/>
        <rFont val="Calibri"/>
        <family val="2"/>
      </rPr>
      <t xml:space="preserve">
</t>
    </r>
    <r>
      <rPr>
        <sz val="11"/>
        <color rgb="FFFF0000"/>
        <rFont val="Calibri"/>
        <family val="2"/>
      </rPr>
      <t>2027-08-03 采购核实美国产ABB 套管 是否影响交期</t>
    </r>
    <r>
      <rPr>
        <sz val="11"/>
        <rFont val="Calibri"/>
        <family val="2"/>
      </rPr>
      <t xml:space="preserve">
</t>
    </r>
    <r>
      <rPr>
        <sz val="11"/>
        <color rgb="FFFF0000"/>
        <rFont val="Calibri"/>
        <family val="2"/>
      </rPr>
      <t>2027-08-10 PM 林总建议暂时不做详细设计更改，等地美国产ABB 套管交期确认 ;ABB 套管当前报价32周；</t>
    </r>
  </si>
  <si>
    <r>
      <rPr>
        <sz val="11"/>
        <rFont val="Calibri"/>
        <family val="2"/>
      </rPr>
      <t xml:space="preserve">2026-09-29 采购继续催 ABB model 11 继电器 是否可采购
2026-07-06 采购继续催ABB model 11 继电器 的报价以及确认是否可采购+1
</t>
    </r>
    <r>
      <rPr>
        <sz val="11"/>
        <color rgb="FFFF0000"/>
        <rFont val="Calibri"/>
        <family val="2"/>
      </rPr>
      <t>2026-07-13 ABB model 11 继电器已经提供的报价；采购继续催继电器厂家提供集气盒图纸；PM 继续催加拿大西门子 与客户沟通结果</t>
    </r>
    <r>
      <rPr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2026-07-20 PM 要求7/24日前,SE 西门子继续与客户沟通确2BB model 方案</t>
    </r>
    <r>
      <rPr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2026-07-20 PM 要求7/24日前,SE 西门子继续与客户沟通确认EMB 替代ABB model 方案+1
2026-07-27 PM 要求7/24日前,SE 西门子继续与客户沟通确认EMB 替代ABB model 方案+2
2026-08-03 SE 加拿大西门子认为可以说服客户接受EMB方案</t>
    </r>
    <r>
      <rPr>
        <sz val="11"/>
        <color theme="1"/>
        <rFont val="Calibri"/>
        <family val="2"/>
      </rPr>
      <t xml:space="preserve">
2026-08-10 客户接受EMB方案 结构设计更改图纸</t>
    </r>
  </si>
  <si>
    <r>
      <t xml:space="preserve">2026-07-13 PM 协调客户确认调压位置，该信息影响点算方案，提图日期需要相应延迟
2026-07-20 PM 协调客户确认调压位置，该信息影响点算方案，提图日期需要相应延迟+1
</t>
    </r>
    <r>
      <rPr>
        <sz val="11"/>
        <color rgb="FFFF0000"/>
        <rFont val="Calibri"/>
        <family val="2"/>
      </rPr>
      <t xml:space="preserve">2026-07-27 PM 协调客户确认调压位置，该信息影响点算方案，提图日期需要相应延迟+2
</t>
    </r>
    <r>
      <rPr>
        <sz val="11"/>
        <color theme="1"/>
        <rFont val="Calibri"/>
        <family val="2"/>
      </rPr>
      <t xml:space="preserve">2026-08-03   客户确认调压位置 close ；新的提图日期根据电算方案顺延
</t>
    </r>
    <r>
      <rPr>
        <sz val="11"/>
        <color rgb="FFFF0000"/>
        <rFont val="Calibri"/>
        <family val="2"/>
      </rPr>
      <t>2026-08-10  2026-08-03电算提供电压比 需要客户确认后电算方案才可以开始；核算成本重新更新OCC</t>
    </r>
  </si>
  <si>
    <r>
      <t xml:space="preserve">2026-07-20 PM 协调满足加拿大标准的电缆 如何执行，813255 每台变压器80根电缆，电缆直径为常规电缆的一倍
2026-07-27，PM &amp;采购一起协调电缆供应商提供符合CSA认证的电缆规格和尺寸
2026-08-03，PM &amp;采购一起协调电缆供应商提供符合CSA认证的电缆规格和尺寸+1
</t>
    </r>
    <r>
      <rPr>
        <sz val="11"/>
        <color rgb="FFFF0000"/>
        <rFont val="Calibri"/>
        <family val="2"/>
      </rPr>
      <t>2026-08-10  进口电缆成本单台90万，价格超出报价；采购根据813255 当前技术订单重新询价国内电缆，对比电缆成本</t>
    </r>
  </si>
  <si>
    <r>
      <rPr>
        <sz val="11"/>
        <rFont val="Calibri"/>
        <family val="2"/>
      </rPr>
      <t>2026-07-27 采购协调冷却器厂家提供报价和图纸  2026-07-31 close</t>
    </r>
    <r>
      <rPr>
        <sz val="11"/>
        <color rgb="FFFF0000"/>
        <rFont val="Calibri"/>
        <family val="2"/>
      </rPr>
      <t xml:space="preserve">
2026-08-03 PM 协调客户尽快提供现场一次二次图纸</t>
    </r>
    <r>
      <rPr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2026-08-10  08-07与客户team会议后重新整理lop 发给客户</t>
    </r>
  </si>
  <si>
    <t>2026-08-10 PM 催图纸确认</t>
  </si>
  <si>
    <r>
      <rPr>
        <sz val="11"/>
        <rFont val="Calibri"/>
        <family val="2"/>
      </rPr>
      <t>2026-04-27 PM 催客户提供图纸反馈
2026-05-11：PM 催客户提供图纸反馈+1
2026-05-18：PM 催客户提供图纸反馈+2
2026-05-15 ：PM催客户提供图纸反馈+3
2026-06-01：PM 和MD 商议合理提图和图纸反馈方案 逐步推进项目进行（陈+周坤）
2026-06-15 采购催开关图纸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2026-06-15 813140/813142 客户要求改高压出线GIS 改为 油-空气 +避雷器 ，原套管订单通知采购暂停采购
2026-06-15 813136 提图日期改为2026-06-18- 张金环6-17已提供
2026-6-22  客户还未确认最终改为油气套管。 采购催开关图纸+1
2026-06-29 PM 继续跟进；采购催813136开关图纸+1
2026-07-06 详细设计全面展开，PM 继续跟进 避免详设完成后再次更改；采购催813136开关接线图纸
2026-07-06 PM 催二次仪表确认，以确保仪表交货期
</t>
    </r>
    <r>
      <rPr>
        <sz val="11"/>
        <color rgb="FFFF0000"/>
        <rFont val="Calibri"/>
        <family val="2"/>
      </rPr>
      <t>2026-07-20 仪表下单；结构设计按照图纸意见更新图纸重新提交客户+1
2026-07-27 仪表下单；813139结构设计按照图纸意见更新图纸重新提交客户
2026-08-03 PM 813135 一次图纸客户没有反馈意见；开关更改型号（VRS改为VM) 详细设计不能安排八月份；PM 评估交期是否有影响；
2026-08-10 采购催813135开关图纸；
2026-08-10 8台变压器光纤信号模块按照100兆标配执行</t>
    </r>
  </si>
  <si>
    <t>2026-08-10 采购催EC风机图纸 所有罗马尼亚项目等待风机图纸@程航</t>
  </si>
  <si>
    <r>
      <rPr>
        <sz val="11"/>
        <rFont val="Calibri"/>
        <family val="2"/>
      </rPr>
      <t xml:space="preserve">2026-06-01 PM 协调设计联络会日期提前，以保证当前交货期
6月份详设中，图纸需要尽快确认。
2026-06-15 客户6月30~7月3日召开设计联络会。
2026-06-29 确认6月30~7月3日召开设计联络会
2026-07-06 设计联络会后 设计变动 ，7/10 结构设计更新图纸发客户确认，详细设计暂停
2026-07-06 Cedaspe 仪表 (气体继电器和油位计）由于南非项目供货渠道MR有限制 其交期受影响 SM+PM ，建议项目会讨论 该仪表不备注南非项目 2029-07-13 close 
2026-07-13 PM 催一次二次图纸确认
2026-07-13 司工发813328的Cedaspe 订单
</t>
    </r>
    <r>
      <rPr>
        <sz val="11"/>
        <color rgb="FFFF0000"/>
        <rFont val="Calibri"/>
        <family val="2"/>
      </rPr>
      <t>2026-07-20  客户07-17 线上会议提出了新的意见，结构设计按照意见修改图纸
2026-07-27 PM  催一次二次图纸确认，跟进COMEN 快速压力继电器事项
2026-08-03 PM  催一次二次图纸确认，跟进COMEN 快速压力继电器事项+1
2026-08-10  PM  催一次二次图纸确认 ；确认快速压力继电器 不采用commen,回归Qualitrol</t>
    </r>
  </si>
  <si>
    <r>
      <rPr>
        <sz val="11"/>
        <rFont val="Calibri"/>
        <family val="2"/>
      </rPr>
      <t xml:space="preserve">2026-04-27 催MR 提供图纸
2026-05-11：催MR 提供图纸+1
2026-05-18：催MR 提供图纸+2
2026-05-25：MR已提供，但数据有问题，需要MR再次更新 
2026-06-01 :PM 一次图纸本周确认
2026-06-15:PM 开设联会（目前外部详设暂停）
2026-6-22: 还未最终确认，PM继续催(设联会上确认大约月底给确认)
2026-06-29 变压器平衡套管位置移动设计院基本没有意见但是没有书面确认，CT 参数也在更改需尽快确认；PM 继续跟进图纸确认
2026-07-06  变压器平衡套管位置移动设计院基本书面确认 
2026-07-06 CT 参数也在更改需尽快确认；设计院反馈图纸意见 结构设计更新图纸
</t>
    </r>
    <r>
      <rPr>
        <sz val="11"/>
        <color rgb="FFFF0000"/>
        <rFont val="Calibri"/>
        <family val="2"/>
      </rPr>
      <t>2026-07-20 结构设计按照图纸意见更新图纸重新提交客户
2026-07-27 PM  催一次二次图纸确认
2026-08-03 外形图没有其他意见视为确认，PM 继续催二次接口相关信息
2026-08-10 上述开口项视为关闭</t>
    </r>
  </si>
  <si>
    <r>
      <t xml:space="preserve">2026-07-13 PM 协调TMR 是否提供，如果提供 请确认开关AVR 取消 
2026-07-20 PM 确认提供TMR（以此设备为主），开关带AVR（为辅助）供货@王芳按此下单；PM 继续与客户跟踪 这两个设备的状态
</t>
    </r>
    <r>
      <rPr>
        <sz val="11"/>
        <rFont val="Calibri"/>
        <family val="2"/>
      </rPr>
      <t xml:space="preserve">2026-07-27 客户确认开关不带AVR。07/28 结构设计更新开关订单 </t>
    </r>
    <r>
      <rPr>
        <sz val="11"/>
        <color theme="1"/>
        <rFont val="Calibri"/>
        <family val="2"/>
      </rPr>
      <t xml:space="preserve">
2026-08-03 PM 催一次二次图纸确认
</t>
    </r>
    <r>
      <rPr>
        <sz val="11"/>
        <color rgb="FFFF0000"/>
        <rFont val="Calibri"/>
        <family val="2"/>
      </rPr>
      <t>2026-08-10 MD 按照客户意见更新图纸</t>
    </r>
  </si>
  <si>
    <r>
      <t xml:space="preserve">2026-08-03 PM 催图纸确认，详细设计已经安排在8月份
</t>
    </r>
    <r>
      <rPr>
        <sz val="11"/>
        <color rgb="FFFF0000"/>
        <rFont val="Calibri"/>
        <family val="2"/>
      </rPr>
      <t>2026-08-10 PM 协调客户尽快提供充氮灭火接口 以便更新图纸</t>
    </r>
  </si>
  <si>
    <r>
      <t xml:space="preserve">2026-08-03 PM 催图纸确认，详细设计已经安排在8月份
</t>
    </r>
    <r>
      <rPr>
        <sz val="11"/>
        <color rgb="FFFF0000"/>
        <rFont val="Calibri"/>
        <family val="2"/>
      </rPr>
      <t>2026-08-10 林总08-03邮件回复 外形图视为确认</t>
    </r>
  </si>
  <si>
    <t xml:space="preserve">2026-08-10 PM 催CT 参数和套管佛手型号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</si>
</sst>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8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20"/>
      <color theme="1"/>
      <name val="Calibri"/>
      <family val="2"/>
    </font>
    <font>
      <b/>
      <sz val="20"/>
      <color theme="1"/>
      <name val="STKaiti"/>
      <family val="1"/>
    </font>
    <font>
      <b/>
      <sz val="20"/>
      <color theme="1"/>
      <name val="等线"/>
      <family val="3"/>
      <charset val="134"/>
    </font>
    <font>
      <b/>
      <sz val="20"/>
      <color theme="1"/>
      <name val="STKaiti"/>
      <charset val="134"/>
    </font>
    <font>
      <b/>
      <sz val="20"/>
      <color rgb="FF0000FF"/>
      <name val="Calibri"/>
      <family val="2"/>
    </font>
    <font>
      <b/>
      <sz val="20"/>
      <color rgb="FF0000FF"/>
      <name val="STKaiti"/>
      <charset val="134"/>
    </font>
    <font>
      <sz val="20"/>
      <color theme="1"/>
      <name val="宋体"/>
      <family val="3"/>
      <charset val="134"/>
    </font>
    <font>
      <b/>
      <sz val="20"/>
      <color theme="1"/>
      <name val="宋体"/>
      <family val="2"/>
      <charset val="134"/>
    </font>
    <font>
      <b/>
      <sz val="20"/>
      <color rgb="FFFF0000"/>
      <name val="Calibri"/>
      <family val="2"/>
    </font>
    <font>
      <b/>
      <sz val="20"/>
      <color rgb="FFFF0000"/>
      <name val="宋体"/>
      <family val="2"/>
      <charset val="134"/>
    </font>
    <font>
      <b/>
      <sz val="36"/>
      <color theme="1"/>
      <name val="Calibri"/>
      <family val="2"/>
      <scheme val="minor"/>
    </font>
    <font>
      <sz val="24"/>
      <color theme="1"/>
      <name val="宋体"/>
      <family val="3"/>
      <charset val="134"/>
    </font>
    <font>
      <strike/>
      <sz val="24"/>
      <color theme="1"/>
      <name val="宋体"/>
      <family val="3"/>
      <charset val="134"/>
    </font>
    <font>
      <sz val="11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charset val="134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4"/>
      <color theme="1"/>
      <name val="Calibri"/>
      <family val="2"/>
      <charset val="134"/>
      <scheme val="minor"/>
    </font>
    <font>
      <b/>
      <sz val="12"/>
      <color theme="1"/>
      <name val="Arial"/>
      <family val="2"/>
    </font>
    <font>
      <sz val="11"/>
      <name val="Arial"/>
      <family val="2"/>
    </font>
    <font>
      <sz val="12"/>
      <color rgb="FFFF0000"/>
      <name val="Arial"/>
      <family val="2"/>
    </font>
    <font>
      <sz val="14"/>
      <name val="微软雅黑"/>
      <family val="2"/>
      <charset val="134"/>
    </font>
    <font>
      <sz val="14"/>
      <name val="Arial"/>
      <family val="2"/>
      <charset val="134"/>
    </font>
    <font>
      <sz val="16"/>
      <color theme="1"/>
      <name val="微软雅黑"/>
      <family val="2"/>
      <charset val="134"/>
    </font>
    <font>
      <sz val="11"/>
      <color rgb="FFFF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12"/>
      <name val="Calibri"/>
      <family val="2"/>
      <charset val="134"/>
      <scheme val="minor"/>
    </font>
    <font>
      <strike/>
      <sz val="12"/>
      <color rgb="FFFF0000"/>
      <name val="Arial"/>
      <family val="2"/>
    </font>
    <font>
      <strike/>
      <sz val="11"/>
      <color rgb="FFFF0000"/>
      <name val="Calibri"/>
      <family val="2"/>
      <charset val="134"/>
      <scheme val="minor"/>
    </font>
    <font>
      <strike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宋体"/>
      <family val="2"/>
      <charset val="134"/>
    </font>
    <font>
      <sz val="12"/>
      <color rgb="FF7030A0"/>
      <name val="Arial"/>
      <family val="2"/>
    </font>
    <font>
      <sz val="11"/>
      <color rgb="FF7030A0"/>
      <name val="Calibri"/>
      <family val="2"/>
      <charset val="134"/>
      <scheme val="minor"/>
    </font>
    <font>
      <sz val="12"/>
      <color rgb="FF7030A0"/>
      <name val="Calibri"/>
      <family val="2"/>
      <charset val="134"/>
      <scheme val="minor"/>
    </font>
    <font>
      <sz val="11"/>
      <name val="等线"/>
      <family val="2"/>
      <charset val="134"/>
    </font>
    <font>
      <sz val="11"/>
      <color theme="1"/>
      <name val="Calibri"/>
      <family val="2"/>
    </font>
    <font>
      <sz val="11"/>
      <color theme="1"/>
      <name val="等线"/>
      <family val="2"/>
      <charset val="134"/>
    </font>
    <font>
      <sz val="11"/>
      <color theme="1"/>
      <name val="宋体"/>
      <family val="2"/>
      <charset val="134"/>
    </font>
    <font>
      <b/>
      <sz val="11"/>
      <name val="Calibri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charset val="134"/>
    </font>
    <font>
      <b/>
      <sz val="11"/>
      <color theme="1"/>
      <name val="Calibri"/>
      <family val="2"/>
    </font>
    <font>
      <b/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  <font>
      <sz val="11"/>
      <color rgb="FF0000FF"/>
      <name val="宋体"/>
      <family val="2"/>
      <charset val="134"/>
    </font>
    <font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rgb="FF00B050"/>
      <name val="微软雅黑"/>
      <family val="2"/>
      <charset val="134"/>
    </font>
    <font>
      <b/>
      <strike/>
      <sz val="11"/>
      <color rgb="FF0000FF"/>
      <name val="宋体"/>
      <family val="3"/>
      <charset val="134"/>
    </font>
    <font>
      <sz val="11"/>
      <color rgb="FF92D050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name val="Calibri"/>
      <family val="2"/>
    </font>
    <font>
      <sz val="11"/>
      <name val="Calibri"/>
      <family val="2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u/>
      <sz val="11"/>
      <name val="Calibri"/>
      <family val="2"/>
    </font>
    <font>
      <b/>
      <strike/>
      <sz val="11"/>
      <name val="Calibri"/>
      <family val="2"/>
    </font>
    <font>
      <strike/>
      <sz val="11"/>
      <name val="Calibri"/>
      <family val="2"/>
    </font>
    <font>
      <strike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58">
    <xf numFmtId="0" fontId="0" fillId="0" borderId="0">
      <alignment vertical="center"/>
    </xf>
    <xf numFmtId="165" fontId="9" fillId="0" borderId="0"/>
    <xf numFmtId="0" fontId="33" fillId="0" borderId="0"/>
    <xf numFmtId="165" fontId="8" fillId="0" borderId="0"/>
    <xf numFmtId="165" fontId="7" fillId="0" borderId="0"/>
    <xf numFmtId="165" fontId="7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</cellStyleXfs>
  <cellXfs count="285">
    <xf numFmtId="0" fontId="0" fillId="0" borderId="0" xfId="0">
      <alignment vertical="center"/>
    </xf>
    <xf numFmtId="0" fontId="10" fillId="0" borderId="0" xfId="0" applyFont="1" applyAlignment="1"/>
    <xf numFmtId="0" fontId="10" fillId="0" borderId="0" xfId="0" applyFont="1" applyAlignment="1">
      <alignment horizontal="left"/>
    </xf>
    <xf numFmtId="0" fontId="13" fillId="0" borderId="0" xfId="0" applyFont="1" applyAlignment="1"/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/>
    </xf>
    <xf numFmtId="164" fontId="13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center" vertical="center"/>
    </xf>
    <xf numFmtId="164" fontId="24" fillId="0" borderId="11" xfId="0" applyNumberFormat="1" applyFont="1" applyBorder="1" applyAlignment="1">
      <alignment horizontal="center" vertical="center"/>
    </xf>
    <xf numFmtId="164" fontId="25" fillId="0" borderId="11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3" fillId="0" borderId="0" xfId="0" applyFont="1">
      <alignment vertical="center"/>
    </xf>
    <xf numFmtId="0" fontId="10" fillId="0" borderId="17" xfId="0" applyFont="1" applyBorder="1" applyAlignment="1"/>
    <xf numFmtId="0" fontId="13" fillId="0" borderId="17" xfId="0" applyFont="1" applyBorder="1" applyAlignment="1"/>
    <xf numFmtId="0" fontId="10" fillId="0" borderId="17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" xfId="0" applyBorder="1">
      <alignment vertical="center"/>
    </xf>
    <xf numFmtId="14" fontId="29" fillId="0" borderId="8" xfId="0" applyNumberFormat="1" applyFont="1" applyBorder="1" applyAlignment="1">
      <alignment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left" vertical="center" wrapText="1"/>
    </xf>
    <xf numFmtId="164" fontId="29" fillId="0" borderId="8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29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1" fontId="29" fillId="0" borderId="8" xfId="0" applyNumberFormat="1" applyFont="1" applyBorder="1" applyAlignment="1">
      <alignment horizontal="center" vertical="center" wrapText="1"/>
    </xf>
    <xf numFmtId="0" fontId="28" fillId="0" borderId="8" xfId="0" applyFont="1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 shrinkToFit="1"/>
    </xf>
    <xf numFmtId="0" fontId="36" fillId="0" borderId="8" xfId="0" applyFont="1" applyBorder="1" applyAlignment="1">
      <alignment horizontal="center" vertical="center" wrapText="1" shrinkToFit="1"/>
    </xf>
    <xf numFmtId="0" fontId="26" fillId="0" borderId="8" xfId="0" applyFont="1" applyBorder="1" applyAlignment="1">
      <alignment vertical="center" wrapText="1"/>
    </xf>
    <xf numFmtId="0" fontId="29" fillId="5" borderId="8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>
      <alignment vertical="center"/>
    </xf>
    <xf numFmtId="0" fontId="42" fillId="0" borderId="8" xfId="0" applyFont="1" applyBorder="1">
      <alignment vertical="center"/>
    </xf>
    <xf numFmtId="164" fontId="30" fillId="0" borderId="8" xfId="0" applyNumberFormat="1" applyFont="1" applyBorder="1" applyAlignment="1">
      <alignment horizontal="left" vertical="center" wrapText="1"/>
    </xf>
    <xf numFmtId="0" fontId="27" fillId="0" borderId="8" xfId="0" applyFont="1" applyBorder="1" applyAlignment="1">
      <alignment vertical="center" wrapText="1"/>
    </xf>
    <xf numFmtId="0" fontId="30" fillId="0" borderId="8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14" fontId="43" fillId="0" borderId="8" xfId="0" applyNumberFormat="1" applyFont="1" applyBorder="1">
      <alignment vertical="center"/>
    </xf>
    <xf numFmtId="0" fontId="29" fillId="0" borderId="8" xfId="0" applyFont="1" applyBorder="1" applyAlignment="1">
      <alignment vertical="center" wrapText="1"/>
    </xf>
    <xf numFmtId="164" fontId="29" fillId="0" borderId="8" xfId="0" applyNumberFormat="1" applyFont="1" applyBorder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0" fillId="0" borderId="8" xfId="0" applyFont="1" applyBorder="1">
      <alignment vertical="center"/>
    </xf>
    <xf numFmtId="164" fontId="27" fillId="0" borderId="8" xfId="0" applyNumberFormat="1" applyFont="1" applyBorder="1" applyAlignment="1">
      <alignment horizontal="left" vertical="center" wrapText="1"/>
    </xf>
    <xf numFmtId="164" fontId="29" fillId="2" borderId="8" xfId="0" applyNumberFormat="1" applyFont="1" applyFill="1" applyBorder="1" applyAlignment="1">
      <alignment horizontal="left" vertical="center" wrapText="1"/>
    </xf>
    <xf numFmtId="164" fontId="29" fillId="3" borderId="8" xfId="0" applyNumberFormat="1" applyFont="1" applyFill="1" applyBorder="1" applyAlignment="1">
      <alignment horizontal="left" vertical="center" wrapText="1"/>
    </xf>
    <xf numFmtId="14" fontId="35" fillId="0" borderId="8" xfId="0" applyNumberFormat="1" applyFont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49" fillId="0" borderId="8" xfId="0" applyFont="1" applyBorder="1" applyAlignment="1">
      <alignment horizontal="center" vertical="center" wrapText="1"/>
    </xf>
    <xf numFmtId="164" fontId="29" fillId="0" borderId="11" xfId="0" applyNumberFormat="1" applyFont="1" applyBorder="1" applyAlignment="1">
      <alignment horizontal="left" vertical="center" wrapText="1"/>
    </xf>
    <xf numFmtId="164" fontId="30" fillId="0" borderId="11" xfId="0" applyNumberFormat="1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>
      <alignment vertical="center"/>
    </xf>
    <xf numFmtId="0" fontId="34" fillId="0" borderId="8" xfId="0" applyFont="1" applyBorder="1">
      <alignment vertical="center"/>
    </xf>
    <xf numFmtId="0" fontId="30" fillId="4" borderId="0" xfId="0" applyFont="1" applyFill="1" applyAlignment="1">
      <alignment vertical="center" wrapText="1"/>
    </xf>
    <xf numFmtId="164" fontId="29" fillId="2" borderId="29" xfId="0" applyNumberFormat="1" applyFont="1" applyFill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9" fillId="0" borderId="8" xfId="0" applyFont="1" applyBorder="1">
      <alignment vertical="center"/>
    </xf>
    <xf numFmtId="14" fontId="0" fillId="0" borderId="8" xfId="0" applyNumberFormat="1" applyBorder="1" applyAlignment="1">
      <alignment horizontal="left" vertical="center" wrapText="1"/>
    </xf>
    <xf numFmtId="164" fontId="41" fillId="0" borderId="25" xfId="0" applyNumberFormat="1" applyFont="1" applyBorder="1" applyAlignment="1">
      <alignment horizontal="left" vertical="center" wrapText="1"/>
    </xf>
    <xf numFmtId="164" fontId="29" fillId="0" borderId="0" xfId="0" applyNumberFormat="1" applyFont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1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0" fontId="29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164" fontId="29" fillId="2" borderId="11" xfId="0" applyNumberFormat="1" applyFont="1" applyFill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42" fillId="0" borderId="8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center" vertical="center" wrapText="1"/>
    </xf>
    <xf numFmtId="0" fontId="51" fillId="0" borderId="8" xfId="0" applyFont="1" applyBorder="1">
      <alignment vertical="center"/>
    </xf>
    <xf numFmtId="0" fontId="51" fillId="0" borderId="8" xfId="0" applyFont="1" applyBorder="1" applyAlignment="1">
      <alignment horizontal="center" vertical="center"/>
    </xf>
    <xf numFmtId="0" fontId="52" fillId="0" borderId="8" xfId="0" applyFont="1" applyBorder="1">
      <alignment vertical="center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left" vertical="center" wrapText="1"/>
    </xf>
    <xf numFmtId="0" fontId="29" fillId="0" borderId="31" xfId="0" applyFont="1" applyBorder="1" applyAlignment="1">
      <alignment horizontal="center" vertical="center" wrapText="1"/>
    </xf>
    <xf numFmtId="0" fontId="0" fillId="0" borderId="31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44" fillId="0" borderId="8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center" vertical="center" wrapText="1"/>
    </xf>
    <xf numFmtId="0" fontId="45" fillId="0" borderId="8" xfId="0" applyFont="1" applyBorder="1">
      <alignment vertical="center"/>
    </xf>
    <xf numFmtId="0" fontId="45" fillId="0" borderId="8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0" fontId="43" fillId="0" borderId="31" xfId="0" applyFont="1" applyBorder="1">
      <alignment vertical="center"/>
    </xf>
    <xf numFmtId="0" fontId="27" fillId="0" borderId="31" xfId="0" applyFont="1" applyBorder="1" applyAlignment="1">
      <alignment horizontal="left" vertical="center" wrapText="1"/>
    </xf>
    <xf numFmtId="0" fontId="27" fillId="0" borderId="31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 wrapText="1"/>
    </xf>
    <xf numFmtId="0" fontId="43" fillId="0" borderId="28" xfId="0" applyFont="1" applyBorder="1">
      <alignment vertical="center"/>
    </xf>
    <xf numFmtId="0" fontId="29" fillId="0" borderId="14" xfId="0" applyFont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29" fillId="0" borderId="28" xfId="0" applyFont="1" applyBorder="1" applyAlignment="1">
      <alignment horizontal="left" vertical="center" wrapText="1"/>
    </xf>
    <xf numFmtId="0" fontId="29" fillId="0" borderId="28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left" vertical="center" wrapText="1"/>
    </xf>
    <xf numFmtId="0" fontId="27" fillId="0" borderId="28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164" fontId="37" fillId="2" borderId="8" xfId="0" applyNumberFormat="1" applyFont="1" applyFill="1" applyBorder="1" applyAlignment="1">
      <alignment horizontal="left" vertical="center" wrapText="1"/>
    </xf>
    <xf numFmtId="164" fontId="29" fillId="2" borderId="32" xfId="0" applyNumberFormat="1" applyFont="1" applyFill="1" applyBorder="1" applyAlignment="1">
      <alignment horizontal="left" vertical="center" wrapText="1"/>
    </xf>
    <xf numFmtId="164" fontId="27" fillId="2" borderId="8" xfId="0" applyNumberFormat="1" applyFont="1" applyFill="1" applyBorder="1" applyAlignment="1">
      <alignment horizontal="left" vertical="center" wrapText="1"/>
    </xf>
    <xf numFmtId="164" fontId="41" fillId="0" borderId="8" xfId="0" applyNumberFormat="1" applyFont="1" applyBorder="1" applyAlignment="1">
      <alignment horizontal="left" vertical="center" wrapText="1"/>
    </xf>
    <xf numFmtId="164" fontId="0" fillId="0" borderId="25" xfId="0" applyNumberForma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30" fillId="0" borderId="28" xfId="0" applyFont="1" applyBorder="1" applyAlignment="1">
      <alignment vertical="center" wrapText="1"/>
    </xf>
    <xf numFmtId="14" fontId="29" fillId="0" borderId="28" xfId="0" applyNumberFormat="1" applyFont="1" applyBorder="1" applyAlignment="1">
      <alignment vertical="center" wrapText="1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9" fillId="0" borderId="28" xfId="0" applyNumberFormat="1" applyFont="1" applyBorder="1" applyAlignment="1">
      <alignment horizontal="center" vertical="center" wrapText="1"/>
    </xf>
    <xf numFmtId="0" fontId="43" fillId="0" borderId="14" xfId="0" applyFont="1" applyBorder="1">
      <alignment vertical="center"/>
    </xf>
    <xf numFmtId="0" fontId="27" fillId="0" borderId="11" xfId="0" applyFont="1" applyBorder="1" applyAlignment="1">
      <alignment vertical="center" wrapText="1"/>
    </xf>
    <xf numFmtId="0" fontId="0" fillId="0" borderId="28" xfId="0" applyBorder="1">
      <alignment vertical="center"/>
    </xf>
    <xf numFmtId="164" fontId="29" fillId="5" borderId="8" xfId="0" applyNumberFormat="1" applyFont="1" applyFill="1" applyBorder="1" applyAlignment="1">
      <alignment horizontal="left" vertical="center" wrapText="1"/>
    </xf>
    <xf numFmtId="164" fontId="29" fillId="2" borderId="14" xfId="0" applyNumberFormat="1" applyFont="1" applyFill="1" applyBorder="1" applyAlignment="1">
      <alignment horizontal="left" vertical="center" wrapText="1"/>
    </xf>
    <xf numFmtId="164" fontId="37" fillId="3" borderId="11" xfId="0" applyNumberFormat="1" applyFont="1" applyFill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14" fontId="29" fillId="0" borderId="11" xfId="0" applyNumberFormat="1" applyFont="1" applyBorder="1" applyAlignment="1">
      <alignment horizontal="center" vertical="center" wrapText="1"/>
    </xf>
    <xf numFmtId="14" fontId="28" fillId="0" borderId="8" xfId="0" applyNumberFormat="1" applyFont="1" applyBorder="1" applyAlignment="1">
      <alignment horizontal="left" vertical="center" wrapText="1"/>
    </xf>
    <xf numFmtId="14" fontId="0" fillId="0" borderId="0" xfId="0" applyNumberFormat="1">
      <alignment vertical="center"/>
    </xf>
    <xf numFmtId="0" fontId="29" fillId="3" borderId="8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/>
    </xf>
    <xf numFmtId="0" fontId="43" fillId="3" borderId="8" xfId="0" applyFont="1" applyFill="1" applyBorder="1">
      <alignment vertical="center"/>
    </xf>
    <xf numFmtId="0" fontId="32" fillId="0" borderId="24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 wrapText="1"/>
    </xf>
    <xf numFmtId="0" fontId="36" fillId="0" borderId="8" xfId="0" applyFont="1" applyBorder="1" applyAlignment="1">
      <alignment horizontal="left" vertical="center" wrapText="1"/>
    </xf>
    <xf numFmtId="0" fontId="49" fillId="0" borderId="8" xfId="0" applyFont="1" applyBorder="1" applyAlignment="1">
      <alignment horizontal="left" vertical="center" wrapText="1"/>
    </xf>
    <xf numFmtId="14" fontId="29" fillId="0" borderId="8" xfId="0" applyNumberFormat="1" applyFont="1" applyBorder="1" applyAlignment="1">
      <alignment horizontal="left" vertical="center" wrapText="1"/>
    </xf>
    <xf numFmtId="1" fontId="29" fillId="0" borderId="8" xfId="0" applyNumberFormat="1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14" fontId="35" fillId="0" borderId="8" xfId="0" applyNumberFormat="1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164" fontId="37" fillId="0" borderId="8" xfId="0" applyNumberFormat="1" applyFont="1" applyBorder="1" applyAlignment="1">
      <alignment horizontal="left" vertical="center" wrapText="1"/>
    </xf>
    <xf numFmtId="0" fontId="54" fillId="0" borderId="8" xfId="0" applyFont="1" applyBorder="1" applyAlignment="1">
      <alignment vertical="center" wrapText="1"/>
    </xf>
    <xf numFmtId="0" fontId="56" fillId="0" borderId="8" xfId="0" applyFont="1" applyBorder="1" applyAlignment="1">
      <alignment vertical="center" wrapText="1"/>
    </xf>
    <xf numFmtId="0" fontId="59" fillId="0" borderId="8" xfId="0" applyFont="1" applyBorder="1" applyAlignment="1">
      <alignment vertical="center" wrapText="1"/>
    </xf>
    <xf numFmtId="0" fontId="26" fillId="3" borderId="8" xfId="0" applyFont="1" applyFill="1" applyBorder="1" applyAlignment="1">
      <alignment vertical="center" wrapText="1"/>
    </xf>
    <xf numFmtId="0" fontId="54" fillId="0" borderId="8" xfId="0" applyFont="1" applyBorder="1" applyAlignment="1">
      <alignment horizontal="center" vertical="center" wrapText="1"/>
    </xf>
    <xf numFmtId="14" fontId="54" fillId="0" borderId="8" xfId="0" applyNumberFormat="1" applyFont="1" applyBorder="1" applyAlignment="1">
      <alignment horizontal="center" vertical="center" wrapText="1"/>
    </xf>
    <xf numFmtId="14" fontId="54" fillId="0" borderId="8" xfId="0" applyNumberFormat="1" applyFont="1" applyBorder="1" applyAlignment="1">
      <alignment vertical="center" wrapText="1"/>
    </xf>
    <xf numFmtId="0" fontId="54" fillId="0" borderId="0" xfId="0" applyFont="1" applyAlignment="1">
      <alignment vertical="center" wrapText="1"/>
    </xf>
    <xf numFmtId="14" fontId="54" fillId="0" borderId="0" xfId="0" applyNumberFormat="1" applyFont="1" applyAlignment="1">
      <alignment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right" vertical="center" wrapText="1"/>
    </xf>
    <xf numFmtId="0" fontId="54" fillId="0" borderId="8" xfId="0" applyFont="1" applyBorder="1" applyAlignment="1">
      <alignment horizontal="right" vertical="center" wrapText="1"/>
    </xf>
    <xf numFmtId="0" fontId="67" fillId="0" borderId="8" xfId="0" applyFont="1" applyBorder="1" applyAlignment="1">
      <alignment vertical="center" wrapText="1"/>
    </xf>
    <xf numFmtId="0" fontId="58" fillId="0" borderId="8" xfId="0" applyFont="1" applyBorder="1" applyAlignment="1">
      <alignment vertical="center" wrapText="1"/>
    </xf>
    <xf numFmtId="0" fontId="65" fillId="0" borderId="8" xfId="0" applyFont="1" applyBorder="1" applyAlignment="1">
      <alignment vertical="center" wrapText="1"/>
    </xf>
    <xf numFmtId="0" fontId="54" fillId="0" borderId="11" xfId="0" applyFont="1" applyBorder="1" applyAlignment="1">
      <alignment vertical="center" wrapText="1"/>
    </xf>
    <xf numFmtId="14" fontId="54" fillId="0" borderId="11" xfId="0" applyNumberFormat="1" applyFont="1" applyBorder="1" applyAlignment="1">
      <alignment vertical="center" wrapText="1"/>
    </xf>
    <xf numFmtId="0" fontId="54" fillId="0" borderId="11" xfId="0" applyFont="1" applyBorder="1" applyAlignment="1">
      <alignment horizontal="right" vertical="center" wrapText="1"/>
    </xf>
    <xf numFmtId="0" fontId="59" fillId="0" borderId="11" xfId="0" applyFont="1" applyBorder="1" applyAlignment="1">
      <alignment vertical="center" wrapText="1"/>
    </xf>
    <xf numFmtId="0" fontId="0" fillId="4" borderId="8" xfId="0" applyFill="1" applyBorder="1" applyAlignment="1">
      <alignment horizontal="left" vertical="center" wrapText="1"/>
    </xf>
    <xf numFmtId="0" fontId="30" fillId="4" borderId="8" xfId="0" applyFont="1" applyFill="1" applyBorder="1" applyAlignment="1">
      <alignment horizontal="left" vertical="center" wrapText="1"/>
    </xf>
    <xf numFmtId="14" fontId="54" fillId="0" borderId="11" xfId="0" applyNumberFormat="1" applyFont="1" applyBorder="1" applyAlignment="1">
      <alignment horizontal="center" vertical="center" wrapText="1"/>
    </xf>
    <xf numFmtId="0" fontId="73" fillId="0" borderId="8" xfId="0" applyFont="1" applyBorder="1" applyAlignment="1">
      <alignment vertical="center" wrapText="1"/>
    </xf>
    <xf numFmtId="0" fontId="54" fillId="0" borderId="8" xfId="0" applyFont="1" applyBorder="1" applyAlignment="1">
      <alignment horizontal="left" vertical="center" wrapText="1"/>
    </xf>
    <xf numFmtId="0" fontId="57" fillId="0" borderId="8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164" fontId="27" fillId="3" borderId="8" xfId="0" applyNumberFormat="1" applyFont="1" applyFill="1" applyBorder="1" applyAlignment="1">
      <alignment horizontal="center" vertical="center" wrapText="1"/>
    </xf>
    <xf numFmtId="164" fontId="29" fillId="0" borderId="8" xfId="0" applyNumberFormat="1" applyFont="1" applyBorder="1" applyAlignment="1">
      <alignment horizontal="center" vertical="center" wrapText="1"/>
    </xf>
    <xf numFmtId="164" fontId="30" fillId="0" borderId="8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164" fontId="29" fillId="3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30" fillId="0" borderId="8" xfId="0" applyNumberFormat="1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164" fontId="29" fillId="2" borderId="8" xfId="0" applyNumberFormat="1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164" fontId="41" fillId="0" borderId="8" xfId="0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164" fontId="37" fillId="3" borderId="8" xfId="0" applyNumberFormat="1" applyFont="1" applyFill="1" applyBorder="1" applyAlignment="1">
      <alignment horizontal="center" vertical="center" wrapText="1"/>
    </xf>
    <xf numFmtId="164" fontId="29" fillId="3" borderId="29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4" fontId="29" fillId="0" borderId="14" xfId="0" applyNumberFormat="1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164" fontId="29" fillId="0" borderId="29" xfId="0" applyNumberFormat="1" applyFont="1" applyBorder="1" applyAlignment="1">
      <alignment horizontal="left" vertical="center" wrapText="1"/>
    </xf>
    <xf numFmtId="0" fontId="54" fillId="0" borderId="8" xfId="0" applyFont="1" applyBorder="1">
      <alignment vertical="center"/>
    </xf>
    <xf numFmtId="0" fontId="54" fillId="0" borderId="14" xfId="0" applyFont="1" applyBorder="1" applyAlignment="1">
      <alignment vertical="center" wrapText="1"/>
    </xf>
    <xf numFmtId="14" fontId="55" fillId="0" borderId="14" xfId="0" applyNumberFormat="1" applyFont="1" applyBorder="1" applyAlignment="1">
      <alignment vertical="center" wrapText="1"/>
    </xf>
    <xf numFmtId="0" fontId="54" fillId="0" borderId="14" xfId="0" applyFont="1" applyBorder="1" applyAlignment="1">
      <alignment horizontal="right" vertical="center" wrapText="1"/>
    </xf>
    <xf numFmtId="0" fontId="56" fillId="0" borderId="14" xfId="0" applyFont="1" applyBorder="1" applyAlignment="1">
      <alignment horizontal="center" vertical="center" wrapText="1"/>
    </xf>
    <xf numFmtId="0" fontId="29" fillId="5" borderId="8" xfId="0" applyFont="1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 wrapText="1"/>
    </xf>
    <xf numFmtId="0" fontId="57" fillId="5" borderId="8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29" fillId="5" borderId="0" xfId="0" applyFont="1" applyFill="1" applyAlignment="1">
      <alignment horizontal="left" vertical="center" wrapText="1"/>
    </xf>
    <xf numFmtId="0" fontId="43" fillId="5" borderId="0" xfId="0" applyFont="1" applyFill="1" applyAlignment="1">
      <alignment horizontal="left" vertical="center"/>
    </xf>
    <xf numFmtId="164" fontId="29" fillId="5" borderId="0" xfId="0" applyNumberFormat="1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30" fillId="5" borderId="0" xfId="0" applyFont="1" applyFill="1" applyAlignment="1">
      <alignment horizontal="left" vertical="center" wrapText="1"/>
    </xf>
    <xf numFmtId="14" fontId="73" fillId="0" borderId="8" xfId="0" applyNumberFormat="1" applyFont="1" applyBorder="1" applyAlignment="1">
      <alignment horizontal="center" vertical="center" wrapText="1"/>
    </xf>
    <xf numFmtId="0" fontId="60" fillId="0" borderId="8" xfId="0" applyFont="1" applyBorder="1" applyAlignment="1">
      <alignment vertical="center" wrapText="1"/>
    </xf>
    <xf numFmtId="14" fontId="29" fillId="0" borderId="28" xfId="0" applyNumberFormat="1" applyFont="1" applyBorder="1" applyAlignment="1">
      <alignment horizontal="left" vertical="center" wrapText="1"/>
    </xf>
    <xf numFmtId="0" fontId="54" fillId="3" borderId="8" xfId="0" applyFont="1" applyFill="1" applyBorder="1" applyAlignment="1">
      <alignment vertical="center" wrapText="1"/>
    </xf>
    <xf numFmtId="0" fontId="67" fillId="3" borderId="8" xfId="0" applyFont="1" applyFill="1" applyBorder="1" applyAlignment="1">
      <alignment vertical="center" wrapText="1"/>
    </xf>
    <xf numFmtId="0" fontId="42" fillId="0" borderId="31" xfId="0" applyFont="1" applyBorder="1" applyAlignment="1">
      <alignment horizontal="left" vertical="center"/>
    </xf>
    <xf numFmtId="0" fontId="26" fillId="0" borderId="31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14" fontId="67" fillId="0" borderId="8" xfId="0" applyNumberFormat="1" applyFont="1" applyBorder="1" applyAlignment="1">
      <alignment vertical="center" wrapText="1"/>
    </xf>
    <xf numFmtId="164" fontId="27" fillId="0" borderId="11" xfId="0" applyNumberFormat="1" applyFont="1" applyBorder="1" applyAlignment="1">
      <alignment horizontal="left" vertical="center" wrapText="1"/>
    </xf>
    <xf numFmtId="0" fontId="57" fillId="0" borderId="11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9" fillId="0" borderId="14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</cellXfs>
  <cellStyles count="258">
    <cellStyle name="Normal" xfId="0" builtinId="0"/>
    <cellStyle name="Normal 2" xfId="2" xr:uid="{1EF7AA53-9EEA-4564-92F1-5EBFC46F3D28}"/>
    <cellStyle name="Normal 5" xfId="1" xr:uid="{A883E7C8-5983-4783-8B87-0726E59CA5A6}"/>
    <cellStyle name="Normal 5 2" xfId="3" xr:uid="{7321A3B0-EC41-4834-9C99-7A8C54825C0E}"/>
    <cellStyle name="Normal 5 2 2" xfId="5" xr:uid="{3FDD8B70-F0D5-4492-BEDF-60C4D354A4C6}"/>
    <cellStyle name="Normal 5 2 2 2" xfId="9" xr:uid="{8800835A-946B-4F5E-A02F-F77F83CBD089}"/>
    <cellStyle name="Normal 5 2 2 2 2" xfId="17" xr:uid="{75D724CB-3D74-434F-90B9-66E6A8E69002}"/>
    <cellStyle name="Normal 5 2 2 2 2 2" xfId="33" xr:uid="{AFA4B037-4ECF-434A-9730-9CFAEDF9224E}"/>
    <cellStyle name="Normal 5 2 2 2 2 2 2" xfId="65" xr:uid="{7F96110E-BE81-4924-B117-C8366A11CEA4}"/>
    <cellStyle name="Normal 5 2 2 2 2 2 2 2" xfId="129" xr:uid="{8537A7AE-75BA-42BF-8778-BA437BF011DB}"/>
    <cellStyle name="Normal 5 2 2 2 2 2 2 2 2" xfId="257" xr:uid="{8D7A5290-F215-4844-820B-257752875567}"/>
    <cellStyle name="Normal 5 2 2 2 2 2 2 3" xfId="193" xr:uid="{CAB10E51-998A-4DD2-A958-2E3F8E796902}"/>
    <cellStyle name="Normal 5 2 2 2 2 2 3" xfId="97" xr:uid="{B8E3DBFA-CF50-4ADA-9A73-B8DA37693E70}"/>
    <cellStyle name="Normal 5 2 2 2 2 2 3 2" xfId="225" xr:uid="{4FA785EB-FD4C-4B44-A63D-D9619DB0A41C}"/>
    <cellStyle name="Normal 5 2 2 2 2 2 4" xfId="161" xr:uid="{88E0786A-E19B-4B4F-AD3C-A30907F9A214}"/>
    <cellStyle name="Normal 5 2 2 2 2 3" xfId="49" xr:uid="{B9C20220-30AD-4FAE-B9B7-058CD974DCE6}"/>
    <cellStyle name="Normal 5 2 2 2 2 3 2" xfId="113" xr:uid="{DFBFDB53-16B0-41DF-AEC6-4AD156194780}"/>
    <cellStyle name="Normal 5 2 2 2 2 3 2 2" xfId="241" xr:uid="{11349B7A-975C-42BF-AE2D-1AFA3D61BCD8}"/>
    <cellStyle name="Normal 5 2 2 2 2 3 3" xfId="177" xr:uid="{56E60D5D-FB9B-48CA-871D-C05982D96486}"/>
    <cellStyle name="Normal 5 2 2 2 2 4" xfId="81" xr:uid="{86AABBFE-6D89-4037-AD9F-0D7E51C95975}"/>
    <cellStyle name="Normal 5 2 2 2 2 4 2" xfId="209" xr:uid="{14D67A5C-A4A1-42CE-B395-69DB4BCE5845}"/>
    <cellStyle name="Normal 5 2 2 2 2 5" xfId="145" xr:uid="{9A48F2D2-697B-4F75-A457-17AA8205633D}"/>
    <cellStyle name="Normal 5 2 2 2 3" xfId="25" xr:uid="{6A024BBE-F397-4375-AED5-C98591D41935}"/>
    <cellStyle name="Normal 5 2 2 2 3 2" xfId="57" xr:uid="{E185E0B7-7673-4049-83D4-B91FABDB4772}"/>
    <cellStyle name="Normal 5 2 2 2 3 2 2" xfId="121" xr:uid="{D4E30440-A405-456E-BDCD-016468835854}"/>
    <cellStyle name="Normal 5 2 2 2 3 2 2 2" xfId="249" xr:uid="{1B6182FC-FF64-4B2D-B445-0D66CAF53018}"/>
    <cellStyle name="Normal 5 2 2 2 3 2 3" xfId="185" xr:uid="{12801492-809F-44A6-9ECA-D934D477CC2F}"/>
    <cellStyle name="Normal 5 2 2 2 3 3" xfId="89" xr:uid="{5E33179E-016F-4713-A3E2-EA7E587966D8}"/>
    <cellStyle name="Normal 5 2 2 2 3 3 2" xfId="217" xr:uid="{836286EB-0F57-467C-B4C4-E1E4A5A0C052}"/>
    <cellStyle name="Normal 5 2 2 2 3 4" xfId="153" xr:uid="{7ACC86CA-A7EF-4246-B9F0-875E495E5601}"/>
    <cellStyle name="Normal 5 2 2 2 4" xfId="41" xr:uid="{7A6B13E5-CA75-4A72-A4D3-05311C84074B}"/>
    <cellStyle name="Normal 5 2 2 2 4 2" xfId="105" xr:uid="{29BF7F4C-C9C5-475B-8D53-77A477088DAC}"/>
    <cellStyle name="Normal 5 2 2 2 4 2 2" xfId="233" xr:uid="{7F8281A7-2936-4763-A6C0-866918986607}"/>
    <cellStyle name="Normal 5 2 2 2 4 3" xfId="169" xr:uid="{8ECD49FD-3CB1-4B77-8F27-770E7F06FA4C}"/>
    <cellStyle name="Normal 5 2 2 2 5" xfId="73" xr:uid="{96D41983-D33B-4FB0-888A-62FE52405373}"/>
    <cellStyle name="Normal 5 2 2 2 5 2" xfId="201" xr:uid="{4F8DF3EB-ADD4-4A1E-963C-D3A8DF18291C}"/>
    <cellStyle name="Normal 5 2 2 2 6" xfId="137" xr:uid="{9B8B340C-7927-45B1-98B0-4403E4E7D007}"/>
    <cellStyle name="Normal 5 2 2 3" xfId="13" xr:uid="{1A1E50C1-1533-4122-A718-51FF831B8296}"/>
    <cellStyle name="Normal 5 2 2 3 2" xfId="29" xr:uid="{345741F1-6144-4ABA-92DB-A8E653825EDC}"/>
    <cellStyle name="Normal 5 2 2 3 2 2" xfId="61" xr:uid="{3A3CC2B3-63DF-4856-83D8-C8FF0489199D}"/>
    <cellStyle name="Normal 5 2 2 3 2 2 2" xfId="125" xr:uid="{93A24EA2-269E-462F-B767-9BA5AE498DE9}"/>
    <cellStyle name="Normal 5 2 2 3 2 2 2 2" xfId="253" xr:uid="{0FB1B642-253A-428C-9D6F-04AF855DC3F1}"/>
    <cellStyle name="Normal 5 2 2 3 2 2 3" xfId="189" xr:uid="{13ADDE91-651A-4F75-9396-54C528B908E0}"/>
    <cellStyle name="Normal 5 2 2 3 2 3" xfId="93" xr:uid="{CF8318DF-AFA4-4BE8-9E91-24EE00AB6811}"/>
    <cellStyle name="Normal 5 2 2 3 2 3 2" xfId="221" xr:uid="{259F3A79-96A4-47B3-9078-F8B9288C9A99}"/>
    <cellStyle name="Normal 5 2 2 3 2 4" xfId="157" xr:uid="{E8833990-D46F-472A-94CD-22DEF7ECE2FB}"/>
    <cellStyle name="Normal 5 2 2 3 3" xfId="45" xr:uid="{7C41AB8B-1A65-463D-876A-CDF2E6DB753C}"/>
    <cellStyle name="Normal 5 2 2 3 3 2" xfId="109" xr:uid="{E57371BA-7972-4E1A-85EC-6E0D22E09EC9}"/>
    <cellStyle name="Normal 5 2 2 3 3 2 2" xfId="237" xr:uid="{0797F3A7-6721-46EE-B32A-FB96C8757E3A}"/>
    <cellStyle name="Normal 5 2 2 3 3 3" xfId="173" xr:uid="{F5C29C06-6894-4562-AF6D-50B11B35B8D9}"/>
    <cellStyle name="Normal 5 2 2 3 4" xfId="77" xr:uid="{54F00693-C6DD-46A7-9A81-AD86906D60F2}"/>
    <cellStyle name="Normal 5 2 2 3 4 2" xfId="205" xr:uid="{11FBD403-E588-4899-81DE-CA5AEAD0A671}"/>
    <cellStyle name="Normal 5 2 2 3 5" xfId="141" xr:uid="{62A39875-61F0-458B-8BBF-601B704D1485}"/>
    <cellStyle name="Normal 5 2 2 4" xfId="21" xr:uid="{149B01AD-3A62-4E6E-8579-225898F7822C}"/>
    <cellStyle name="Normal 5 2 2 4 2" xfId="53" xr:uid="{248559C6-E965-4A60-AD5C-F4C2F1BAD6A0}"/>
    <cellStyle name="Normal 5 2 2 4 2 2" xfId="117" xr:uid="{1BD432A8-22E3-42A2-984F-E5A9D8749E38}"/>
    <cellStyle name="Normal 5 2 2 4 2 2 2" xfId="245" xr:uid="{13B45049-8FC3-4786-A239-5017CA539FDB}"/>
    <cellStyle name="Normal 5 2 2 4 2 3" xfId="181" xr:uid="{C905AC9E-63C8-48AC-B429-7A68824F252F}"/>
    <cellStyle name="Normal 5 2 2 4 3" xfId="85" xr:uid="{DAF9F462-DD24-4C53-B225-21D14562C0C7}"/>
    <cellStyle name="Normal 5 2 2 4 3 2" xfId="213" xr:uid="{4E17F64F-5DDF-4EC0-9522-AD06FC07300B}"/>
    <cellStyle name="Normal 5 2 2 4 4" xfId="149" xr:uid="{CD20A181-5EBA-46E8-9371-0B3C65B4C6FA}"/>
    <cellStyle name="Normal 5 2 2 5" xfId="37" xr:uid="{2E9650F2-EF44-4134-8E24-B7F511CD9619}"/>
    <cellStyle name="Normal 5 2 2 5 2" xfId="101" xr:uid="{424837D4-2121-404B-A776-7642F2D22E1E}"/>
    <cellStyle name="Normal 5 2 2 5 2 2" xfId="229" xr:uid="{85C5FB22-577B-43CF-9978-BE60B4353C20}"/>
    <cellStyle name="Normal 5 2 2 5 3" xfId="165" xr:uid="{04143D2E-DF37-4754-B524-6AAD04C3C7E1}"/>
    <cellStyle name="Normal 5 2 2 6" xfId="69" xr:uid="{EB2DD6FA-5172-4800-85EB-7D04A52F01CF}"/>
    <cellStyle name="Normal 5 2 2 6 2" xfId="197" xr:uid="{D83CCD7A-410B-4F94-80CC-783B2F60A5C6}"/>
    <cellStyle name="Normal 5 2 2 7" xfId="133" xr:uid="{B3F52224-5CFB-4982-8CBD-15976C4FDB01}"/>
    <cellStyle name="Normal 5 2 3" xfId="7" xr:uid="{E3FA8649-BDE0-4028-BAEF-DC082EDABB1D}"/>
    <cellStyle name="Normal 5 2 3 2" xfId="15" xr:uid="{BE0C9F34-A4FA-4A1D-9245-B98E2542B6FA}"/>
    <cellStyle name="Normal 5 2 3 2 2" xfId="31" xr:uid="{D1D5CEB3-CC2A-4076-BDB2-6CDF25F7F84C}"/>
    <cellStyle name="Normal 5 2 3 2 2 2" xfId="63" xr:uid="{6A4079EC-1FFF-4FB8-8012-350788DD9B4E}"/>
    <cellStyle name="Normal 5 2 3 2 2 2 2" xfId="127" xr:uid="{3DC5B106-70F9-467E-B61F-9304BA1EB631}"/>
    <cellStyle name="Normal 5 2 3 2 2 2 2 2" xfId="255" xr:uid="{6D3521D1-8A67-48B9-B0AE-B70D7AE16013}"/>
    <cellStyle name="Normal 5 2 3 2 2 2 3" xfId="191" xr:uid="{1B1A2A8E-D334-493B-8C86-9551B3A65B18}"/>
    <cellStyle name="Normal 5 2 3 2 2 3" xfId="95" xr:uid="{AD14DFF9-0D05-495B-AC7A-1C43A0C2E077}"/>
    <cellStyle name="Normal 5 2 3 2 2 3 2" xfId="223" xr:uid="{ADEBA81C-8D24-4F33-AA41-8EA26685FED8}"/>
    <cellStyle name="Normal 5 2 3 2 2 4" xfId="159" xr:uid="{C7C8DCBB-3FAB-4DA4-A9F7-A3273FC4111E}"/>
    <cellStyle name="Normal 5 2 3 2 3" xfId="47" xr:uid="{077F0237-AD5A-4234-9816-4CF5EA6624ED}"/>
    <cellStyle name="Normal 5 2 3 2 3 2" xfId="111" xr:uid="{B3EC4686-7B61-4E7C-BEED-6DE3746217D6}"/>
    <cellStyle name="Normal 5 2 3 2 3 2 2" xfId="239" xr:uid="{B5FD80DE-ECFE-42DC-B4AF-8C606F5518FF}"/>
    <cellStyle name="Normal 5 2 3 2 3 3" xfId="175" xr:uid="{E2A4AE60-7359-4EA9-AA30-3BC7B2BFC94F}"/>
    <cellStyle name="Normal 5 2 3 2 4" xfId="79" xr:uid="{304991C6-ED17-4D6F-A660-8BC11E9BA7DD}"/>
    <cellStyle name="Normal 5 2 3 2 4 2" xfId="207" xr:uid="{3BFC22A8-DFAB-4518-BCE9-803943B175AE}"/>
    <cellStyle name="Normal 5 2 3 2 5" xfId="143" xr:uid="{B6EC4BBF-0630-479B-BC0F-D6734EBA1D87}"/>
    <cellStyle name="Normal 5 2 3 3" xfId="23" xr:uid="{BA6EA709-4D9C-4A2B-ABFF-AD3E7F2DC769}"/>
    <cellStyle name="Normal 5 2 3 3 2" xfId="55" xr:uid="{263AA1C2-3662-471F-8A5A-146F46BE7B28}"/>
    <cellStyle name="Normal 5 2 3 3 2 2" xfId="119" xr:uid="{4743D70F-1CB1-466B-A309-DD3A3D751D73}"/>
    <cellStyle name="Normal 5 2 3 3 2 2 2" xfId="247" xr:uid="{0D05C2AB-4C27-41AC-85E9-D42D9E18A77C}"/>
    <cellStyle name="Normal 5 2 3 3 2 3" xfId="183" xr:uid="{328D56F5-21FC-4311-93C5-447A1D24763B}"/>
    <cellStyle name="Normal 5 2 3 3 3" xfId="87" xr:uid="{F1C8A42F-6C1E-4A84-80A2-4938E8979BBE}"/>
    <cellStyle name="Normal 5 2 3 3 3 2" xfId="215" xr:uid="{75C6AFDA-5CF9-460C-8EE1-CEF70980FFE0}"/>
    <cellStyle name="Normal 5 2 3 3 4" xfId="151" xr:uid="{19C74DD3-5046-4ED2-9CC8-13EF67B0B3F9}"/>
    <cellStyle name="Normal 5 2 3 4" xfId="39" xr:uid="{3D8E6FCD-2918-48AE-8309-DE9823BF1C04}"/>
    <cellStyle name="Normal 5 2 3 4 2" xfId="103" xr:uid="{8F1F732F-2743-48F6-92CD-BEE06983C288}"/>
    <cellStyle name="Normal 5 2 3 4 2 2" xfId="231" xr:uid="{F6A775B4-1BDA-4602-9191-694CF2F57AC3}"/>
    <cellStyle name="Normal 5 2 3 4 3" xfId="167" xr:uid="{3CDDA185-0483-4091-B112-DE180F6AFADA}"/>
    <cellStyle name="Normal 5 2 3 5" xfId="71" xr:uid="{4B9BFC2D-9BB3-471E-B083-D4AADB8FD4F8}"/>
    <cellStyle name="Normal 5 2 3 5 2" xfId="199" xr:uid="{1736D305-12CE-447C-A04C-4DA60843C5FC}"/>
    <cellStyle name="Normal 5 2 3 6" xfId="135" xr:uid="{222DEA95-E419-45B5-9AC0-3C2E96FE6927}"/>
    <cellStyle name="Normal 5 2 4" xfId="11" xr:uid="{54FF0B52-A94B-4F71-B3E1-223310B46FB4}"/>
    <cellStyle name="Normal 5 2 4 2" xfId="27" xr:uid="{5366D9C7-70E9-42E8-A8C5-555E61F4FF73}"/>
    <cellStyle name="Normal 5 2 4 2 2" xfId="59" xr:uid="{6FD71BB7-8531-4988-A0F3-2070FD4AB9C7}"/>
    <cellStyle name="Normal 5 2 4 2 2 2" xfId="123" xr:uid="{B1F7DEB3-BBF2-4F4B-90DB-4E0CC35255F6}"/>
    <cellStyle name="Normal 5 2 4 2 2 2 2" xfId="251" xr:uid="{6FEDECE2-C7B8-4F97-B694-2339AAD7B94E}"/>
    <cellStyle name="Normal 5 2 4 2 2 3" xfId="187" xr:uid="{70B967D2-89F7-41CD-8263-F114E261C1E1}"/>
    <cellStyle name="Normal 5 2 4 2 3" xfId="91" xr:uid="{6F8DF3E7-FEC7-473A-B2E3-4C2F9C921DFE}"/>
    <cellStyle name="Normal 5 2 4 2 3 2" xfId="219" xr:uid="{60383652-6C7B-4142-BCF1-7F964FCA8762}"/>
    <cellStyle name="Normal 5 2 4 2 4" xfId="155" xr:uid="{4673847B-B6FE-4347-9428-2EB20FF94D24}"/>
    <cellStyle name="Normal 5 2 4 3" xfId="43" xr:uid="{40E219EA-247E-48C3-9C1E-A54675BA73EC}"/>
    <cellStyle name="Normal 5 2 4 3 2" xfId="107" xr:uid="{93BC47A3-6493-418C-B53C-67B8E79249D7}"/>
    <cellStyle name="Normal 5 2 4 3 2 2" xfId="235" xr:uid="{AC138330-8C62-4CF7-9CB9-A06D30F43DC4}"/>
    <cellStyle name="Normal 5 2 4 3 3" xfId="171" xr:uid="{56914AC6-9DB5-4C83-8258-5B470649E6FE}"/>
    <cellStyle name="Normal 5 2 4 4" xfId="75" xr:uid="{B2CDC7E0-751B-428B-81F3-E791DB3559B7}"/>
    <cellStyle name="Normal 5 2 4 4 2" xfId="203" xr:uid="{48A17343-94FF-41A3-9F54-70EB85D91780}"/>
    <cellStyle name="Normal 5 2 4 5" xfId="139" xr:uid="{07B53BD5-DB9C-42C1-8AD9-DC9CDC427B34}"/>
    <cellStyle name="Normal 5 2 5" xfId="19" xr:uid="{8A32EC76-E645-4FA1-B166-87EDE1BC0C72}"/>
    <cellStyle name="Normal 5 2 5 2" xfId="51" xr:uid="{A5F05A02-2A76-4FCE-91C5-EF107152A071}"/>
    <cellStyle name="Normal 5 2 5 2 2" xfId="115" xr:uid="{6DD56F92-D0D3-47EC-A9F4-6E266F66AC4B}"/>
    <cellStyle name="Normal 5 2 5 2 2 2" xfId="243" xr:uid="{12F2559E-79D5-4DE1-9506-ECA66E97A639}"/>
    <cellStyle name="Normal 5 2 5 2 3" xfId="179" xr:uid="{C6310738-C25B-4211-9850-059AFCD34395}"/>
    <cellStyle name="Normal 5 2 5 3" xfId="83" xr:uid="{37973C72-8D18-4423-AD83-C2FFE5374BFE}"/>
    <cellStyle name="Normal 5 2 5 3 2" xfId="211" xr:uid="{81D30DFD-0DEF-40F1-8A34-4A0A56C78406}"/>
    <cellStyle name="Normal 5 2 5 4" xfId="147" xr:uid="{77E483C2-ADDE-47DF-84FA-034C98F41FFF}"/>
    <cellStyle name="Normal 5 2 6" xfId="35" xr:uid="{398A3E17-941A-49DB-9257-F4BBEF25FCDA}"/>
    <cellStyle name="Normal 5 2 6 2" xfId="99" xr:uid="{B679AF98-7E05-46E7-AC80-7942B99A95EA}"/>
    <cellStyle name="Normal 5 2 6 2 2" xfId="227" xr:uid="{F557AC57-48F5-4368-A558-A9C2D4C70825}"/>
    <cellStyle name="Normal 5 2 6 3" xfId="163" xr:uid="{42E65696-AFC0-4A63-98A9-EC793C6D9138}"/>
    <cellStyle name="Normal 5 2 7" xfId="67" xr:uid="{1EE1219F-675A-402C-A5F4-86CB186C3B57}"/>
    <cellStyle name="Normal 5 2 7 2" xfId="195" xr:uid="{EF4CC916-3439-45C7-A2B3-234D7D2BAF4C}"/>
    <cellStyle name="Normal 5 2 8" xfId="131" xr:uid="{4E1F8C95-E35E-400F-98F5-B3919A470F02}"/>
    <cellStyle name="Normal 5 3" xfId="4" xr:uid="{950D8634-D9E9-4100-8E62-8910BEBD945C}"/>
    <cellStyle name="Normal 5 3 2" xfId="8" xr:uid="{97CCB90D-437D-44A1-811E-7310CC558724}"/>
    <cellStyle name="Normal 5 3 2 2" xfId="16" xr:uid="{8DBA6C80-8326-4568-948F-DA35AD2C8961}"/>
    <cellStyle name="Normal 5 3 2 2 2" xfId="32" xr:uid="{A8CDF722-9B15-4DD8-925C-3F104F1D0BDF}"/>
    <cellStyle name="Normal 5 3 2 2 2 2" xfId="64" xr:uid="{85EA1680-6AA0-4EF9-8A86-0B1D1B9510EC}"/>
    <cellStyle name="Normal 5 3 2 2 2 2 2" xfId="128" xr:uid="{7A475516-E1AD-4847-9130-6F64DA5B7531}"/>
    <cellStyle name="Normal 5 3 2 2 2 2 2 2" xfId="256" xr:uid="{BB704520-3156-40D2-9A07-CB34E14B806C}"/>
    <cellStyle name="Normal 5 3 2 2 2 2 3" xfId="192" xr:uid="{6D4B57DA-EF30-4356-862A-496B657090B7}"/>
    <cellStyle name="Normal 5 3 2 2 2 3" xfId="96" xr:uid="{23957785-6C96-469B-BD9B-CA7D0EFC6213}"/>
    <cellStyle name="Normal 5 3 2 2 2 3 2" xfId="224" xr:uid="{2623170C-F329-454C-AB1B-6215E4C8DD24}"/>
    <cellStyle name="Normal 5 3 2 2 2 4" xfId="160" xr:uid="{5C066FF2-3BF3-4DDB-8153-D6375D081771}"/>
    <cellStyle name="Normal 5 3 2 2 3" xfId="48" xr:uid="{D09944DF-24BA-4388-BB85-1BF30FCB7C73}"/>
    <cellStyle name="Normal 5 3 2 2 3 2" xfId="112" xr:uid="{51081D83-7DE5-4563-8590-45C776E936B3}"/>
    <cellStyle name="Normal 5 3 2 2 3 2 2" xfId="240" xr:uid="{21A73660-D172-426D-A6EC-D58181C42C08}"/>
    <cellStyle name="Normal 5 3 2 2 3 3" xfId="176" xr:uid="{9BCA03E3-C212-4C4E-8C24-844E3D5F485A}"/>
    <cellStyle name="Normal 5 3 2 2 4" xfId="80" xr:uid="{8FD06547-40E9-4E84-950C-28640FA8F581}"/>
    <cellStyle name="Normal 5 3 2 2 4 2" xfId="208" xr:uid="{804F49A1-67BB-48D6-A62D-5BE80FAA27D3}"/>
    <cellStyle name="Normal 5 3 2 2 5" xfId="144" xr:uid="{55DBD248-BE69-48B3-BE3A-C4EF1920C96A}"/>
    <cellStyle name="Normal 5 3 2 3" xfId="24" xr:uid="{18099911-1F6E-4DCA-BF69-C0A61D7BBC0B}"/>
    <cellStyle name="Normal 5 3 2 3 2" xfId="56" xr:uid="{2B70062B-FEFF-482A-AFE2-480841D77112}"/>
    <cellStyle name="Normal 5 3 2 3 2 2" xfId="120" xr:uid="{84800F82-A08B-4AC4-93C2-6E2A76B267E2}"/>
    <cellStyle name="Normal 5 3 2 3 2 2 2" xfId="248" xr:uid="{488C4860-790B-4B3C-B097-361DB475E763}"/>
    <cellStyle name="Normal 5 3 2 3 2 3" xfId="184" xr:uid="{BA4F1F8E-383F-497F-B8EF-964E320705F5}"/>
    <cellStyle name="Normal 5 3 2 3 3" xfId="88" xr:uid="{16B0D79A-14CA-4335-84CA-4A790974BD57}"/>
    <cellStyle name="Normal 5 3 2 3 3 2" xfId="216" xr:uid="{B8207274-9B51-49E3-A730-36F6514773B8}"/>
    <cellStyle name="Normal 5 3 2 3 4" xfId="152" xr:uid="{ED707F9B-F534-4DAE-BC71-2446E93453E4}"/>
    <cellStyle name="Normal 5 3 2 4" xfId="40" xr:uid="{82233B9B-104B-4D80-9C4D-73CFDC8A46FC}"/>
    <cellStyle name="Normal 5 3 2 4 2" xfId="104" xr:uid="{533F91C9-33D8-4111-9286-117963FCB2F0}"/>
    <cellStyle name="Normal 5 3 2 4 2 2" xfId="232" xr:uid="{3B971BD5-366B-4A4D-BB7C-CC2FFDF968ED}"/>
    <cellStyle name="Normal 5 3 2 4 3" xfId="168" xr:uid="{6D6BB47E-F7F8-448B-BE8A-B53C7664AC0D}"/>
    <cellStyle name="Normal 5 3 2 5" xfId="72" xr:uid="{BE129DF1-14DA-40E6-AB58-E1C4F11BAC85}"/>
    <cellStyle name="Normal 5 3 2 5 2" xfId="200" xr:uid="{DFC65B9F-CC7B-43BC-9475-96DAE072C275}"/>
    <cellStyle name="Normal 5 3 2 6" xfId="136" xr:uid="{4799622A-5478-40AE-8374-D8FE66967F83}"/>
    <cellStyle name="Normal 5 3 3" xfId="12" xr:uid="{D6B8CA95-71FC-4EF5-830B-E161B2474E1A}"/>
    <cellStyle name="Normal 5 3 3 2" xfId="28" xr:uid="{8F94B787-463C-44CA-812C-9950FF9467FA}"/>
    <cellStyle name="Normal 5 3 3 2 2" xfId="60" xr:uid="{F20F5949-5917-4FF4-A443-67017EDFC7F8}"/>
    <cellStyle name="Normal 5 3 3 2 2 2" xfId="124" xr:uid="{DB2F4ABB-7EA0-45B1-B349-EF6E5D101BF1}"/>
    <cellStyle name="Normal 5 3 3 2 2 2 2" xfId="252" xr:uid="{A8D96B4C-7B37-4EC8-92DD-7D191064B28C}"/>
    <cellStyle name="Normal 5 3 3 2 2 3" xfId="188" xr:uid="{028F6CC5-1150-4FA2-BA5B-6A6F9F31E6C2}"/>
    <cellStyle name="Normal 5 3 3 2 3" xfId="92" xr:uid="{CE33043D-5281-4DEC-B1BB-3AF92975D35C}"/>
    <cellStyle name="Normal 5 3 3 2 3 2" xfId="220" xr:uid="{9C77D44E-1795-4F71-82F9-7C7C8C9FF287}"/>
    <cellStyle name="Normal 5 3 3 2 4" xfId="156" xr:uid="{332BB281-AEFA-433F-A292-2DCC24E396BE}"/>
    <cellStyle name="Normal 5 3 3 3" xfId="44" xr:uid="{C06A2C24-0259-4E24-A248-6519CD972E02}"/>
    <cellStyle name="Normal 5 3 3 3 2" xfId="108" xr:uid="{6D5E82DD-5F09-433B-B0C3-566B972A13CE}"/>
    <cellStyle name="Normal 5 3 3 3 2 2" xfId="236" xr:uid="{47118DD8-06EE-4012-925D-6CFB11C16EA4}"/>
    <cellStyle name="Normal 5 3 3 3 3" xfId="172" xr:uid="{604CFA84-3F34-4FB2-B4C2-2E8B6772883A}"/>
    <cellStyle name="Normal 5 3 3 4" xfId="76" xr:uid="{B7935359-7E1F-460B-A13B-4B4D63C479A7}"/>
    <cellStyle name="Normal 5 3 3 4 2" xfId="204" xr:uid="{B847FACF-33EF-4699-8986-CAC6E40E9D2D}"/>
    <cellStyle name="Normal 5 3 3 5" xfId="140" xr:uid="{81A25090-6D28-481E-89A2-249DA893C9E2}"/>
    <cellStyle name="Normal 5 3 4" xfId="20" xr:uid="{50BB20CE-685B-4698-8A46-886CA744AD48}"/>
    <cellStyle name="Normal 5 3 4 2" xfId="52" xr:uid="{28117E6A-00BA-4A19-BF34-A6A14A607D15}"/>
    <cellStyle name="Normal 5 3 4 2 2" xfId="116" xr:uid="{290C0B17-0346-49D5-A5EB-831C89089DA6}"/>
    <cellStyle name="Normal 5 3 4 2 2 2" xfId="244" xr:uid="{FD40C662-DE83-4816-9993-8D40E4A98A5E}"/>
    <cellStyle name="Normal 5 3 4 2 3" xfId="180" xr:uid="{F2C5E1CF-603C-47B1-B7E2-25ABB94B9556}"/>
    <cellStyle name="Normal 5 3 4 3" xfId="84" xr:uid="{5C95A0FA-5E8D-4C24-8284-D67CEBEFC168}"/>
    <cellStyle name="Normal 5 3 4 3 2" xfId="212" xr:uid="{FF07C42C-0B95-4AAC-BD95-B0C50FDCD315}"/>
    <cellStyle name="Normal 5 3 4 4" xfId="148" xr:uid="{BE4F44D8-FB46-418E-B9DC-9F8B8E220B67}"/>
    <cellStyle name="Normal 5 3 5" xfId="36" xr:uid="{D39DEFBE-18F0-45EA-9150-9CE370283D93}"/>
    <cellStyle name="Normal 5 3 5 2" xfId="100" xr:uid="{EF154E51-C7CE-4015-9AB7-81A371D7F635}"/>
    <cellStyle name="Normal 5 3 5 2 2" xfId="228" xr:uid="{2A775200-0A2A-48BF-A876-65A7E05CD38B}"/>
    <cellStyle name="Normal 5 3 5 3" xfId="164" xr:uid="{E0DEB56E-9358-4F6F-AD46-4DDF8B49CBB7}"/>
    <cellStyle name="Normal 5 3 6" xfId="68" xr:uid="{FE366BD3-09DF-4118-8E7D-3ED6C46686B9}"/>
    <cellStyle name="Normal 5 3 6 2" xfId="196" xr:uid="{0AF47418-B286-4C6C-801F-1A126A913AB5}"/>
    <cellStyle name="Normal 5 3 7" xfId="132" xr:uid="{D3A3E532-714F-4783-BAE1-B9160B522BC6}"/>
    <cellStyle name="Normal 5 4" xfId="6" xr:uid="{0F01A2E9-9FA0-4194-919D-A3B26EB38768}"/>
    <cellStyle name="Normal 5 4 2" xfId="14" xr:uid="{74745C28-0D8D-45DE-8BC8-5552A9014EDB}"/>
    <cellStyle name="Normal 5 4 2 2" xfId="30" xr:uid="{B99F7806-F5BB-4FC4-B879-0DF6488CF761}"/>
    <cellStyle name="Normal 5 4 2 2 2" xfId="62" xr:uid="{064F5DF8-34AB-4F3E-9421-737E36C58CA8}"/>
    <cellStyle name="Normal 5 4 2 2 2 2" xfId="126" xr:uid="{ECECE106-C4FB-4835-BF4A-BDACC22093F1}"/>
    <cellStyle name="Normal 5 4 2 2 2 2 2" xfId="254" xr:uid="{1A73F5A8-F883-400A-8AA8-E0D263FFB0E1}"/>
    <cellStyle name="Normal 5 4 2 2 2 3" xfId="190" xr:uid="{F8AD2CD1-D2C7-4102-8410-D5B3603F6EEC}"/>
    <cellStyle name="Normal 5 4 2 2 3" xfId="94" xr:uid="{70F78BD4-C9A5-4860-A50C-B280EBA97816}"/>
    <cellStyle name="Normal 5 4 2 2 3 2" xfId="222" xr:uid="{C9F93BA5-3F43-4D1D-A25E-4FEF564BC5C7}"/>
    <cellStyle name="Normal 5 4 2 2 4" xfId="158" xr:uid="{292C7532-F9A8-47BB-A9D7-7DF6AC63BB99}"/>
    <cellStyle name="Normal 5 4 2 3" xfId="46" xr:uid="{E042339A-032C-4D78-B1C3-6D16B658EC01}"/>
    <cellStyle name="Normal 5 4 2 3 2" xfId="110" xr:uid="{EACFD9C7-59EB-4C09-94AC-7AECE58669A3}"/>
    <cellStyle name="Normal 5 4 2 3 2 2" xfId="238" xr:uid="{03821E8F-5153-415D-93DC-522172D7BE3C}"/>
    <cellStyle name="Normal 5 4 2 3 3" xfId="174" xr:uid="{F591923E-AB7C-4479-8718-0D72CF762B54}"/>
    <cellStyle name="Normal 5 4 2 4" xfId="78" xr:uid="{4E63D83B-306F-444D-959E-591ED517AA82}"/>
    <cellStyle name="Normal 5 4 2 4 2" xfId="206" xr:uid="{41D3E0A9-9D11-4436-887B-D7292829180E}"/>
    <cellStyle name="Normal 5 4 2 5" xfId="142" xr:uid="{320E6139-5AFE-4D8A-B22D-6A22AFFA8081}"/>
    <cellStyle name="Normal 5 4 3" xfId="22" xr:uid="{7912B497-DA8B-4ADC-9EC9-E1A33BC20D6F}"/>
    <cellStyle name="Normal 5 4 3 2" xfId="54" xr:uid="{9BA13C15-F55B-451B-A603-85EAEFA80505}"/>
    <cellStyle name="Normal 5 4 3 2 2" xfId="118" xr:uid="{5E0F6271-2F61-4420-B9AD-41DBF9564959}"/>
    <cellStyle name="Normal 5 4 3 2 2 2" xfId="246" xr:uid="{6932C70F-A838-4425-978C-B3EAC3117330}"/>
    <cellStyle name="Normal 5 4 3 2 3" xfId="182" xr:uid="{103FDC56-1931-4896-BFD0-9A82CF6DF7C6}"/>
    <cellStyle name="Normal 5 4 3 3" xfId="86" xr:uid="{9A61A22F-B071-49F4-A277-60C9D3EE79B2}"/>
    <cellStyle name="Normal 5 4 3 3 2" xfId="214" xr:uid="{E46BBCA3-100F-494C-9208-7654251F8700}"/>
    <cellStyle name="Normal 5 4 3 4" xfId="150" xr:uid="{1A2C34C5-F6F1-438C-9BF5-D6D322228D4B}"/>
    <cellStyle name="Normal 5 4 4" xfId="38" xr:uid="{C9D44D6B-0A93-41CD-9BDC-E4CEEBCB2005}"/>
    <cellStyle name="Normal 5 4 4 2" xfId="102" xr:uid="{42AE1D56-BA5C-40B9-B243-6FEBD667A2C9}"/>
    <cellStyle name="Normal 5 4 4 2 2" xfId="230" xr:uid="{7776E563-B011-460E-8CC0-E3AD6EB612E5}"/>
    <cellStyle name="Normal 5 4 4 3" xfId="166" xr:uid="{95593CEF-4671-42F2-BA5C-2DCB51403871}"/>
    <cellStyle name="Normal 5 4 5" xfId="70" xr:uid="{2ABA0F14-51C2-4644-8DE3-5926311B5E6E}"/>
    <cellStyle name="Normal 5 4 5 2" xfId="198" xr:uid="{73732766-0D8E-4974-BB61-240DC42CC971}"/>
    <cellStyle name="Normal 5 4 6" xfId="134" xr:uid="{6AE91CBD-AE28-4DC3-9A8D-DD1656F41DC3}"/>
    <cellStyle name="Normal 5 5" xfId="10" xr:uid="{8381919C-C4C2-418D-A2FC-40CBA9C95E5D}"/>
    <cellStyle name="Normal 5 5 2" xfId="26" xr:uid="{1BE2C92B-0B8C-484E-8542-E75E03FE4504}"/>
    <cellStyle name="Normal 5 5 2 2" xfId="58" xr:uid="{8FF73204-1DB2-4155-980B-E886773DDA91}"/>
    <cellStyle name="Normal 5 5 2 2 2" xfId="122" xr:uid="{E30C5D0E-16FA-4BCD-821C-2D07386B35E3}"/>
    <cellStyle name="Normal 5 5 2 2 2 2" xfId="250" xr:uid="{8D56BEC2-C53B-4613-B360-AC769BBC1541}"/>
    <cellStyle name="Normal 5 5 2 2 3" xfId="186" xr:uid="{A09A4C60-5E71-4C14-A41D-CCDFCDB72057}"/>
    <cellStyle name="Normal 5 5 2 3" xfId="90" xr:uid="{D5452DAE-7C52-42DA-BE2C-439FA81E14F8}"/>
    <cellStyle name="Normal 5 5 2 3 2" xfId="218" xr:uid="{A1FBC660-F5E6-496D-95EF-E40DC4E0BC72}"/>
    <cellStyle name="Normal 5 5 2 4" xfId="154" xr:uid="{1DCCBDB4-DDE9-4375-9784-E377F5454400}"/>
    <cellStyle name="Normal 5 5 3" xfId="42" xr:uid="{1BCB636C-D3E4-4AB9-913B-9979EB5D0056}"/>
    <cellStyle name="Normal 5 5 3 2" xfId="106" xr:uid="{9F468071-2228-4306-A57C-48D4C8121F73}"/>
    <cellStyle name="Normal 5 5 3 2 2" xfId="234" xr:uid="{59EBDAE2-4EBA-4A91-BBFE-0CD2B1044401}"/>
    <cellStyle name="Normal 5 5 3 3" xfId="170" xr:uid="{54A617F4-2FC0-41F0-B063-93E4D10F848B}"/>
    <cellStyle name="Normal 5 5 4" xfId="74" xr:uid="{0F9CC2C2-7F94-47A9-B558-E6E83D810E69}"/>
    <cellStyle name="Normal 5 5 4 2" xfId="202" xr:uid="{76A49AFF-A570-4891-B3DF-777CB412C6A4}"/>
    <cellStyle name="Normal 5 5 5" xfId="138" xr:uid="{166C3068-C7F8-4D85-B98E-A8E4CBD723C2}"/>
    <cellStyle name="Normal 5 6" xfId="18" xr:uid="{3B43605F-FF27-4357-8AD3-A2DB6CB96503}"/>
    <cellStyle name="Normal 5 6 2" xfId="50" xr:uid="{3F1AB3C3-DE87-4A55-A9E2-3E06EC749FA0}"/>
    <cellStyle name="Normal 5 6 2 2" xfId="114" xr:uid="{38EA8278-78CB-4502-B1E3-E56B8ADB3DCD}"/>
    <cellStyle name="Normal 5 6 2 2 2" xfId="242" xr:uid="{2763D2CC-6A53-4ED4-A7FC-F5153B3FC4D4}"/>
    <cellStyle name="Normal 5 6 2 3" xfId="178" xr:uid="{C2CA1D31-7551-4353-A13D-45BE6ABC07E7}"/>
    <cellStyle name="Normal 5 6 3" xfId="82" xr:uid="{743665EB-3D6E-49C6-B11B-41FF85AE6932}"/>
    <cellStyle name="Normal 5 6 3 2" xfId="210" xr:uid="{7C8CA4BA-1CB3-4188-BE93-9934F293FDD5}"/>
    <cellStyle name="Normal 5 6 4" xfId="146" xr:uid="{60F7DCD0-6597-4D93-BEF9-F82D6890FC5B}"/>
    <cellStyle name="Normal 5 7" xfId="34" xr:uid="{4BB821E9-B95B-41B0-9655-6994573C2DAF}"/>
    <cellStyle name="Normal 5 7 2" xfId="98" xr:uid="{A6BAC7E9-64A9-4E38-8023-420C4045873C}"/>
    <cellStyle name="Normal 5 7 2 2" xfId="226" xr:uid="{E012EE59-E068-402E-90DF-8FA435E9CD20}"/>
    <cellStyle name="Normal 5 7 3" xfId="162" xr:uid="{DF2A33C0-DE74-4387-95D4-587D8ED93DC2}"/>
    <cellStyle name="Normal 5 8" xfId="66" xr:uid="{6111FC45-6D6A-4883-A5F6-D1E9C237DED4}"/>
    <cellStyle name="Normal 5 8 2" xfId="194" xr:uid="{3DCF979F-D98F-455D-A339-477B683C8F81}"/>
    <cellStyle name="Normal 5 9" xfId="130" xr:uid="{2C5C85AC-2DF3-45E8-A428-3EC178F8564C}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190499</xdr:colOff>
      <xdr:row>32</xdr:row>
      <xdr:rowOff>102317</xdr:rowOff>
    </xdr:from>
    <xdr:to>
      <xdr:col>23</xdr:col>
      <xdr:colOff>301624</xdr:colOff>
      <xdr:row>32</xdr:row>
      <xdr:rowOff>1169451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EBC8D64-A9F1-271B-D3FB-2F310D725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87249" y="13310317"/>
          <a:ext cx="1317625" cy="106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507999</xdr:colOff>
      <xdr:row>32</xdr:row>
      <xdr:rowOff>44950</xdr:rowOff>
    </xdr:from>
    <xdr:to>
      <xdr:col>28</xdr:col>
      <xdr:colOff>107920</xdr:colOff>
      <xdr:row>54</xdr:row>
      <xdr:rowOff>434877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AA0C6D-EE1C-4E05-1C2A-4C9EE310E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11249" y="13252950"/>
          <a:ext cx="2605375" cy="1097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190499</xdr:colOff>
      <xdr:row>30</xdr:row>
      <xdr:rowOff>102317</xdr:rowOff>
    </xdr:from>
    <xdr:to>
      <xdr:col>23</xdr:col>
      <xdr:colOff>301624</xdr:colOff>
      <xdr:row>30</xdr:row>
      <xdr:rowOff>1169451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2BC0F13-90BA-422D-A604-855CE6E8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18239" y="1958340"/>
          <a:ext cx="239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507999</xdr:colOff>
      <xdr:row>2</xdr:row>
      <xdr:rowOff>0</xdr:rowOff>
    </xdr:from>
    <xdr:to>
      <xdr:col>28</xdr:col>
      <xdr:colOff>99930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E6FF8D-B514-4D1F-830B-2F5B2680B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21739" y="1958340"/>
          <a:ext cx="2647921" cy="1152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7980-4D8F-4CF5-89FD-FEA4FEED1684}">
  <sheetPr filterMode="1"/>
  <dimension ref="A1:V138"/>
  <sheetViews>
    <sheetView zoomScale="85" zoomScaleNormal="85" workbookViewId="0">
      <pane ySplit="4" topLeftCell="A39" activePane="bottomLeft" state="frozen"/>
      <selection pane="bottomLeft" activeCell="E104" sqref="E104"/>
    </sheetView>
  </sheetViews>
  <sheetFormatPr defaultColWidth="8.86328125" defaultRowHeight="15.75"/>
  <cols>
    <col min="1" max="1" width="10" style="38" bestFit="1" customWidth="1"/>
    <col min="2" max="2" width="17.265625" style="38" bestFit="1" customWidth="1"/>
    <col min="3" max="4" width="10.265625" style="38" customWidth="1"/>
    <col min="5" max="5" width="28.265625" style="38" customWidth="1"/>
    <col min="6" max="6" width="6.265625" style="38" customWidth="1"/>
    <col min="7" max="7" width="9.265625" style="38" customWidth="1"/>
    <col min="8" max="8" width="10.265625" style="229" customWidth="1"/>
    <col min="9" max="9" width="13.265625" style="38" customWidth="1"/>
    <col min="10" max="10" width="16" style="230" bestFit="1" customWidth="1"/>
    <col min="11" max="11" width="16" style="231" bestFit="1" customWidth="1"/>
    <col min="12" max="12" width="16" style="231" customWidth="1"/>
    <col min="13" max="13" width="16" style="232" bestFit="1" customWidth="1"/>
    <col min="14" max="14" width="13.265625" style="231" customWidth="1"/>
    <col min="15" max="15" width="11.265625" style="38" customWidth="1"/>
    <col min="16" max="16" width="9.265625" style="38" customWidth="1"/>
    <col min="17" max="17" width="26.265625" style="38" customWidth="1"/>
    <col min="18" max="18" width="10.265625" style="38" customWidth="1"/>
    <col min="19" max="19" width="7.265625" style="38" customWidth="1"/>
    <col min="20" max="20" width="26" style="38" customWidth="1"/>
    <col min="21" max="21" width="61.265625" style="38" customWidth="1"/>
    <col min="22" max="22" width="24.265625" style="38" customWidth="1"/>
    <col min="23" max="16384" width="8.86328125" style="38"/>
  </cols>
  <sheetData>
    <row r="1" spans="1:22" ht="42" customHeight="1">
      <c r="A1" s="205" t="s">
        <v>32</v>
      </c>
      <c r="B1" s="206"/>
      <c r="C1" s="206"/>
      <c r="D1" s="206"/>
      <c r="E1" s="206"/>
      <c r="F1" s="206"/>
      <c r="G1" s="206"/>
      <c r="H1" s="206"/>
      <c r="I1" s="206"/>
      <c r="J1" s="207"/>
      <c r="K1" s="206"/>
      <c r="L1" s="206"/>
      <c r="M1" s="206"/>
      <c r="N1" s="206"/>
      <c r="O1" s="206"/>
      <c r="P1" s="206"/>
      <c r="Q1" s="206"/>
      <c r="R1" s="206"/>
      <c r="S1" s="206"/>
      <c r="T1" s="208"/>
    </row>
    <row r="2" spans="1:22" ht="40.5">
      <c r="A2" s="209" t="s">
        <v>22</v>
      </c>
      <c r="B2" s="210" t="s">
        <v>23</v>
      </c>
      <c r="C2" s="211" t="s">
        <v>34</v>
      </c>
      <c r="D2" s="211" t="s">
        <v>35</v>
      </c>
      <c r="E2" s="209" t="s">
        <v>15</v>
      </c>
      <c r="F2" s="211" t="s">
        <v>124</v>
      </c>
      <c r="G2" s="209" t="s">
        <v>24</v>
      </c>
      <c r="H2" s="211" t="s">
        <v>214</v>
      </c>
      <c r="I2" s="211" t="s">
        <v>215</v>
      </c>
      <c r="J2" s="59" t="s">
        <v>212</v>
      </c>
      <c r="K2" s="211" t="s">
        <v>213</v>
      </c>
      <c r="L2" s="77" t="s">
        <v>131</v>
      </c>
      <c r="M2" s="211" t="s">
        <v>216</v>
      </c>
      <c r="N2" s="211" t="s">
        <v>217</v>
      </c>
      <c r="O2" s="211" t="s">
        <v>26</v>
      </c>
      <c r="P2" s="211" t="s">
        <v>27</v>
      </c>
      <c r="Q2" s="211" t="s">
        <v>28</v>
      </c>
      <c r="R2" s="211" t="s">
        <v>29</v>
      </c>
      <c r="S2" s="211" t="s">
        <v>30</v>
      </c>
      <c r="T2" s="47" t="s">
        <v>157</v>
      </c>
      <c r="U2" s="212" t="s">
        <v>279</v>
      </c>
    </row>
    <row r="3" spans="1:22" customFormat="1" ht="43.5" hidden="1" customHeight="1">
      <c r="A3" s="42">
        <v>69</v>
      </c>
      <c r="B3" s="43" t="s">
        <v>72</v>
      </c>
      <c r="C3" s="42">
        <v>334</v>
      </c>
      <c r="D3" s="42">
        <v>500</v>
      </c>
      <c r="E3" s="41" t="s">
        <v>73</v>
      </c>
      <c r="F3" s="42" t="s">
        <v>7</v>
      </c>
      <c r="G3" s="42">
        <v>7</v>
      </c>
      <c r="H3" s="64" t="s">
        <v>9</v>
      </c>
      <c r="I3" s="57" t="s">
        <v>55</v>
      </c>
      <c r="J3" s="146">
        <v>44755</v>
      </c>
      <c r="K3" s="44">
        <v>44893</v>
      </c>
      <c r="L3" s="44" t="s">
        <v>132</v>
      </c>
      <c r="M3" s="63">
        <v>45487</v>
      </c>
      <c r="N3" s="63">
        <v>44956</v>
      </c>
      <c r="O3" s="48"/>
      <c r="P3" s="48"/>
      <c r="Q3" s="48"/>
      <c r="R3" s="50"/>
      <c r="S3" s="48"/>
      <c r="T3" s="82" t="s">
        <v>164</v>
      </c>
    </row>
    <row r="4" spans="1:22" customFormat="1" ht="28.5" hidden="1" customHeight="1">
      <c r="A4" s="86">
        <v>15</v>
      </c>
      <c r="B4" s="85" t="s">
        <v>45</v>
      </c>
      <c r="C4" s="86">
        <v>240</v>
      </c>
      <c r="D4" s="86">
        <v>220</v>
      </c>
      <c r="E4" s="87" t="s">
        <v>36</v>
      </c>
      <c r="F4" s="86" t="s">
        <v>125</v>
      </c>
      <c r="G4" s="86">
        <v>2</v>
      </c>
      <c r="H4" s="144" t="s">
        <v>18</v>
      </c>
      <c r="I4" s="88" t="s">
        <v>48</v>
      </c>
      <c r="J4" s="78">
        <v>45323</v>
      </c>
      <c r="K4" s="78">
        <v>45436</v>
      </c>
      <c r="L4" s="78" t="s">
        <v>132</v>
      </c>
      <c r="M4" s="79">
        <v>45436</v>
      </c>
      <c r="N4" s="79"/>
      <c r="O4" s="150"/>
      <c r="P4" s="150"/>
      <c r="Q4" s="150"/>
      <c r="R4" s="150"/>
      <c r="S4" s="150"/>
      <c r="T4" s="110" t="s">
        <v>186</v>
      </c>
    </row>
    <row r="5" spans="1:22" customFormat="1" ht="28.5" hidden="1" customHeight="1">
      <c r="A5" s="42">
        <v>4</v>
      </c>
      <c r="B5" s="43">
        <v>812845</v>
      </c>
      <c r="C5" s="42">
        <v>209</v>
      </c>
      <c r="D5" s="42">
        <v>150</v>
      </c>
      <c r="E5" s="68" t="s">
        <v>276</v>
      </c>
      <c r="F5" s="42" t="s">
        <v>7</v>
      </c>
      <c r="G5" s="42">
        <v>1</v>
      </c>
      <c r="H5" s="64" t="s">
        <v>8</v>
      </c>
      <c r="I5" s="57" t="s">
        <v>55</v>
      </c>
      <c r="J5" s="44">
        <v>45345</v>
      </c>
      <c r="K5" s="44">
        <v>45754</v>
      </c>
      <c r="L5" s="44" t="s">
        <v>277</v>
      </c>
      <c r="M5" s="63">
        <v>45345</v>
      </c>
      <c r="N5" s="63"/>
      <c r="O5" s="46"/>
      <c r="P5" s="46"/>
      <c r="Q5" s="46"/>
      <c r="R5" s="50"/>
      <c r="S5" s="46" t="s">
        <v>43</v>
      </c>
      <c r="T5" s="69" t="s">
        <v>278</v>
      </c>
      <c r="U5" s="76"/>
    </row>
    <row r="6" spans="1:22" customFormat="1" ht="35.25" hidden="1" customHeight="1">
      <c r="A6" s="42">
        <v>70</v>
      </c>
      <c r="B6" s="43" t="s">
        <v>81</v>
      </c>
      <c r="C6" s="42">
        <v>550</v>
      </c>
      <c r="D6" s="42">
        <v>330</v>
      </c>
      <c r="E6" s="41" t="s">
        <v>82</v>
      </c>
      <c r="F6" s="46" t="s">
        <v>7</v>
      </c>
      <c r="G6" s="42">
        <v>2</v>
      </c>
      <c r="H6" s="64" t="s">
        <v>9</v>
      </c>
      <c r="I6" s="57" t="s">
        <v>42</v>
      </c>
      <c r="J6" s="73">
        <v>45404</v>
      </c>
      <c r="K6" s="44"/>
      <c r="L6" s="44"/>
      <c r="M6" s="63">
        <v>45412</v>
      </c>
      <c r="N6" s="63"/>
      <c r="O6" s="48" t="s">
        <v>43</v>
      </c>
      <c r="P6" s="48"/>
      <c r="Q6" s="48"/>
      <c r="R6" s="70">
        <v>3</v>
      </c>
      <c r="S6" s="48" t="s">
        <v>43</v>
      </c>
      <c r="T6" s="40" t="s">
        <v>186</v>
      </c>
    </row>
    <row r="7" spans="1:22" customFormat="1" ht="35.25" hidden="1" customHeight="1">
      <c r="A7" s="42">
        <v>71</v>
      </c>
      <c r="B7" s="43">
        <v>812947</v>
      </c>
      <c r="C7" s="42">
        <v>340</v>
      </c>
      <c r="D7" s="42">
        <v>330</v>
      </c>
      <c r="E7" s="41" t="s">
        <v>75</v>
      </c>
      <c r="F7" s="42" t="s">
        <v>7</v>
      </c>
      <c r="G7" s="42">
        <v>1</v>
      </c>
      <c r="H7" s="64" t="s">
        <v>9</v>
      </c>
      <c r="I7" s="57" t="s">
        <v>42</v>
      </c>
      <c r="J7" s="73">
        <v>45412</v>
      </c>
      <c r="K7" s="44"/>
      <c r="L7" s="44"/>
      <c r="M7" s="63">
        <v>45412</v>
      </c>
      <c r="N7" s="63"/>
      <c r="O7" s="48"/>
      <c r="P7" s="48"/>
      <c r="Q7" s="48"/>
      <c r="R7" s="50"/>
      <c r="S7" s="48"/>
      <c r="T7" s="40" t="s">
        <v>221</v>
      </c>
    </row>
    <row r="8" spans="1:22" customFormat="1" ht="28.5" hidden="1" customHeight="1">
      <c r="A8" s="42">
        <v>72</v>
      </c>
      <c r="B8" s="43">
        <v>812925</v>
      </c>
      <c r="C8" s="42">
        <v>400</v>
      </c>
      <c r="D8" s="42">
        <v>400</v>
      </c>
      <c r="E8" s="41" t="s">
        <v>85</v>
      </c>
      <c r="F8" s="46" t="s">
        <v>7</v>
      </c>
      <c r="G8" s="42">
        <v>1</v>
      </c>
      <c r="H8" s="64" t="s">
        <v>9</v>
      </c>
      <c r="I8" s="57" t="s">
        <v>55</v>
      </c>
      <c r="J8" s="73">
        <v>45436</v>
      </c>
      <c r="K8" s="44"/>
      <c r="L8" s="44"/>
      <c r="M8" s="63">
        <v>45436</v>
      </c>
      <c r="N8" s="63"/>
      <c r="O8" s="47"/>
      <c r="P8" s="47"/>
      <c r="Q8" s="47"/>
      <c r="R8" s="47"/>
      <c r="S8" s="47"/>
      <c r="T8" s="69" t="s">
        <v>121</v>
      </c>
      <c r="V8" s="39"/>
    </row>
    <row r="9" spans="1:22" s="39" customFormat="1" ht="28.5" hidden="1" customHeight="1">
      <c r="A9" s="42">
        <v>73</v>
      </c>
      <c r="B9" s="43" t="s">
        <v>110</v>
      </c>
      <c r="C9" s="42">
        <v>160</v>
      </c>
      <c r="D9" s="42">
        <v>132</v>
      </c>
      <c r="E9" s="68" t="s">
        <v>111</v>
      </c>
      <c r="F9" s="42" t="s">
        <v>7</v>
      </c>
      <c r="G9" s="42">
        <v>3</v>
      </c>
      <c r="H9" s="64" t="s">
        <v>9</v>
      </c>
      <c r="I9" s="57" t="s">
        <v>55</v>
      </c>
      <c r="J9" s="44">
        <v>45460</v>
      </c>
      <c r="K9" s="44">
        <v>45583</v>
      </c>
      <c r="L9" s="44" t="s">
        <v>132</v>
      </c>
      <c r="M9" s="63">
        <v>45454</v>
      </c>
      <c r="N9" s="63">
        <v>45583</v>
      </c>
      <c r="O9" s="46" t="s">
        <v>116</v>
      </c>
      <c r="P9" s="46" t="s">
        <v>43</v>
      </c>
      <c r="Q9" s="46" t="s">
        <v>117</v>
      </c>
      <c r="R9" s="50">
        <v>3</v>
      </c>
      <c r="S9" s="46"/>
      <c r="T9" s="69" t="s">
        <v>122</v>
      </c>
      <c r="U9"/>
      <c r="V9"/>
    </row>
    <row r="10" spans="1:22" customFormat="1" ht="35.25" hidden="1" customHeight="1">
      <c r="A10" s="42">
        <v>74</v>
      </c>
      <c r="B10" s="42" t="s">
        <v>59</v>
      </c>
      <c r="C10" s="42">
        <v>140</v>
      </c>
      <c r="D10" s="42">
        <v>230</v>
      </c>
      <c r="E10" s="42" t="s">
        <v>60</v>
      </c>
      <c r="F10" s="42" t="s">
        <v>7</v>
      </c>
      <c r="G10" s="42">
        <v>2</v>
      </c>
      <c r="H10" s="64" t="s">
        <v>9</v>
      </c>
      <c r="I10" s="57" t="s">
        <v>55</v>
      </c>
      <c r="J10" s="44">
        <v>45483</v>
      </c>
      <c r="K10" s="44">
        <v>45510</v>
      </c>
      <c r="L10" s="44" t="s">
        <v>132</v>
      </c>
      <c r="M10" s="63">
        <v>45483</v>
      </c>
      <c r="N10" s="63">
        <v>45513</v>
      </c>
      <c r="O10" s="48"/>
      <c r="P10" s="48"/>
      <c r="Q10" s="48"/>
      <c r="R10" s="50"/>
      <c r="S10" s="48"/>
      <c r="T10" s="40" t="s">
        <v>227</v>
      </c>
    </row>
    <row r="11" spans="1:22" customFormat="1" ht="28.5" hidden="1" customHeight="1">
      <c r="A11" s="42">
        <v>75</v>
      </c>
      <c r="B11" s="43">
        <v>812963</v>
      </c>
      <c r="C11" s="42">
        <v>250</v>
      </c>
      <c r="D11" s="42">
        <v>400</v>
      </c>
      <c r="E11" s="68" t="s">
        <v>56</v>
      </c>
      <c r="F11" s="42" t="s">
        <v>7</v>
      </c>
      <c r="G11" s="42">
        <v>1</v>
      </c>
      <c r="H11" s="64" t="s">
        <v>9</v>
      </c>
      <c r="I11" s="57" t="s">
        <v>42</v>
      </c>
      <c r="J11" s="44">
        <v>45485</v>
      </c>
      <c r="K11" s="44"/>
      <c r="L11" s="44" t="s">
        <v>132</v>
      </c>
      <c r="M11" s="63">
        <v>45488</v>
      </c>
      <c r="N11" s="63"/>
      <c r="O11" s="48"/>
      <c r="P11" s="48"/>
      <c r="Q11" s="48"/>
      <c r="R11" s="50"/>
      <c r="S11" s="48"/>
      <c r="T11" s="41" t="s">
        <v>165</v>
      </c>
    </row>
    <row r="12" spans="1:22" customFormat="1" ht="58.5" hidden="1" customHeight="1">
      <c r="A12" s="42">
        <v>57</v>
      </c>
      <c r="B12" s="43" t="s">
        <v>102</v>
      </c>
      <c r="C12" s="42">
        <v>334</v>
      </c>
      <c r="D12" s="42">
        <v>500</v>
      </c>
      <c r="E12" s="68" t="s">
        <v>103</v>
      </c>
      <c r="F12" s="42" t="s">
        <v>125</v>
      </c>
      <c r="G12" s="42">
        <v>3</v>
      </c>
      <c r="H12" s="64" t="s">
        <v>20</v>
      </c>
      <c r="I12" s="57" t="s">
        <v>55</v>
      </c>
      <c r="J12" s="44">
        <v>45493</v>
      </c>
      <c r="K12" s="44"/>
      <c r="L12" s="44" t="s">
        <v>132</v>
      </c>
      <c r="M12" s="63">
        <v>45635</v>
      </c>
      <c r="N12" s="63"/>
      <c r="O12" s="46"/>
      <c r="P12" s="46"/>
      <c r="Q12" s="46"/>
      <c r="R12" s="46"/>
      <c r="S12" s="46"/>
      <c r="T12" s="40" t="s">
        <v>123</v>
      </c>
    </row>
    <row r="13" spans="1:22" customFormat="1" ht="52.5" hidden="1" customHeight="1">
      <c r="A13" s="42">
        <v>16</v>
      </c>
      <c r="B13" s="43">
        <v>812976</v>
      </c>
      <c r="C13" s="42">
        <v>160</v>
      </c>
      <c r="D13" s="42">
        <v>400</v>
      </c>
      <c r="E13" s="68" t="s">
        <v>57</v>
      </c>
      <c r="F13" s="42" t="s">
        <v>7</v>
      </c>
      <c r="G13" s="42">
        <v>1</v>
      </c>
      <c r="H13" s="64" t="s">
        <v>18</v>
      </c>
      <c r="I13" s="57" t="s">
        <v>42</v>
      </c>
      <c r="J13" s="44">
        <v>45504</v>
      </c>
      <c r="K13" s="44">
        <v>45537</v>
      </c>
      <c r="L13" s="44" t="s">
        <v>132</v>
      </c>
      <c r="M13" s="63">
        <v>45504</v>
      </c>
      <c r="N13" s="63">
        <v>45545</v>
      </c>
      <c r="O13" s="48"/>
      <c r="P13" s="48"/>
      <c r="Q13" s="48"/>
      <c r="R13" s="50"/>
      <c r="S13" s="48"/>
      <c r="T13" s="40" t="s">
        <v>33</v>
      </c>
    </row>
    <row r="14" spans="1:22" customFormat="1" ht="28.5" hidden="1" customHeight="1">
      <c r="A14" s="42">
        <v>55</v>
      </c>
      <c r="B14" s="43" t="s">
        <v>68</v>
      </c>
      <c r="C14" s="42">
        <v>240</v>
      </c>
      <c r="D14" s="42">
        <v>220</v>
      </c>
      <c r="E14" s="68" t="s">
        <v>69</v>
      </c>
      <c r="F14" s="42" t="s">
        <v>125</v>
      </c>
      <c r="G14" s="42">
        <v>2</v>
      </c>
      <c r="H14" s="64" t="s">
        <v>70</v>
      </c>
      <c r="I14" s="57" t="s">
        <v>42</v>
      </c>
      <c r="J14" s="44">
        <v>45513</v>
      </c>
      <c r="K14" s="44"/>
      <c r="L14" s="44" t="s">
        <v>132</v>
      </c>
      <c r="M14" s="63">
        <v>45519</v>
      </c>
      <c r="N14" s="63"/>
      <c r="O14" s="48"/>
      <c r="P14" s="48"/>
      <c r="Q14" s="48"/>
      <c r="R14" s="50"/>
      <c r="S14" s="48"/>
      <c r="T14" s="41" t="s">
        <v>104</v>
      </c>
    </row>
    <row r="15" spans="1:22" customFormat="1" ht="35.25" hidden="1" customHeight="1">
      <c r="A15" s="42">
        <v>77</v>
      </c>
      <c r="B15" s="43">
        <v>812978</v>
      </c>
      <c r="C15" s="42">
        <v>250</v>
      </c>
      <c r="D15" s="42">
        <v>400</v>
      </c>
      <c r="E15" s="89" t="s">
        <v>108</v>
      </c>
      <c r="F15" s="42" t="s">
        <v>7</v>
      </c>
      <c r="G15" s="42">
        <v>1</v>
      </c>
      <c r="H15" s="64" t="s">
        <v>9</v>
      </c>
      <c r="I15" s="57" t="s">
        <v>42</v>
      </c>
      <c r="J15" s="44">
        <v>45522</v>
      </c>
      <c r="K15" s="44">
        <v>45538</v>
      </c>
      <c r="L15" s="44" t="s">
        <v>132</v>
      </c>
      <c r="M15" s="63">
        <v>45523</v>
      </c>
      <c r="N15" s="63">
        <v>45538</v>
      </c>
      <c r="O15" s="46"/>
      <c r="P15" s="46"/>
      <c r="Q15" s="46"/>
      <c r="R15" s="46"/>
      <c r="S15" s="46"/>
      <c r="T15" s="41" t="s">
        <v>144</v>
      </c>
      <c r="U15" s="39"/>
    </row>
    <row r="16" spans="1:22" customFormat="1" ht="35.25" hidden="1" customHeight="1">
      <c r="A16" s="42">
        <v>17</v>
      </c>
      <c r="B16" s="43">
        <v>812975</v>
      </c>
      <c r="C16" s="42">
        <v>125</v>
      </c>
      <c r="D16" s="42">
        <v>400</v>
      </c>
      <c r="E16" s="68" t="s">
        <v>57</v>
      </c>
      <c r="F16" s="42" t="s">
        <v>7</v>
      </c>
      <c r="G16" s="42">
        <v>1</v>
      </c>
      <c r="H16" s="64" t="s">
        <v>18</v>
      </c>
      <c r="I16" s="57" t="s">
        <v>42</v>
      </c>
      <c r="J16" s="44">
        <v>45532</v>
      </c>
      <c r="K16" s="44">
        <v>45545</v>
      </c>
      <c r="L16" s="44" t="s">
        <v>132</v>
      </c>
      <c r="M16" s="63">
        <v>45528</v>
      </c>
      <c r="N16" s="63">
        <v>45545</v>
      </c>
      <c r="O16" s="48"/>
      <c r="P16" s="48"/>
      <c r="Q16" s="48"/>
      <c r="R16" s="50"/>
      <c r="S16" s="48"/>
      <c r="T16" s="41" t="s">
        <v>109</v>
      </c>
    </row>
    <row r="17" spans="1:21" customFormat="1" ht="35.25" hidden="1" customHeight="1">
      <c r="A17" s="42">
        <v>18</v>
      </c>
      <c r="B17" s="43">
        <v>812995</v>
      </c>
      <c r="C17" s="42">
        <v>290</v>
      </c>
      <c r="D17" s="42">
        <v>132</v>
      </c>
      <c r="E17" s="68" t="s">
        <v>98</v>
      </c>
      <c r="F17" s="42"/>
      <c r="G17" s="42">
        <v>1</v>
      </c>
      <c r="H17" s="64" t="s">
        <v>18</v>
      </c>
      <c r="I17" s="57" t="s">
        <v>42</v>
      </c>
      <c r="J17" s="44">
        <v>45547</v>
      </c>
      <c r="K17" s="44"/>
      <c r="L17" s="44" t="s">
        <v>132</v>
      </c>
      <c r="M17" s="63">
        <v>45547</v>
      </c>
      <c r="N17" s="63"/>
      <c r="O17" s="46"/>
      <c r="P17" s="46"/>
      <c r="Q17" s="46"/>
      <c r="R17" s="46"/>
      <c r="S17" s="46"/>
      <c r="T17" s="41" t="s">
        <v>97</v>
      </c>
    </row>
    <row r="18" spans="1:21" customFormat="1" ht="35.25" hidden="1" customHeight="1">
      <c r="A18" s="42">
        <v>103</v>
      </c>
      <c r="B18" s="43" t="s">
        <v>51</v>
      </c>
      <c r="C18" s="42">
        <v>450</v>
      </c>
      <c r="D18" s="42">
        <v>400</v>
      </c>
      <c r="E18" s="41" t="s">
        <v>52</v>
      </c>
      <c r="F18" s="42" t="s">
        <v>7</v>
      </c>
      <c r="G18" s="42">
        <v>3</v>
      </c>
      <c r="H18" s="64" t="s">
        <v>8</v>
      </c>
      <c r="I18" s="57" t="s">
        <v>42</v>
      </c>
      <c r="J18" s="44">
        <v>45555</v>
      </c>
      <c r="K18" s="44"/>
      <c r="L18" s="44" t="s">
        <v>132</v>
      </c>
      <c r="M18" s="63">
        <v>45559</v>
      </c>
      <c r="N18" s="63"/>
      <c r="O18" s="46"/>
      <c r="P18" s="46"/>
      <c r="Q18" s="46"/>
      <c r="R18" s="50">
        <v>1</v>
      </c>
      <c r="S18" s="46"/>
      <c r="T18" s="40" t="s">
        <v>137</v>
      </c>
    </row>
    <row r="19" spans="1:21" customFormat="1" ht="28.5" hidden="1" customHeight="1">
      <c r="A19" s="42">
        <v>78</v>
      </c>
      <c r="B19" s="43" t="s">
        <v>112</v>
      </c>
      <c r="C19" s="42">
        <v>334</v>
      </c>
      <c r="D19" s="42">
        <v>500</v>
      </c>
      <c r="E19" s="68" t="s">
        <v>113</v>
      </c>
      <c r="F19" s="42" t="s">
        <v>7</v>
      </c>
      <c r="G19" s="42">
        <v>10</v>
      </c>
      <c r="H19" s="64" t="s">
        <v>9</v>
      </c>
      <c r="I19" s="57" t="s">
        <v>55</v>
      </c>
      <c r="J19" s="44">
        <v>45571</v>
      </c>
      <c r="K19" s="44"/>
      <c r="L19" s="44" t="s">
        <v>132</v>
      </c>
      <c r="M19" s="63" t="s">
        <v>118</v>
      </c>
      <c r="N19" s="63"/>
      <c r="O19" s="46"/>
      <c r="P19" s="46"/>
      <c r="Q19" s="46"/>
      <c r="R19" s="46"/>
      <c r="S19" s="46" t="s">
        <v>43</v>
      </c>
      <c r="T19" s="95" t="s">
        <v>136</v>
      </c>
    </row>
    <row r="20" spans="1:21" customFormat="1" ht="35.25" hidden="1" customHeight="1">
      <c r="A20" s="42">
        <v>79</v>
      </c>
      <c r="B20" s="43" t="s">
        <v>105</v>
      </c>
      <c r="C20" s="42">
        <v>150</v>
      </c>
      <c r="D20" s="42">
        <v>400</v>
      </c>
      <c r="E20" s="68" t="s">
        <v>106</v>
      </c>
      <c r="F20" s="42" t="s">
        <v>7</v>
      </c>
      <c r="G20" s="42">
        <v>3</v>
      </c>
      <c r="H20" s="64" t="s">
        <v>9</v>
      </c>
      <c r="I20" s="57" t="s">
        <v>55</v>
      </c>
      <c r="J20" s="44">
        <v>45593</v>
      </c>
      <c r="K20" s="44"/>
      <c r="L20" s="44" t="s">
        <v>133</v>
      </c>
      <c r="M20" s="63">
        <v>45593</v>
      </c>
      <c r="N20" s="63"/>
      <c r="O20" s="46"/>
      <c r="P20" s="46"/>
      <c r="Q20" s="46"/>
      <c r="R20" s="46" t="s">
        <v>119</v>
      </c>
      <c r="S20" s="46"/>
      <c r="T20" s="40" t="s">
        <v>141</v>
      </c>
    </row>
    <row r="21" spans="1:21" customFormat="1" ht="35.25" hidden="1" customHeight="1">
      <c r="A21" s="42">
        <v>19</v>
      </c>
      <c r="B21" s="43">
        <v>813020</v>
      </c>
      <c r="C21" s="42">
        <v>100</v>
      </c>
      <c r="D21" s="42">
        <v>400</v>
      </c>
      <c r="E21" s="68" t="s">
        <v>114</v>
      </c>
      <c r="F21" s="42" t="s">
        <v>7</v>
      </c>
      <c r="G21" s="42">
        <v>2</v>
      </c>
      <c r="H21" s="64" t="s">
        <v>18</v>
      </c>
      <c r="I21" s="57" t="s">
        <v>42</v>
      </c>
      <c r="J21" s="44">
        <v>45595</v>
      </c>
      <c r="K21" s="44">
        <v>45610</v>
      </c>
      <c r="L21" s="44" t="s">
        <v>132</v>
      </c>
      <c r="M21" s="63">
        <v>45595</v>
      </c>
      <c r="N21" s="63">
        <v>45610</v>
      </c>
      <c r="O21" s="46"/>
      <c r="P21" s="46"/>
      <c r="Q21" s="46"/>
      <c r="R21" s="46"/>
      <c r="S21" s="46"/>
      <c r="T21" s="41" t="s">
        <v>107</v>
      </c>
    </row>
    <row r="22" spans="1:21" customFormat="1" ht="28.5" hidden="1" customHeight="1">
      <c r="A22" s="42">
        <v>2</v>
      </c>
      <c r="B22" s="43">
        <v>813000</v>
      </c>
      <c r="C22" s="42">
        <v>170</v>
      </c>
      <c r="D22" s="42">
        <v>150</v>
      </c>
      <c r="E22" s="68" t="s">
        <v>65</v>
      </c>
      <c r="F22" s="42" t="s">
        <v>7</v>
      </c>
      <c r="G22" s="42">
        <v>1</v>
      </c>
      <c r="H22" s="64" t="s">
        <v>10</v>
      </c>
      <c r="I22" s="57" t="s">
        <v>55</v>
      </c>
      <c r="J22" s="44">
        <v>45596</v>
      </c>
      <c r="K22" s="44"/>
      <c r="L22" s="44" t="s">
        <v>132</v>
      </c>
      <c r="M22" s="63">
        <v>45596</v>
      </c>
      <c r="N22" s="63"/>
      <c r="O22" s="48"/>
      <c r="P22" s="48"/>
      <c r="Q22" s="48"/>
      <c r="R22" s="50"/>
      <c r="S22" s="48"/>
      <c r="T22" s="41" t="s">
        <v>120</v>
      </c>
    </row>
    <row r="23" spans="1:21" customFormat="1" ht="35.25" hidden="1" customHeight="1">
      <c r="A23" s="42">
        <v>115</v>
      </c>
      <c r="B23" s="43" t="s">
        <v>99</v>
      </c>
      <c r="C23" s="42">
        <v>200</v>
      </c>
      <c r="D23" s="42">
        <v>220</v>
      </c>
      <c r="E23" s="68" t="s">
        <v>100</v>
      </c>
      <c r="F23" s="42" t="s">
        <v>7</v>
      </c>
      <c r="G23" s="42">
        <v>2</v>
      </c>
      <c r="H23" s="64" t="s">
        <v>16</v>
      </c>
      <c r="I23" s="57" t="s">
        <v>55</v>
      </c>
      <c r="J23" s="44">
        <v>45596</v>
      </c>
      <c r="K23" s="44"/>
      <c r="L23" s="44" t="s">
        <v>133</v>
      </c>
      <c r="M23" s="63">
        <v>45596</v>
      </c>
      <c r="N23" s="63">
        <v>45632</v>
      </c>
      <c r="O23" s="46"/>
      <c r="P23" s="46"/>
      <c r="Q23" s="46"/>
      <c r="R23" s="46"/>
      <c r="S23" s="46"/>
      <c r="T23" s="75" t="s">
        <v>115</v>
      </c>
    </row>
    <row r="24" spans="1:21" customFormat="1" ht="35.25" hidden="1" customHeight="1">
      <c r="A24" s="42">
        <v>119</v>
      </c>
      <c r="B24" s="43">
        <v>813023</v>
      </c>
      <c r="C24" s="42">
        <v>200</v>
      </c>
      <c r="D24" s="42">
        <v>231</v>
      </c>
      <c r="E24" s="68" t="s">
        <v>58</v>
      </c>
      <c r="F24" s="42" t="s">
        <v>7</v>
      </c>
      <c r="G24" s="42">
        <v>1</v>
      </c>
      <c r="H24" s="64" t="s">
        <v>16</v>
      </c>
      <c r="I24" s="57" t="s">
        <v>42</v>
      </c>
      <c r="J24" s="44">
        <v>45606</v>
      </c>
      <c r="K24" s="44"/>
      <c r="L24" s="44" t="s">
        <v>133</v>
      </c>
      <c r="M24" s="63">
        <v>45606</v>
      </c>
      <c r="N24" s="63"/>
      <c r="O24" s="48"/>
      <c r="P24" s="48"/>
      <c r="Q24" s="48"/>
      <c r="R24" s="50"/>
      <c r="S24" s="48"/>
      <c r="T24" s="41"/>
    </row>
    <row r="25" spans="1:21" customFormat="1" ht="35.25" hidden="1" customHeight="1">
      <c r="A25" s="42">
        <v>3</v>
      </c>
      <c r="B25" s="43">
        <v>813036</v>
      </c>
      <c r="C25" s="42">
        <v>310</v>
      </c>
      <c r="D25" s="42">
        <v>220</v>
      </c>
      <c r="E25" s="68" t="s">
        <v>101</v>
      </c>
      <c r="F25" s="42" t="s">
        <v>125</v>
      </c>
      <c r="G25" s="42">
        <v>1</v>
      </c>
      <c r="H25" s="64" t="s">
        <v>10</v>
      </c>
      <c r="I25" s="57" t="s">
        <v>42</v>
      </c>
      <c r="J25" s="44">
        <v>45610</v>
      </c>
      <c r="K25" s="44"/>
      <c r="L25" s="44" t="s">
        <v>132</v>
      </c>
      <c r="M25" s="63"/>
      <c r="N25" s="63"/>
      <c r="O25" s="46" t="s">
        <v>43</v>
      </c>
      <c r="P25" s="46" t="s">
        <v>43</v>
      </c>
      <c r="Q25" s="46" t="s">
        <v>44</v>
      </c>
      <c r="R25" s="46"/>
      <c r="S25" s="46" t="s">
        <v>43</v>
      </c>
      <c r="T25" s="40"/>
      <c r="U25" s="76" t="s">
        <v>172</v>
      </c>
    </row>
    <row r="26" spans="1:21" customFormat="1" ht="35.25" hidden="1" customHeight="1">
      <c r="A26" s="42">
        <v>20</v>
      </c>
      <c r="B26" s="43">
        <v>813016</v>
      </c>
      <c r="C26" s="42">
        <v>100</v>
      </c>
      <c r="D26" s="42">
        <v>400</v>
      </c>
      <c r="E26" s="68" t="s">
        <v>64</v>
      </c>
      <c r="F26" s="42" t="s">
        <v>7</v>
      </c>
      <c r="G26" s="42">
        <v>1</v>
      </c>
      <c r="H26" s="64" t="s">
        <v>18</v>
      </c>
      <c r="I26" s="57" t="s">
        <v>55</v>
      </c>
      <c r="J26" s="72">
        <v>45616</v>
      </c>
      <c r="K26" s="72"/>
      <c r="L26" s="72" t="s">
        <v>132</v>
      </c>
      <c r="M26" s="63">
        <v>45672</v>
      </c>
      <c r="N26" s="63"/>
      <c r="O26" s="48"/>
      <c r="P26" s="48"/>
      <c r="Q26" s="48"/>
      <c r="R26" s="50"/>
      <c r="S26" s="48"/>
      <c r="T26" s="41"/>
    </row>
    <row r="27" spans="1:21" customFormat="1" ht="28.5" hidden="1" customHeight="1">
      <c r="A27" s="42">
        <v>56</v>
      </c>
      <c r="B27" s="43">
        <v>812838</v>
      </c>
      <c r="C27" s="42">
        <v>334</v>
      </c>
      <c r="D27" s="42">
        <v>500</v>
      </c>
      <c r="E27" s="68" t="s">
        <v>96</v>
      </c>
      <c r="F27" s="42" t="s">
        <v>125</v>
      </c>
      <c r="G27" s="42">
        <v>1</v>
      </c>
      <c r="H27" s="64" t="s">
        <v>70</v>
      </c>
      <c r="I27" s="57" t="s">
        <v>42</v>
      </c>
      <c r="J27" s="44">
        <v>45616</v>
      </c>
      <c r="K27" s="44">
        <v>45628</v>
      </c>
      <c r="L27" s="44" t="s">
        <v>132</v>
      </c>
      <c r="M27" s="63">
        <v>45616</v>
      </c>
      <c r="N27" s="63"/>
      <c r="O27" s="46"/>
      <c r="P27" s="46"/>
      <c r="Q27" s="46"/>
      <c r="R27" s="46"/>
      <c r="S27" s="46"/>
      <c r="T27" s="40"/>
    </row>
    <row r="28" spans="1:21" customFormat="1" ht="28.5" hidden="1" customHeight="1">
      <c r="A28" s="42">
        <v>104</v>
      </c>
      <c r="B28" s="43" t="s">
        <v>54</v>
      </c>
      <c r="C28" s="42">
        <v>83.3</v>
      </c>
      <c r="D28" s="42">
        <v>400</v>
      </c>
      <c r="E28" s="68" t="s">
        <v>17</v>
      </c>
      <c r="F28" s="42" t="s">
        <v>7</v>
      </c>
      <c r="G28" s="42">
        <v>29</v>
      </c>
      <c r="H28" s="64" t="s">
        <v>8</v>
      </c>
      <c r="I28" s="57" t="s">
        <v>55</v>
      </c>
      <c r="J28" s="44">
        <v>45616</v>
      </c>
      <c r="K28" s="44"/>
      <c r="L28" s="44" t="s">
        <v>132</v>
      </c>
      <c r="M28" s="63">
        <v>45616</v>
      </c>
      <c r="N28" s="63"/>
      <c r="O28" s="48"/>
      <c r="P28" s="48"/>
      <c r="Q28" s="48"/>
      <c r="R28" s="50">
        <v>1</v>
      </c>
      <c r="S28" s="48"/>
      <c r="T28" s="40"/>
    </row>
    <row r="29" spans="1:21" customFormat="1" ht="28.5" hidden="1" customHeight="1">
      <c r="A29" s="42">
        <v>120</v>
      </c>
      <c r="B29" s="43" t="s">
        <v>63</v>
      </c>
      <c r="C29" s="42">
        <v>250</v>
      </c>
      <c r="D29" s="42">
        <v>400</v>
      </c>
      <c r="E29" s="68" t="s">
        <v>64</v>
      </c>
      <c r="F29" s="42" t="s">
        <v>7</v>
      </c>
      <c r="G29" s="42">
        <v>3</v>
      </c>
      <c r="H29" s="64" t="s">
        <v>16</v>
      </c>
      <c r="I29" s="57" t="s">
        <v>55</v>
      </c>
      <c r="J29" s="72">
        <v>45616</v>
      </c>
      <c r="K29" s="72"/>
      <c r="L29" s="72" t="s">
        <v>133</v>
      </c>
      <c r="M29" s="63">
        <v>45672</v>
      </c>
      <c r="N29" s="63"/>
      <c r="O29" s="48"/>
      <c r="P29" s="48"/>
      <c r="Q29" s="48"/>
      <c r="R29" s="50"/>
      <c r="S29" s="48"/>
      <c r="T29" s="41"/>
    </row>
    <row r="30" spans="1:21" customFormat="1" ht="28.5" hidden="1" customHeight="1">
      <c r="A30" s="42">
        <v>127</v>
      </c>
      <c r="B30" s="43">
        <v>813035</v>
      </c>
      <c r="C30" s="42">
        <v>120</v>
      </c>
      <c r="D30" s="42">
        <v>400</v>
      </c>
      <c r="E30" s="68" t="s">
        <v>49</v>
      </c>
      <c r="F30" s="42" t="s">
        <v>7</v>
      </c>
      <c r="G30" s="42">
        <v>1</v>
      </c>
      <c r="H30" s="64" t="s">
        <v>126</v>
      </c>
      <c r="I30" s="57" t="s">
        <v>42</v>
      </c>
      <c r="J30" s="44">
        <v>45637</v>
      </c>
      <c r="K30" s="44"/>
      <c r="L30" s="44" t="s">
        <v>133</v>
      </c>
      <c r="M30" s="63"/>
      <c r="N30" s="63"/>
      <c r="O30" s="46"/>
      <c r="P30" s="46"/>
      <c r="Q30" s="46"/>
      <c r="R30" s="50"/>
      <c r="S30" s="46"/>
      <c r="T30" s="41"/>
    </row>
    <row r="31" spans="1:21" customFormat="1" ht="28.5" hidden="1" customHeight="1">
      <c r="A31" s="42">
        <v>58</v>
      </c>
      <c r="B31" s="54">
        <v>850652</v>
      </c>
      <c r="C31" s="42">
        <v>50</v>
      </c>
      <c r="D31" s="42">
        <v>110</v>
      </c>
      <c r="E31" s="40" t="s">
        <v>86</v>
      </c>
      <c r="F31" s="47" t="s">
        <v>125</v>
      </c>
      <c r="G31" s="42">
        <v>1</v>
      </c>
      <c r="H31" s="64" t="s">
        <v>20</v>
      </c>
      <c r="I31" s="57" t="s">
        <v>55</v>
      </c>
      <c r="J31" s="73">
        <v>45641</v>
      </c>
      <c r="K31" s="52"/>
      <c r="L31" s="52"/>
      <c r="M31" s="63">
        <v>45644</v>
      </c>
      <c r="N31" s="49"/>
      <c r="O31" s="47"/>
      <c r="P31" s="47"/>
      <c r="Q31" s="47"/>
      <c r="R31" s="47"/>
      <c r="S31" s="47"/>
      <c r="T31" s="41"/>
    </row>
    <row r="32" spans="1:21" customFormat="1" ht="28.5" hidden="1" customHeight="1">
      <c r="A32" s="42">
        <v>105</v>
      </c>
      <c r="B32" s="43" t="s">
        <v>127</v>
      </c>
      <c r="C32" s="42">
        <v>250</v>
      </c>
      <c r="D32" s="42">
        <v>275</v>
      </c>
      <c r="E32" s="68" t="s">
        <v>41</v>
      </c>
      <c r="F32" s="42" t="s">
        <v>7</v>
      </c>
      <c r="G32" s="42">
        <v>2</v>
      </c>
      <c r="H32" s="64" t="s">
        <v>8</v>
      </c>
      <c r="I32" s="57" t="s">
        <v>42</v>
      </c>
      <c r="J32" s="44">
        <v>45641</v>
      </c>
      <c r="K32" s="44"/>
      <c r="L32" s="44" t="s">
        <v>132</v>
      </c>
      <c r="M32" s="63">
        <v>45648</v>
      </c>
      <c r="N32" s="63"/>
      <c r="O32" s="46"/>
      <c r="P32" s="46" t="s">
        <v>43</v>
      </c>
      <c r="Q32" s="46" t="s">
        <v>44</v>
      </c>
      <c r="R32" s="50">
        <v>1</v>
      </c>
      <c r="S32" s="46"/>
      <c r="T32" s="41"/>
    </row>
    <row r="33" spans="1:21" customFormat="1" ht="67.5" hidden="1" customHeight="1">
      <c r="A33" s="42">
        <v>80</v>
      </c>
      <c r="B33" s="42" t="s">
        <v>46</v>
      </c>
      <c r="C33" s="42">
        <v>250</v>
      </c>
      <c r="D33" s="42">
        <v>220</v>
      </c>
      <c r="E33" s="42" t="s">
        <v>47</v>
      </c>
      <c r="F33" s="42" t="s">
        <v>7</v>
      </c>
      <c r="G33" s="42">
        <v>3</v>
      </c>
      <c r="H33" s="64" t="s">
        <v>9</v>
      </c>
      <c r="I33" s="57" t="s">
        <v>42</v>
      </c>
      <c r="J33" s="44">
        <v>45649</v>
      </c>
      <c r="K33" s="44"/>
      <c r="L33" s="44" t="s">
        <v>138</v>
      </c>
      <c r="M33" s="63"/>
      <c r="N33" s="44"/>
      <c r="O33" s="46"/>
      <c r="P33" s="46"/>
      <c r="Q33" s="46"/>
      <c r="R33" s="50"/>
      <c r="S33" s="46"/>
      <c r="T33" s="41"/>
    </row>
    <row r="34" spans="1:21" customFormat="1" ht="35.25" hidden="1" customHeight="1">
      <c r="A34" s="42">
        <v>58</v>
      </c>
      <c r="B34" s="43" t="s">
        <v>135</v>
      </c>
      <c r="C34" s="42">
        <v>334</v>
      </c>
      <c r="D34" s="42">
        <v>550</v>
      </c>
      <c r="E34" s="40" t="s">
        <v>151</v>
      </c>
      <c r="F34" s="47" t="s">
        <v>125</v>
      </c>
      <c r="G34" s="42">
        <v>3</v>
      </c>
      <c r="H34" s="61" t="s">
        <v>20</v>
      </c>
      <c r="I34" s="57" t="s">
        <v>55</v>
      </c>
      <c r="J34" s="44">
        <v>45651</v>
      </c>
      <c r="K34" s="52"/>
      <c r="L34" s="52"/>
      <c r="M34" s="63">
        <v>45709</v>
      </c>
      <c r="N34" s="49"/>
      <c r="O34" s="47"/>
      <c r="P34" s="47"/>
      <c r="Q34" s="47"/>
      <c r="R34" s="47"/>
      <c r="S34" s="47"/>
      <c r="T34" s="41"/>
    </row>
    <row r="35" spans="1:21" customFormat="1" ht="28.5" hidden="1" customHeight="1">
      <c r="A35" s="42">
        <v>31</v>
      </c>
      <c r="B35" s="43">
        <v>813063</v>
      </c>
      <c r="C35" s="42">
        <v>220</v>
      </c>
      <c r="D35" s="42">
        <v>154</v>
      </c>
      <c r="E35" s="41" t="s">
        <v>87</v>
      </c>
      <c r="F35" s="46" t="s">
        <v>7</v>
      </c>
      <c r="G35" s="42">
        <v>1</v>
      </c>
      <c r="H35" s="64" t="s">
        <v>6</v>
      </c>
      <c r="I35" s="57" t="s">
        <v>42</v>
      </c>
      <c r="J35" s="44">
        <v>45656</v>
      </c>
      <c r="K35" s="52"/>
      <c r="L35" s="52"/>
      <c r="M35" s="63"/>
      <c r="N35" s="49"/>
      <c r="O35" s="47"/>
      <c r="P35" s="47"/>
      <c r="Q35" s="47"/>
      <c r="R35" s="47"/>
      <c r="S35" s="47"/>
      <c r="T35" s="41"/>
    </row>
    <row r="36" spans="1:21" customFormat="1" ht="35.25" hidden="1" customHeight="1">
      <c r="A36" s="42">
        <v>50</v>
      </c>
      <c r="B36" s="43" t="s">
        <v>83</v>
      </c>
      <c r="C36" s="42">
        <v>300</v>
      </c>
      <c r="D36" s="42">
        <v>410</v>
      </c>
      <c r="E36" s="41" t="s">
        <v>84</v>
      </c>
      <c r="F36" s="46" t="s">
        <v>7</v>
      </c>
      <c r="G36" s="42">
        <v>3</v>
      </c>
      <c r="H36" s="64" t="s">
        <v>129</v>
      </c>
      <c r="I36" s="57" t="s">
        <v>55</v>
      </c>
      <c r="J36" s="44">
        <v>45670</v>
      </c>
      <c r="K36" s="44"/>
      <c r="L36" s="44" t="s">
        <v>138</v>
      </c>
      <c r="M36" s="63">
        <v>45668</v>
      </c>
      <c r="N36" s="63"/>
      <c r="O36" s="47"/>
      <c r="P36" s="47"/>
      <c r="Q36" s="47"/>
      <c r="R36" s="47"/>
      <c r="S36" s="47"/>
      <c r="T36" s="41"/>
      <c r="U36" s="76" t="s">
        <v>170</v>
      </c>
    </row>
    <row r="37" spans="1:21" customFormat="1" ht="35.25" hidden="1" customHeight="1">
      <c r="A37" s="42">
        <v>106</v>
      </c>
      <c r="B37" s="43" t="s">
        <v>88</v>
      </c>
      <c r="C37" s="42">
        <v>300</v>
      </c>
      <c r="D37" s="42">
        <v>275</v>
      </c>
      <c r="E37" s="41" t="s">
        <v>89</v>
      </c>
      <c r="F37" s="42" t="s">
        <v>7</v>
      </c>
      <c r="G37" s="42">
        <v>2</v>
      </c>
      <c r="H37" s="64" t="s">
        <v>8</v>
      </c>
      <c r="I37" s="57" t="s">
        <v>55</v>
      </c>
      <c r="J37" s="44">
        <v>45671</v>
      </c>
      <c r="K37" s="52"/>
      <c r="L37" s="52"/>
      <c r="M37" s="63">
        <v>45672</v>
      </c>
      <c r="N37" s="49"/>
      <c r="O37" s="47"/>
      <c r="P37" s="46" t="s">
        <v>43</v>
      </c>
      <c r="Q37" s="46" t="s">
        <v>44</v>
      </c>
      <c r="R37" s="50">
        <v>1</v>
      </c>
      <c r="S37" s="47"/>
      <c r="T37" s="41"/>
      <c r="U37" s="83" t="s">
        <v>171</v>
      </c>
    </row>
    <row r="38" spans="1:21" customFormat="1" ht="28.5" hidden="1" customHeight="1">
      <c r="A38" s="42">
        <v>32</v>
      </c>
      <c r="B38" s="43">
        <v>813005</v>
      </c>
      <c r="C38" s="42">
        <v>510</v>
      </c>
      <c r="D38" s="42">
        <v>525</v>
      </c>
      <c r="E38" s="41" t="s">
        <v>74</v>
      </c>
      <c r="F38" s="42" t="s">
        <v>7</v>
      </c>
      <c r="G38" s="42">
        <v>1</v>
      </c>
      <c r="H38" s="64" t="s">
        <v>6</v>
      </c>
      <c r="I38" s="40" t="s">
        <v>42</v>
      </c>
      <c r="J38" s="44">
        <v>45672</v>
      </c>
      <c r="K38" s="44"/>
      <c r="L38" s="44" t="s">
        <v>138</v>
      </c>
      <c r="M38" s="63"/>
      <c r="N38" s="44"/>
      <c r="O38" s="48"/>
      <c r="P38" s="48"/>
      <c r="Q38" s="48"/>
      <c r="R38" s="50"/>
      <c r="S38" s="48"/>
      <c r="T38" s="41"/>
      <c r="U38" s="83" t="s">
        <v>168</v>
      </c>
    </row>
    <row r="39" spans="1:21" customFormat="1" ht="28.5" customHeight="1">
      <c r="A39" s="42">
        <v>81</v>
      </c>
      <c r="B39" s="43" t="s">
        <v>71</v>
      </c>
      <c r="C39" s="42">
        <v>175</v>
      </c>
      <c r="D39" s="42">
        <v>220</v>
      </c>
      <c r="E39" s="41" t="s">
        <v>47</v>
      </c>
      <c r="F39" s="42" t="s">
        <v>7</v>
      </c>
      <c r="G39" s="42">
        <v>2</v>
      </c>
      <c r="H39" s="64" t="s">
        <v>9</v>
      </c>
      <c r="I39" s="40" t="s">
        <v>42</v>
      </c>
      <c r="J39" s="44">
        <v>45672</v>
      </c>
      <c r="K39" s="44"/>
      <c r="L39" s="44" t="s">
        <v>138</v>
      </c>
      <c r="M39" s="63"/>
      <c r="N39" s="44"/>
      <c r="O39" s="48"/>
      <c r="P39" s="48"/>
      <c r="Q39" s="48"/>
      <c r="R39" s="50"/>
      <c r="S39" s="48"/>
      <c r="T39" s="41"/>
      <c r="U39" s="39"/>
    </row>
    <row r="40" spans="1:21" customFormat="1" ht="35.25" hidden="1" customHeight="1">
      <c r="A40" s="42">
        <v>107</v>
      </c>
      <c r="B40" s="43">
        <v>813062</v>
      </c>
      <c r="C40" s="42">
        <v>150</v>
      </c>
      <c r="D40" s="42">
        <v>220</v>
      </c>
      <c r="E40" s="68" t="s">
        <v>53</v>
      </c>
      <c r="F40" s="42" t="s">
        <v>7</v>
      </c>
      <c r="G40" s="42">
        <v>1</v>
      </c>
      <c r="H40" s="64" t="s">
        <v>8</v>
      </c>
      <c r="I40" s="57" t="s">
        <v>42</v>
      </c>
      <c r="J40" s="44">
        <v>45672</v>
      </c>
      <c r="K40" s="44"/>
      <c r="L40" s="44"/>
      <c r="M40" s="63">
        <v>45677</v>
      </c>
      <c r="N40" s="44"/>
      <c r="O40" s="48"/>
      <c r="P40" s="48"/>
      <c r="Q40" s="48"/>
      <c r="R40" s="50">
        <v>1</v>
      </c>
      <c r="S40" s="48"/>
      <c r="T40" s="41"/>
      <c r="U40" s="39"/>
    </row>
    <row r="41" spans="1:21" customFormat="1" ht="26.25" hidden="1" customHeight="1">
      <c r="A41" s="42">
        <v>5</v>
      </c>
      <c r="B41" s="43" t="s">
        <v>145</v>
      </c>
      <c r="C41" s="42">
        <v>300</v>
      </c>
      <c r="D41" s="42">
        <v>220</v>
      </c>
      <c r="E41" s="40" t="s">
        <v>146</v>
      </c>
      <c r="F41" s="47" t="s">
        <v>7</v>
      </c>
      <c r="G41" s="42">
        <v>2</v>
      </c>
      <c r="H41" s="61" t="s">
        <v>10</v>
      </c>
      <c r="I41" s="40" t="s">
        <v>55</v>
      </c>
      <c r="J41" s="44">
        <v>45680</v>
      </c>
      <c r="K41" s="52">
        <v>45689</v>
      </c>
      <c r="L41" s="52"/>
      <c r="M41" s="63">
        <v>45680</v>
      </c>
      <c r="N41" s="49"/>
      <c r="O41" s="47"/>
      <c r="P41" s="47"/>
      <c r="Q41" s="47"/>
      <c r="R41" s="47"/>
      <c r="S41" s="47"/>
      <c r="T41" s="41"/>
      <c r="U41" s="81"/>
    </row>
    <row r="42" spans="1:21" customFormat="1" ht="38.25" hidden="1" customHeight="1">
      <c r="A42" s="42">
        <v>59</v>
      </c>
      <c r="B42" s="43">
        <v>813071</v>
      </c>
      <c r="C42" s="42">
        <v>180</v>
      </c>
      <c r="D42" s="42">
        <v>220</v>
      </c>
      <c r="E42" s="49" t="s">
        <v>134</v>
      </c>
      <c r="F42" s="47" t="s">
        <v>125</v>
      </c>
      <c r="G42" s="42">
        <v>1</v>
      </c>
      <c r="H42" s="61" t="s">
        <v>20</v>
      </c>
      <c r="I42" s="57" t="s">
        <v>175</v>
      </c>
      <c r="J42" s="44">
        <v>45680</v>
      </c>
      <c r="K42" s="52"/>
      <c r="L42" s="52"/>
      <c r="M42" s="63">
        <v>45721</v>
      </c>
      <c r="N42" s="63">
        <v>45741</v>
      </c>
      <c r="O42" s="47"/>
      <c r="P42" s="47"/>
      <c r="Q42" s="47"/>
      <c r="R42" s="47"/>
      <c r="S42" s="47"/>
      <c r="T42" s="41"/>
    </row>
    <row r="43" spans="1:21" customFormat="1" ht="28.5" hidden="1" customHeight="1">
      <c r="A43" s="42">
        <v>33</v>
      </c>
      <c r="B43" s="43" t="s">
        <v>61</v>
      </c>
      <c r="C43" s="42">
        <v>125</v>
      </c>
      <c r="D43" s="42">
        <v>275</v>
      </c>
      <c r="E43" s="68" t="s">
        <v>62</v>
      </c>
      <c r="F43" s="42" t="s">
        <v>7</v>
      </c>
      <c r="G43" s="42">
        <v>4</v>
      </c>
      <c r="H43" s="64" t="s">
        <v>6</v>
      </c>
      <c r="I43" s="57" t="s">
        <v>55</v>
      </c>
      <c r="J43" s="44">
        <v>45683</v>
      </c>
      <c r="K43" s="44"/>
      <c r="L43" s="44" t="s">
        <v>138</v>
      </c>
      <c r="M43" s="63">
        <v>45678</v>
      </c>
      <c r="N43" s="44"/>
      <c r="O43" s="48"/>
      <c r="P43" s="48"/>
      <c r="Q43" s="48"/>
      <c r="R43" s="50"/>
      <c r="S43" s="48"/>
      <c r="T43" s="71"/>
      <c r="U43" s="83" t="s">
        <v>167</v>
      </c>
    </row>
    <row r="44" spans="1:21" customFormat="1" hidden="1">
      <c r="A44" s="42">
        <v>121</v>
      </c>
      <c r="B44" s="54">
        <v>850469</v>
      </c>
      <c r="C44" s="42">
        <v>180</v>
      </c>
      <c r="D44" s="42">
        <v>220</v>
      </c>
      <c r="E44" s="41" t="s">
        <v>50</v>
      </c>
      <c r="F44" s="46" t="s">
        <v>125</v>
      </c>
      <c r="G44" s="42">
        <v>1</v>
      </c>
      <c r="H44" s="64" t="s">
        <v>16</v>
      </c>
      <c r="I44" s="57" t="s">
        <v>55</v>
      </c>
      <c r="J44" s="73">
        <v>45683</v>
      </c>
      <c r="K44" s="44"/>
      <c r="L44" s="44" t="s">
        <v>157</v>
      </c>
      <c r="M44" s="63">
        <v>45681</v>
      </c>
      <c r="N44" s="44"/>
      <c r="O44" s="46"/>
      <c r="P44" s="46"/>
      <c r="Q44" s="46"/>
      <c r="R44" s="50"/>
      <c r="S44" s="46"/>
      <c r="T44" s="41"/>
      <c r="U44" s="81"/>
    </row>
    <row r="45" spans="1:21" customFormat="1" ht="28.5" hidden="1" customHeight="1">
      <c r="A45" s="42">
        <v>21</v>
      </c>
      <c r="B45" s="43">
        <v>850622</v>
      </c>
      <c r="C45" s="42">
        <v>150</v>
      </c>
      <c r="D45" s="42">
        <v>220</v>
      </c>
      <c r="E45" s="49" t="s">
        <v>92</v>
      </c>
      <c r="F45" s="47" t="s">
        <v>125</v>
      </c>
      <c r="G45" s="42">
        <v>1</v>
      </c>
      <c r="H45" s="64" t="s">
        <v>18</v>
      </c>
      <c r="I45" s="57" t="s">
        <v>175</v>
      </c>
      <c r="J45" s="44">
        <v>45695</v>
      </c>
      <c r="K45" s="52"/>
      <c r="L45" s="52"/>
      <c r="M45" s="63">
        <v>45712</v>
      </c>
      <c r="N45" s="63">
        <v>45716</v>
      </c>
      <c r="O45" s="47"/>
      <c r="P45" s="47"/>
      <c r="Q45" s="47"/>
      <c r="R45" s="47"/>
      <c r="S45" s="47"/>
      <c r="T45" s="40"/>
      <c r="U45" s="81"/>
    </row>
    <row r="46" spans="1:21" customFormat="1" ht="28.5" hidden="1" customHeight="1">
      <c r="A46" s="42">
        <v>108</v>
      </c>
      <c r="B46" s="43">
        <v>898866</v>
      </c>
      <c r="C46" s="42" t="s">
        <v>94</v>
      </c>
      <c r="D46" s="42"/>
      <c r="E46" s="68" t="s">
        <v>95</v>
      </c>
      <c r="F46" s="42" t="s">
        <v>125</v>
      </c>
      <c r="G46" s="42">
        <v>1</v>
      </c>
      <c r="H46" s="64" t="s">
        <v>8</v>
      </c>
      <c r="I46" s="57" t="s">
        <v>55</v>
      </c>
      <c r="J46" s="44">
        <v>45714</v>
      </c>
      <c r="K46" s="44"/>
      <c r="L46" s="44" t="s">
        <v>132</v>
      </c>
      <c r="M46" s="63">
        <v>45615</v>
      </c>
      <c r="N46" s="44"/>
      <c r="O46" s="46"/>
      <c r="P46" s="46"/>
      <c r="Q46" s="46"/>
      <c r="R46" s="50">
        <v>5</v>
      </c>
      <c r="S46" s="46"/>
      <c r="T46" s="41"/>
      <c r="U46" s="81"/>
    </row>
    <row r="47" spans="1:21" customFormat="1" ht="28.5" hidden="1" customHeight="1">
      <c r="A47" s="42">
        <v>54</v>
      </c>
      <c r="B47" s="43" t="s">
        <v>166</v>
      </c>
      <c r="C47" s="42">
        <v>240</v>
      </c>
      <c r="D47" s="42">
        <v>220</v>
      </c>
      <c r="E47" s="40" t="s">
        <v>79</v>
      </c>
      <c r="F47" s="47" t="s">
        <v>125</v>
      </c>
      <c r="G47" s="42">
        <v>2</v>
      </c>
      <c r="H47" s="64" t="s">
        <v>80</v>
      </c>
      <c r="I47" s="52" t="s">
        <v>175</v>
      </c>
      <c r="J47" s="73">
        <v>45723</v>
      </c>
      <c r="K47" s="44"/>
      <c r="L47" s="44"/>
      <c r="M47" s="63">
        <v>45763</v>
      </c>
      <c r="N47" s="44"/>
      <c r="O47" s="48"/>
      <c r="P47" s="48"/>
      <c r="Q47" s="48"/>
      <c r="R47" s="48"/>
      <c r="S47" s="48"/>
      <c r="T47" s="41"/>
      <c r="U47" s="81"/>
    </row>
    <row r="48" spans="1:21" customFormat="1" ht="35.25" hidden="1" customHeight="1">
      <c r="A48" s="42">
        <v>61</v>
      </c>
      <c r="B48" s="43" t="s">
        <v>178</v>
      </c>
      <c r="C48" s="42">
        <v>334</v>
      </c>
      <c r="D48" s="42">
        <v>500</v>
      </c>
      <c r="E48" s="40" t="s">
        <v>179</v>
      </c>
      <c r="F48" s="47" t="s">
        <v>125</v>
      </c>
      <c r="G48" s="42">
        <v>3</v>
      </c>
      <c r="H48" s="61" t="s">
        <v>20</v>
      </c>
      <c r="I48" s="57" t="s">
        <v>55</v>
      </c>
      <c r="J48" s="73">
        <v>45733</v>
      </c>
      <c r="K48" s="134"/>
      <c r="L48" s="52"/>
      <c r="M48" s="63">
        <v>45742</v>
      </c>
      <c r="N48" s="49"/>
      <c r="O48" s="47"/>
      <c r="P48" s="47"/>
      <c r="Q48" s="47"/>
      <c r="R48" s="47"/>
      <c r="S48" s="47"/>
      <c r="T48" s="40"/>
    </row>
    <row r="49" spans="1:22" customFormat="1" ht="28.5" hidden="1" customHeight="1">
      <c r="A49" s="42">
        <v>62</v>
      </c>
      <c r="B49" s="43" t="s">
        <v>180</v>
      </c>
      <c r="C49" s="42">
        <v>334</v>
      </c>
      <c r="D49" s="42">
        <v>500</v>
      </c>
      <c r="E49" s="40" t="s">
        <v>181</v>
      </c>
      <c r="F49" s="47" t="s">
        <v>125</v>
      </c>
      <c r="G49" s="42">
        <v>3</v>
      </c>
      <c r="H49" s="61" t="s">
        <v>20</v>
      </c>
      <c r="I49" s="57" t="s">
        <v>175</v>
      </c>
      <c r="J49" s="73">
        <v>45743</v>
      </c>
      <c r="K49" s="134"/>
      <c r="L49" s="52"/>
      <c r="M49" s="63">
        <v>45758</v>
      </c>
      <c r="N49" s="49"/>
      <c r="O49" s="47"/>
      <c r="P49" s="47"/>
      <c r="Q49" s="47"/>
      <c r="R49" s="47"/>
      <c r="S49" s="47"/>
      <c r="T49" s="40"/>
    </row>
    <row r="50" spans="1:22" customFormat="1" ht="28.5" customHeight="1">
      <c r="A50" s="42">
        <v>82</v>
      </c>
      <c r="B50" s="43">
        <v>813107</v>
      </c>
      <c r="C50" s="42">
        <v>250</v>
      </c>
      <c r="D50" s="42">
        <v>275</v>
      </c>
      <c r="E50" s="49" t="s">
        <v>152</v>
      </c>
      <c r="F50" s="47" t="s">
        <v>7</v>
      </c>
      <c r="G50" s="42">
        <v>1</v>
      </c>
      <c r="H50" s="61" t="s">
        <v>9</v>
      </c>
      <c r="I50" s="40" t="s">
        <v>42</v>
      </c>
      <c r="J50" s="44">
        <v>45746</v>
      </c>
      <c r="K50" s="134"/>
      <c r="L50" s="52"/>
      <c r="M50" s="63"/>
      <c r="N50" s="49"/>
      <c r="O50" s="47"/>
      <c r="P50" s="47"/>
      <c r="Q50" s="47"/>
      <c r="R50" s="47"/>
      <c r="S50" s="47"/>
      <c r="T50" s="41"/>
    </row>
    <row r="51" spans="1:22" customFormat="1" ht="28.5" hidden="1" customHeight="1">
      <c r="A51" s="42">
        <v>122</v>
      </c>
      <c r="B51" s="43" t="s">
        <v>193</v>
      </c>
      <c r="C51" s="42">
        <v>180</v>
      </c>
      <c r="D51" s="42">
        <v>220</v>
      </c>
      <c r="E51" s="40" t="s">
        <v>194</v>
      </c>
      <c r="F51" s="47" t="s">
        <v>125</v>
      </c>
      <c r="G51" s="42">
        <v>2</v>
      </c>
      <c r="H51" s="61" t="s">
        <v>16</v>
      </c>
      <c r="I51" s="40" t="s">
        <v>175</v>
      </c>
      <c r="J51" s="73">
        <v>45755</v>
      </c>
      <c r="K51" s="52"/>
      <c r="L51" s="52"/>
      <c r="M51" s="63">
        <v>45756</v>
      </c>
      <c r="N51" s="90">
        <v>45833</v>
      </c>
      <c r="O51" s="47"/>
      <c r="P51" s="47"/>
      <c r="Q51" s="47"/>
      <c r="R51" s="47"/>
      <c r="S51" s="47"/>
      <c r="T51" s="40"/>
    </row>
    <row r="52" spans="1:22" customFormat="1" ht="35.25" hidden="1" customHeight="1">
      <c r="A52" s="42">
        <v>123</v>
      </c>
      <c r="B52" s="43" t="s">
        <v>176</v>
      </c>
      <c r="C52" s="42">
        <v>140</v>
      </c>
      <c r="D52" s="42">
        <v>230</v>
      </c>
      <c r="E52" s="97" t="s">
        <v>177</v>
      </c>
      <c r="F52" s="47" t="s">
        <v>7</v>
      </c>
      <c r="G52" s="42">
        <v>4</v>
      </c>
      <c r="H52" s="61" t="s">
        <v>16</v>
      </c>
      <c r="I52" s="40" t="s">
        <v>55</v>
      </c>
      <c r="J52" s="73">
        <v>45757</v>
      </c>
      <c r="K52" s="134"/>
      <c r="L52" s="52"/>
      <c r="M52" s="63">
        <v>45756</v>
      </c>
      <c r="N52" s="49"/>
      <c r="O52" s="47"/>
      <c r="P52" s="47"/>
      <c r="Q52" s="47"/>
      <c r="R52" s="47"/>
      <c r="S52" s="47"/>
      <c r="T52" s="40"/>
    </row>
    <row r="53" spans="1:22" customFormat="1" ht="28.5" hidden="1" customHeight="1">
      <c r="A53" s="42">
        <v>22</v>
      </c>
      <c r="B53" s="43" t="s">
        <v>185</v>
      </c>
      <c r="C53" s="42">
        <v>160</v>
      </c>
      <c r="D53" s="42">
        <v>400</v>
      </c>
      <c r="E53" s="40" t="s">
        <v>187</v>
      </c>
      <c r="F53" s="47" t="s">
        <v>7</v>
      </c>
      <c r="G53" s="42">
        <v>2</v>
      </c>
      <c r="H53" s="61" t="s">
        <v>18</v>
      </c>
      <c r="I53" s="40" t="s">
        <v>42</v>
      </c>
      <c r="J53" s="73">
        <v>45762</v>
      </c>
      <c r="K53" s="134"/>
      <c r="L53" s="52"/>
      <c r="M53" s="63"/>
      <c r="N53" s="49"/>
      <c r="O53" s="47"/>
      <c r="P53" s="47"/>
      <c r="Q53" s="47"/>
      <c r="R53" s="47"/>
      <c r="S53" s="47"/>
      <c r="T53" s="40"/>
    </row>
    <row r="54" spans="1:22" customFormat="1" ht="28.5" hidden="1" customHeight="1">
      <c r="A54" s="42">
        <v>34</v>
      </c>
      <c r="B54" s="43" t="s">
        <v>139</v>
      </c>
      <c r="C54" s="42">
        <v>300</v>
      </c>
      <c r="D54" s="42">
        <v>420</v>
      </c>
      <c r="E54" s="40" t="s">
        <v>140</v>
      </c>
      <c r="F54" s="47" t="s">
        <v>7</v>
      </c>
      <c r="G54" s="42">
        <v>6</v>
      </c>
      <c r="H54" s="61" t="s">
        <v>6</v>
      </c>
      <c r="I54" s="40" t="s">
        <v>55</v>
      </c>
      <c r="J54" s="73">
        <v>45762</v>
      </c>
      <c r="K54" s="52"/>
      <c r="L54" s="52" t="s">
        <v>157</v>
      </c>
      <c r="M54" s="63">
        <v>45762</v>
      </c>
      <c r="N54" s="49"/>
      <c r="O54" s="47"/>
      <c r="P54" s="47"/>
      <c r="Q54" s="47"/>
      <c r="R54" s="47"/>
      <c r="S54" s="47"/>
      <c r="T54" s="41"/>
      <c r="U54" s="81"/>
    </row>
    <row r="55" spans="1:22" customFormat="1" ht="39" customHeight="1">
      <c r="A55" s="42">
        <v>83</v>
      </c>
      <c r="B55" s="43" t="s">
        <v>142</v>
      </c>
      <c r="C55" s="42">
        <v>210</v>
      </c>
      <c r="D55" s="42">
        <v>330</v>
      </c>
      <c r="E55" s="40" t="s">
        <v>143</v>
      </c>
      <c r="F55" s="47" t="s">
        <v>7</v>
      </c>
      <c r="G55" s="42">
        <v>8</v>
      </c>
      <c r="H55" s="61" t="s">
        <v>9</v>
      </c>
      <c r="I55" s="40" t="s">
        <v>42</v>
      </c>
      <c r="J55" s="73">
        <v>45768</v>
      </c>
      <c r="K55" s="52"/>
      <c r="L55" s="52"/>
      <c r="M55" s="63"/>
      <c r="N55" s="49"/>
      <c r="O55" s="47"/>
      <c r="P55" s="47"/>
      <c r="Q55" s="47"/>
      <c r="R55" s="47"/>
      <c r="S55" s="47"/>
      <c r="T55" s="40"/>
      <c r="U55" s="83" t="s">
        <v>169</v>
      </c>
    </row>
    <row r="56" spans="1:22" customFormat="1" ht="28.5" hidden="1" customHeight="1">
      <c r="A56" s="42">
        <v>109</v>
      </c>
      <c r="B56" s="43" t="s">
        <v>66</v>
      </c>
      <c r="C56" s="42">
        <v>150</v>
      </c>
      <c r="D56" s="42">
        <v>400</v>
      </c>
      <c r="E56" s="41" t="s">
        <v>67</v>
      </c>
      <c r="F56" s="42" t="s">
        <v>7</v>
      </c>
      <c r="G56" s="42">
        <v>4</v>
      </c>
      <c r="H56" s="64" t="s">
        <v>8</v>
      </c>
      <c r="I56" s="40" t="s">
        <v>55</v>
      </c>
      <c r="J56" s="44">
        <v>45774</v>
      </c>
      <c r="K56" s="44"/>
      <c r="L56" s="44"/>
      <c r="M56" s="63">
        <v>45772</v>
      </c>
      <c r="N56" s="44"/>
      <c r="O56" s="48"/>
      <c r="P56" s="48"/>
      <c r="Q56" s="48"/>
      <c r="R56" s="50">
        <v>1</v>
      </c>
      <c r="S56" s="48"/>
      <c r="T56" s="40"/>
      <c r="U56" s="39"/>
    </row>
    <row r="57" spans="1:22" customFormat="1" ht="29.25" hidden="1" customHeight="1" thickBot="1">
      <c r="A57" s="123">
        <v>51</v>
      </c>
      <c r="B57" s="99">
        <v>850701</v>
      </c>
      <c r="C57" s="123">
        <v>280</v>
      </c>
      <c r="D57" s="123">
        <v>400</v>
      </c>
      <c r="E57" s="124" t="s">
        <v>204</v>
      </c>
      <c r="F57" s="125" t="s">
        <v>125</v>
      </c>
      <c r="G57" s="123">
        <v>1</v>
      </c>
      <c r="H57" s="143" t="s">
        <v>129</v>
      </c>
      <c r="I57" s="124" t="s">
        <v>175</v>
      </c>
      <c r="J57" s="44">
        <v>45784</v>
      </c>
      <c r="K57" s="49"/>
      <c r="L57" s="49"/>
      <c r="M57" s="94">
        <v>45803</v>
      </c>
      <c r="N57" s="90">
        <v>45814</v>
      </c>
      <c r="O57" s="47"/>
      <c r="P57" s="47"/>
      <c r="Q57" s="47"/>
      <c r="R57" s="47"/>
      <c r="S57" s="47"/>
      <c r="T57" s="40"/>
      <c r="V57" s="92"/>
    </row>
    <row r="58" spans="1:22" customFormat="1" ht="28.5" hidden="1" customHeight="1">
      <c r="A58" s="121">
        <v>6</v>
      </c>
      <c r="B58" s="126" t="s">
        <v>161</v>
      </c>
      <c r="C58" s="127">
        <v>160</v>
      </c>
      <c r="D58" s="127">
        <v>220</v>
      </c>
      <c r="E58" s="138" t="s">
        <v>160</v>
      </c>
      <c r="F58" s="141" t="s">
        <v>7</v>
      </c>
      <c r="G58" s="127">
        <v>2</v>
      </c>
      <c r="H58" s="122" t="s">
        <v>10</v>
      </c>
      <c r="I58" s="145" t="s">
        <v>55</v>
      </c>
      <c r="J58" s="147">
        <v>45792</v>
      </c>
      <c r="K58" s="91"/>
      <c r="L58" s="52"/>
      <c r="M58" s="63">
        <v>45787</v>
      </c>
      <c r="N58" s="49"/>
      <c r="O58" s="47"/>
      <c r="P58" s="47"/>
      <c r="Q58" s="47"/>
      <c r="R58" s="47"/>
      <c r="S58" s="47"/>
      <c r="T58" s="41"/>
      <c r="V58" s="92"/>
    </row>
    <row r="59" spans="1:22" customFormat="1" ht="29.25" hidden="1" customHeight="1">
      <c r="A59" s="96">
        <v>35</v>
      </c>
      <c r="B59" s="43" t="s">
        <v>158</v>
      </c>
      <c r="C59" s="42">
        <v>120</v>
      </c>
      <c r="D59" s="42">
        <v>132</v>
      </c>
      <c r="E59" s="40" t="s">
        <v>159</v>
      </c>
      <c r="F59" s="47" t="s">
        <v>7</v>
      </c>
      <c r="G59" s="42">
        <v>3</v>
      </c>
      <c r="H59" s="61" t="s">
        <v>6</v>
      </c>
      <c r="I59" s="40" t="s">
        <v>55</v>
      </c>
      <c r="J59" s="84">
        <v>45792</v>
      </c>
      <c r="K59" s="91"/>
      <c r="L59" s="52"/>
      <c r="M59" s="63">
        <v>45783</v>
      </c>
      <c r="N59" s="49"/>
      <c r="O59" s="47"/>
      <c r="P59" s="47"/>
      <c r="Q59" s="47"/>
      <c r="R59" s="47"/>
      <c r="S59" s="47"/>
      <c r="T59" s="95"/>
      <c r="V59" s="92"/>
    </row>
    <row r="60" spans="1:22" customFormat="1" ht="28.5" customHeight="1">
      <c r="A60" s="96">
        <v>84</v>
      </c>
      <c r="B60" s="43" t="s">
        <v>162</v>
      </c>
      <c r="C60" s="42">
        <v>200</v>
      </c>
      <c r="D60" s="42">
        <v>400</v>
      </c>
      <c r="E60" s="82" t="s">
        <v>163</v>
      </c>
      <c r="F60" s="47" t="s">
        <v>7</v>
      </c>
      <c r="G60" s="42">
        <v>9</v>
      </c>
      <c r="H60" s="61" t="s">
        <v>9</v>
      </c>
      <c r="I60" s="40" t="s">
        <v>55</v>
      </c>
      <c r="J60" s="84">
        <v>45792</v>
      </c>
      <c r="K60" s="91"/>
      <c r="L60" s="52"/>
      <c r="M60" s="63">
        <v>45793</v>
      </c>
      <c r="N60" s="49"/>
      <c r="O60" s="47"/>
      <c r="P60" s="47"/>
      <c r="Q60" s="47"/>
      <c r="R60" s="47"/>
      <c r="S60" s="47"/>
      <c r="T60" s="40"/>
      <c r="V60" s="92"/>
    </row>
    <row r="61" spans="1:22" customFormat="1" ht="28.5" hidden="1" customHeight="1">
      <c r="A61" s="96">
        <v>110</v>
      </c>
      <c r="B61" s="43" t="s">
        <v>153</v>
      </c>
      <c r="C61" s="42">
        <v>160</v>
      </c>
      <c r="D61" s="42">
        <v>220</v>
      </c>
      <c r="E61" s="40" t="s">
        <v>154</v>
      </c>
      <c r="F61" s="47" t="s">
        <v>7</v>
      </c>
      <c r="G61" s="42">
        <v>2</v>
      </c>
      <c r="H61" s="61" t="s">
        <v>8</v>
      </c>
      <c r="I61" s="40" t="s">
        <v>55</v>
      </c>
      <c r="J61" s="84">
        <v>45792</v>
      </c>
      <c r="K61" s="91"/>
      <c r="L61" s="52" t="s">
        <v>138</v>
      </c>
      <c r="M61" s="63">
        <v>45775</v>
      </c>
      <c r="N61" s="49"/>
      <c r="O61" s="47"/>
      <c r="P61" s="47"/>
      <c r="Q61" s="47"/>
      <c r="R61" s="47"/>
      <c r="S61" s="47"/>
      <c r="T61" s="40"/>
      <c r="V61" s="92"/>
    </row>
    <row r="62" spans="1:22" customFormat="1" ht="39" hidden="1" customHeight="1">
      <c r="A62" s="96">
        <v>124</v>
      </c>
      <c r="B62" s="43" t="s">
        <v>155</v>
      </c>
      <c r="C62" s="42">
        <v>130</v>
      </c>
      <c r="D62" s="42">
        <v>220</v>
      </c>
      <c r="E62" s="40" t="s">
        <v>156</v>
      </c>
      <c r="F62" s="47" t="s">
        <v>7</v>
      </c>
      <c r="G62" s="42">
        <v>2</v>
      </c>
      <c r="H62" s="61" t="s">
        <v>16</v>
      </c>
      <c r="I62" s="40" t="s">
        <v>42</v>
      </c>
      <c r="J62" s="84">
        <v>45792</v>
      </c>
      <c r="K62" s="91"/>
      <c r="L62" s="52"/>
      <c r="M62" s="63"/>
      <c r="N62" s="49"/>
      <c r="O62" s="47"/>
      <c r="P62" s="47"/>
      <c r="Q62" s="47"/>
      <c r="R62" s="47"/>
      <c r="S62" s="47"/>
      <c r="T62" s="40"/>
      <c r="V62" s="92"/>
    </row>
    <row r="63" spans="1:22" customFormat="1" ht="28.5" hidden="1" customHeight="1">
      <c r="A63" s="96">
        <v>23</v>
      </c>
      <c r="B63" s="43" t="s">
        <v>206</v>
      </c>
      <c r="C63" s="42">
        <v>160</v>
      </c>
      <c r="D63" s="42">
        <v>400</v>
      </c>
      <c r="E63" s="40" t="s">
        <v>187</v>
      </c>
      <c r="F63" s="47" t="s">
        <v>7</v>
      </c>
      <c r="G63" s="42">
        <v>2</v>
      </c>
      <c r="H63" s="61" t="s">
        <v>18</v>
      </c>
      <c r="I63" s="40" t="s">
        <v>42</v>
      </c>
      <c r="J63" s="84">
        <v>45798</v>
      </c>
      <c r="K63" s="136"/>
      <c r="L63" s="49"/>
      <c r="M63" s="65"/>
      <c r="N63" s="49"/>
      <c r="O63" s="47"/>
      <c r="P63" s="47"/>
      <c r="Q63" s="47"/>
      <c r="R63" s="47"/>
      <c r="S63" s="47"/>
      <c r="T63" s="40"/>
      <c r="V63" s="92"/>
    </row>
    <row r="64" spans="1:22" customFormat="1" ht="28.5" customHeight="1">
      <c r="A64" s="96">
        <v>85</v>
      </c>
      <c r="B64" s="54" t="s">
        <v>195</v>
      </c>
      <c r="C64" s="59" t="s">
        <v>197</v>
      </c>
      <c r="D64" s="59">
        <v>500</v>
      </c>
      <c r="E64" s="100" t="s">
        <v>196</v>
      </c>
      <c r="F64" s="60" t="s">
        <v>7</v>
      </c>
      <c r="G64" s="59">
        <v>2</v>
      </c>
      <c r="H64" s="61" t="s">
        <v>9</v>
      </c>
      <c r="I64" s="40" t="s">
        <v>175</v>
      </c>
      <c r="J64" s="84">
        <v>45810</v>
      </c>
      <c r="K64" s="135"/>
      <c r="L64" s="52"/>
      <c r="M64" s="63">
        <v>45821</v>
      </c>
      <c r="N64" s="49"/>
      <c r="O64" s="47"/>
      <c r="P64" s="47"/>
      <c r="Q64" s="47"/>
      <c r="R64" s="47"/>
      <c r="S64" s="47"/>
      <c r="T64" s="40"/>
      <c r="V64" s="92"/>
    </row>
    <row r="65" spans="1:22" customFormat="1" ht="29.25" hidden="1" customHeight="1" thickBot="1">
      <c r="A65" s="96">
        <v>63</v>
      </c>
      <c r="B65" s="54" t="s">
        <v>208</v>
      </c>
      <c r="C65" s="59">
        <v>334</v>
      </c>
      <c r="D65" s="59">
        <v>500</v>
      </c>
      <c r="E65" s="100" t="s">
        <v>209</v>
      </c>
      <c r="F65" s="60" t="s">
        <v>125</v>
      </c>
      <c r="G65" s="59">
        <v>3</v>
      </c>
      <c r="H65" s="117" t="s">
        <v>20</v>
      </c>
      <c r="I65" s="109" t="s">
        <v>175</v>
      </c>
      <c r="J65" s="84">
        <v>45812</v>
      </c>
      <c r="K65" s="136"/>
      <c r="L65" s="49"/>
      <c r="M65" s="94">
        <v>45828</v>
      </c>
      <c r="N65" s="49"/>
      <c r="O65" s="47"/>
      <c r="P65" s="47"/>
      <c r="Q65" s="47"/>
      <c r="R65" s="47"/>
      <c r="S65" s="47"/>
      <c r="T65" s="40"/>
      <c r="V65" s="92"/>
    </row>
    <row r="66" spans="1:22" customFormat="1" ht="42" hidden="1" customHeight="1" thickBot="1">
      <c r="A66" s="106">
        <v>64</v>
      </c>
      <c r="B66" s="118" t="s">
        <v>210</v>
      </c>
      <c r="C66" s="119">
        <v>334</v>
      </c>
      <c r="D66" s="119">
        <v>500</v>
      </c>
      <c r="E66" s="128" t="s">
        <v>211</v>
      </c>
      <c r="F66" s="120" t="s">
        <v>125</v>
      </c>
      <c r="G66" s="119">
        <v>3</v>
      </c>
      <c r="H66" s="117" t="s">
        <v>20</v>
      </c>
      <c r="I66" s="109" t="s">
        <v>175</v>
      </c>
      <c r="J66" s="84">
        <v>45814</v>
      </c>
      <c r="K66" s="136"/>
      <c r="L66" s="49"/>
      <c r="M66" s="94">
        <v>45841</v>
      </c>
      <c r="N66" s="49"/>
      <c r="O66" s="47"/>
      <c r="P66" s="47"/>
      <c r="Q66" s="47"/>
      <c r="R66" s="47"/>
      <c r="S66" s="47"/>
      <c r="T66" s="40"/>
      <c r="V66" s="92"/>
    </row>
    <row r="67" spans="1:22" customFormat="1" ht="28.5" hidden="1" customHeight="1" thickBot="1">
      <c r="A67" s="121">
        <v>36</v>
      </c>
      <c r="B67" s="126">
        <v>813133</v>
      </c>
      <c r="C67" s="127">
        <v>220</v>
      </c>
      <c r="D67" s="127">
        <v>154</v>
      </c>
      <c r="E67" s="139" t="s">
        <v>87</v>
      </c>
      <c r="F67" s="142" t="s">
        <v>7</v>
      </c>
      <c r="G67" s="127">
        <v>1</v>
      </c>
      <c r="H67" s="129" t="s">
        <v>6</v>
      </c>
      <c r="I67" s="130" t="s">
        <v>42</v>
      </c>
      <c r="J67" s="84">
        <v>45823</v>
      </c>
      <c r="K67" s="136"/>
      <c r="L67" s="49"/>
      <c r="M67" s="65"/>
      <c r="N67" s="49"/>
      <c r="O67" s="47"/>
      <c r="P67" s="47"/>
      <c r="Q67" s="47"/>
      <c r="R67" s="47"/>
      <c r="S67" s="47"/>
      <c r="T67" s="95"/>
      <c r="V67" s="92"/>
    </row>
    <row r="68" spans="1:22" customFormat="1" ht="28.5" customHeight="1">
      <c r="A68" s="96">
        <v>86</v>
      </c>
      <c r="B68" s="54" t="s">
        <v>200</v>
      </c>
      <c r="C68" s="59" t="s">
        <v>198</v>
      </c>
      <c r="D68" s="59">
        <v>500</v>
      </c>
      <c r="E68" s="100" t="s">
        <v>196</v>
      </c>
      <c r="F68" s="60" t="s">
        <v>7</v>
      </c>
      <c r="G68" s="59">
        <v>2</v>
      </c>
      <c r="H68" s="61" t="s">
        <v>9</v>
      </c>
      <c r="I68" s="40" t="s">
        <v>175</v>
      </c>
      <c r="J68" s="84">
        <v>45824</v>
      </c>
      <c r="K68" s="135"/>
      <c r="L68" s="52"/>
      <c r="M68" s="63">
        <v>45800</v>
      </c>
      <c r="N68" s="90">
        <v>45845</v>
      </c>
      <c r="O68" s="47"/>
      <c r="P68" s="47"/>
      <c r="Q68" s="47"/>
      <c r="R68" s="47"/>
      <c r="S68" s="47"/>
      <c r="T68" s="40"/>
      <c r="V68" s="92"/>
    </row>
    <row r="69" spans="1:22" customFormat="1" ht="28.5" hidden="1" customHeight="1">
      <c r="A69" s="96">
        <v>24</v>
      </c>
      <c r="B69" s="43" t="s">
        <v>244</v>
      </c>
      <c r="C69" s="42">
        <v>100</v>
      </c>
      <c r="D69" s="42">
        <v>400</v>
      </c>
      <c r="E69" s="40" t="s">
        <v>199</v>
      </c>
      <c r="F69" s="47" t="s">
        <v>7</v>
      </c>
      <c r="G69" s="42">
        <v>3</v>
      </c>
      <c r="H69" s="61" t="s">
        <v>18</v>
      </c>
      <c r="I69" s="40" t="s">
        <v>42</v>
      </c>
      <c r="J69" s="84">
        <v>45828</v>
      </c>
      <c r="K69" s="149"/>
      <c r="L69" s="43"/>
      <c r="M69" s="43"/>
      <c r="N69" s="43"/>
      <c r="O69" s="43"/>
      <c r="P69" s="43"/>
      <c r="Q69" s="43"/>
      <c r="R69" s="47"/>
      <c r="S69" s="47"/>
      <c r="T69" s="40" t="s">
        <v>234</v>
      </c>
      <c r="V69" s="92"/>
    </row>
    <row r="70" spans="1:22" customFormat="1" ht="29.25" customHeight="1">
      <c r="A70" s="96">
        <v>87</v>
      </c>
      <c r="B70" s="54">
        <v>813170</v>
      </c>
      <c r="C70" s="59">
        <v>333</v>
      </c>
      <c r="D70" s="59">
        <v>500</v>
      </c>
      <c r="E70" s="100" t="s">
        <v>220</v>
      </c>
      <c r="F70" s="60" t="s">
        <v>7</v>
      </c>
      <c r="G70" s="59">
        <v>4</v>
      </c>
      <c r="H70" s="61" t="s">
        <v>9</v>
      </c>
      <c r="I70" s="40" t="s">
        <v>55</v>
      </c>
      <c r="J70" s="84">
        <v>45828</v>
      </c>
      <c r="K70" s="136"/>
      <c r="L70" s="49"/>
      <c r="M70" s="94">
        <v>45834</v>
      </c>
      <c r="N70" s="49"/>
      <c r="O70" s="47"/>
      <c r="P70" s="47"/>
      <c r="Q70" s="47"/>
      <c r="R70" s="47"/>
      <c r="S70" s="47"/>
      <c r="T70" s="40"/>
      <c r="V70" s="92"/>
    </row>
    <row r="71" spans="1:22" customFormat="1" ht="26.25" hidden="1" customHeight="1">
      <c r="A71" s="96">
        <v>37</v>
      </c>
      <c r="B71" s="101">
        <v>813159</v>
      </c>
      <c r="C71" s="102">
        <v>210</v>
      </c>
      <c r="D71" s="102">
        <v>550</v>
      </c>
      <c r="E71" s="103" t="s">
        <v>203</v>
      </c>
      <c r="F71" s="104" t="s">
        <v>7</v>
      </c>
      <c r="G71" s="102">
        <v>1</v>
      </c>
      <c r="H71" s="105" t="s">
        <v>6</v>
      </c>
      <c r="I71" s="103" t="s">
        <v>175</v>
      </c>
      <c r="J71" s="84">
        <v>45833</v>
      </c>
      <c r="K71" s="149"/>
      <c r="L71" s="43"/>
      <c r="M71" s="43"/>
      <c r="N71" s="43"/>
      <c r="O71" s="43"/>
      <c r="P71" s="43"/>
      <c r="Q71" s="43"/>
      <c r="R71" s="47"/>
      <c r="S71" s="47"/>
      <c r="T71" s="95"/>
      <c r="V71" s="92"/>
    </row>
    <row r="72" spans="1:22" customFormat="1" ht="26.25" hidden="1" customHeight="1">
      <c r="A72" s="96">
        <v>38</v>
      </c>
      <c r="B72" s="43">
        <v>813153</v>
      </c>
      <c r="C72" s="42">
        <v>250</v>
      </c>
      <c r="D72" s="42">
        <v>220</v>
      </c>
      <c r="E72" s="41" t="s">
        <v>222</v>
      </c>
      <c r="F72" s="46" t="s">
        <v>7</v>
      </c>
      <c r="G72" s="42">
        <v>1</v>
      </c>
      <c r="H72" s="64" t="s">
        <v>6</v>
      </c>
      <c r="I72" s="57" t="s">
        <v>55</v>
      </c>
      <c r="J72" s="84">
        <v>45835</v>
      </c>
      <c r="K72" s="136"/>
      <c r="L72" s="49"/>
      <c r="M72" s="94">
        <v>45819</v>
      </c>
      <c r="N72" s="49"/>
      <c r="O72" s="47"/>
      <c r="P72" s="47"/>
      <c r="Q72" s="47"/>
      <c r="R72" s="47"/>
      <c r="S72" s="47"/>
      <c r="T72" s="95" t="s">
        <v>226</v>
      </c>
      <c r="V72" s="92"/>
    </row>
    <row r="73" spans="1:22" customFormat="1" ht="28.5" hidden="1" customHeight="1">
      <c r="A73" s="96">
        <v>111</v>
      </c>
      <c r="B73" s="43" t="s">
        <v>147</v>
      </c>
      <c r="C73" s="42">
        <v>450</v>
      </c>
      <c r="D73" s="42">
        <v>400</v>
      </c>
      <c r="E73" s="40" t="s">
        <v>148</v>
      </c>
      <c r="F73" s="47" t="s">
        <v>7</v>
      </c>
      <c r="G73" s="42">
        <v>3</v>
      </c>
      <c r="H73" s="61" t="s">
        <v>8</v>
      </c>
      <c r="I73" s="40" t="s">
        <v>42</v>
      </c>
      <c r="J73" s="84">
        <v>45838</v>
      </c>
      <c r="K73" s="135"/>
      <c r="L73" s="52"/>
      <c r="M73" s="63">
        <v>45838</v>
      </c>
      <c r="N73" s="49"/>
      <c r="O73" s="47"/>
      <c r="P73" s="47"/>
      <c r="Q73" s="47"/>
      <c r="R73" s="47"/>
      <c r="S73" s="47"/>
      <c r="T73" s="40"/>
      <c r="V73" s="92"/>
    </row>
    <row r="74" spans="1:22" customFormat="1" ht="28.5" hidden="1" customHeight="1">
      <c r="A74" s="96">
        <v>52</v>
      </c>
      <c r="B74" s="54">
        <v>813028</v>
      </c>
      <c r="C74" s="59">
        <v>165</v>
      </c>
      <c r="D74" s="59">
        <v>330</v>
      </c>
      <c r="E74" s="62" t="s">
        <v>173</v>
      </c>
      <c r="F74" s="60" t="s">
        <v>7</v>
      </c>
      <c r="G74" s="59">
        <v>1</v>
      </c>
      <c r="H74" s="61" t="s">
        <v>129</v>
      </c>
      <c r="I74" s="40" t="s">
        <v>55</v>
      </c>
      <c r="J74" s="84">
        <v>45842</v>
      </c>
      <c r="K74" s="91" t="s">
        <v>157</v>
      </c>
      <c r="L74" s="52"/>
      <c r="M74" s="63">
        <v>45842</v>
      </c>
      <c r="N74" s="49"/>
      <c r="O74" s="47"/>
      <c r="P74" s="47"/>
      <c r="Q74" s="47"/>
      <c r="R74" s="47"/>
      <c r="S74" s="47"/>
      <c r="T74" s="40"/>
      <c r="V74" s="92"/>
    </row>
    <row r="75" spans="1:22" customFormat="1" ht="28.5" hidden="1" customHeight="1" thickBot="1">
      <c r="A75" s="106">
        <v>25</v>
      </c>
      <c r="B75" s="107" t="s">
        <v>223</v>
      </c>
      <c r="C75" s="108" t="s">
        <v>224</v>
      </c>
      <c r="D75" s="108">
        <v>230</v>
      </c>
      <c r="E75" s="137" t="s">
        <v>225</v>
      </c>
      <c r="F75" s="140" t="s">
        <v>125</v>
      </c>
      <c r="G75" s="108">
        <v>2</v>
      </c>
      <c r="H75" s="61" t="s">
        <v>18</v>
      </c>
      <c r="I75" s="109" t="s">
        <v>175</v>
      </c>
      <c r="J75" s="132">
        <v>45848</v>
      </c>
      <c r="K75" s="136"/>
      <c r="L75" s="49"/>
      <c r="M75" s="94">
        <v>45848</v>
      </c>
      <c r="N75" s="49"/>
      <c r="O75" s="47"/>
      <c r="P75" s="47"/>
      <c r="Q75" s="47"/>
      <c r="R75" s="47"/>
      <c r="S75" s="47"/>
      <c r="T75" s="40"/>
      <c r="V75" s="92"/>
    </row>
    <row r="76" spans="1:22" customFormat="1" ht="28.5" hidden="1" customHeight="1">
      <c r="A76" s="86">
        <v>39</v>
      </c>
      <c r="B76" s="85" t="s">
        <v>182</v>
      </c>
      <c r="C76" s="86">
        <v>280</v>
      </c>
      <c r="D76" s="86">
        <v>400</v>
      </c>
      <c r="E76" s="110" t="s">
        <v>183</v>
      </c>
      <c r="F76" s="111" t="s">
        <v>7</v>
      </c>
      <c r="G76" s="86">
        <v>3</v>
      </c>
      <c r="H76" s="61" t="s">
        <v>6</v>
      </c>
      <c r="I76" s="110" t="s">
        <v>42</v>
      </c>
      <c r="J76" s="98">
        <v>45848</v>
      </c>
      <c r="K76" s="91" t="s">
        <v>157</v>
      </c>
      <c r="L76" s="52"/>
      <c r="M76" s="63">
        <v>45849</v>
      </c>
      <c r="N76" s="49"/>
      <c r="O76" s="47"/>
      <c r="P76" s="47"/>
      <c r="Q76" s="47"/>
      <c r="R76" s="47"/>
      <c r="S76" s="47"/>
      <c r="T76" s="95" t="s">
        <v>184</v>
      </c>
    </row>
    <row r="77" spans="1:22" customFormat="1" ht="28.5" customHeight="1">
      <c r="A77" s="42">
        <v>88</v>
      </c>
      <c r="B77" s="43" t="s">
        <v>150</v>
      </c>
      <c r="C77" s="42">
        <v>140</v>
      </c>
      <c r="D77" s="42">
        <v>400</v>
      </c>
      <c r="E77" s="82" t="s">
        <v>149</v>
      </c>
      <c r="F77" s="47" t="s">
        <v>7</v>
      </c>
      <c r="G77" s="42">
        <v>2</v>
      </c>
      <c r="H77" s="61" t="s">
        <v>9</v>
      </c>
      <c r="I77" s="40" t="s">
        <v>55</v>
      </c>
      <c r="J77" s="84">
        <v>45848</v>
      </c>
      <c r="K77" s="134" t="s">
        <v>157</v>
      </c>
      <c r="L77" s="52"/>
      <c r="M77" s="63">
        <v>45828</v>
      </c>
      <c r="N77" s="49"/>
      <c r="O77" s="47"/>
      <c r="P77" s="47"/>
      <c r="Q77" s="47"/>
      <c r="R77" s="47"/>
      <c r="S77" s="47"/>
      <c r="T77" s="40"/>
    </row>
    <row r="78" spans="1:22" customFormat="1" ht="42" hidden="1" customHeight="1">
      <c r="A78" s="42">
        <v>26</v>
      </c>
      <c r="B78" s="43" t="s">
        <v>243</v>
      </c>
      <c r="C78" s="42">
        <v>100</v>
      </c>
      <c r="D78" s="42">
        <v>400</v>
      </c>
      <c r="E78" s="40" t="s">
        <v>199</v>
      </c>
      <c r="F78" s="47" t="s">
        <v>7</v>
      </c>
      <c r="G78" s="42">
        <v>2</v>
      </c>
      <c r="H78" s="61" t="s">
        <v>18</v>
      </c>
      <c r="I78" s="40" t="s">
        <v>42</v>
      </c>
      <c r="J78" s="84">
        <v>45853</v>
      </c>
      <c r="K78" s="43"/>
      <c r="L78" s="43"/>
      <c r="M78" s="43"/>
      <c r="N78" s="43"/>
      <c r="O78" s="43"/>
      <c r="P78" s="43"/>
      <c r="Q78" s="43"/>
      <c r="R78" s="47"/>
      <c r="S78" s="47"/>
      <c r="T78" s="97" t="s">
        <v>245</v>
      </c>
    </row>
    <row r="79" spans="1:22" customFormat="1" ht="26.25" hidden="1" customHeight="1">
      <c r="A79" s="42">
        <v>7</v>
      </c>
      <c r="B79" s="43">
        <v>813137</v>
      </c>
      <c r="C79" s="42">
        <v>80</v>
      </c>
      <c r="D79" s="42">
        <v>230</v>
      </c>
      <c r="E79" s="40" t="s">
        <v>189</v>
      </c>
      <c r="F79" s="47" t="s">
        <v>7</v>
      </c>
      <c r="G79" s="42">
        <v>1</v>
      </c>
      <c r="H79" s="61" t="s">
        <v>10</v>
      </c>
      <c r="I79" s="40" t="s">
        <v>55</v>
      </c>
      <c r="J79" s="131">
        <v>45870</v>
      </c>
      <c r="K79" s="134"/>
      <c r="L79" s="52"/>
      <c r="M79" s="63">
        <v>45879</v>
      </c>
      <c r="N79" s="49"/>
      <c r="O79" s="47"/>
      <c r="P79" s="47"/>
      <c r="Q79" s="47"/>
      <c r="R79" s="47"/>
      <c r="S79" s="47"/>
      <c r="T79" s="40"/>
    </row>
    <row r="80" spans="1:22" customFormat="1" ht="26.25" hidden="1" customHeight="1">
      <c r="A80" s="42">
        <v>65</v>
      </c>
      <c r="B80" s="43">
        <v>850623</v>
      </c>
      <c r="C80" s="42">
        <v>120</v>
      </c>
      <c r="D80" s="42">
        <v>220</v>
      </c>
      <c r="E80" s="49" t="s">
        <v>93</v>
      </c>
      <c r="F80" s="47" t="s">
        <v>125</v>
      </c>
      <c r="G80" s="42">
        <v>1</v>
      </c>
      <c r="H80" s="61" t="s">
        <v>20</v>
      </c>
      <c r="I80" s="57" t="s">
        <v>175</v>
      </c>
      <c r="J80" s="73">
        <v>45874</v>
      </c>
      <c r="K80" s="49"/>
      <c r="L80" s="49"/>
      <c r="M80" s="65"/>
      <c r="N80" s="49"/>
      <c r="O80" s="47"/>
      <c r="P80" s="47"/>
      <c r="Q80" s="47"/>
      <c r="R80" s="47"/>
      <c r="S80" s="47"/>
      <c r="T80" s="40"/>
    </row>
    <row r="81" spans="1:21" customFormat="1" ht="26.25" hidden="1" customHeight="1">
      <c r="A81" s="42">
        <v>40</v>
      </c>
      <c r="B81" s="54" t="s">
        <v>201</v>
      </c>
      <c r="C81" s="59">
        <v>330</v>
      </c>
      <c r="D81" s="59">
        <v>330</v>
      </c>
      <c r="E81" s="62" t="s">
        <v>173</v>
      </c>
      <c r="F81" s="60" t="s">
        <v>7</v>
      </c>
      <c r="G81" s="42" t="s">
        <v>207</v>
      </c>
      <c r="H81" s="61" t="s">
        <v>6</v>
      </c>
      <c r="I81" s="40" t="s">
        <v>55</v>
      </c>
      <c r="J81" s="73">
        <v>45879</v>
      </c>
      <c r="K81" s="134" t="s">
        <v>157</v>
      </c>
      <c r="L81" s="52"/>
      <c r="M81" s="63">
        <v>45879</v>
      </c>
      <c r="N81" s="49"/>
      <c r="O81" s="47"/>
      <c r="P81" s="47"/>
      <c r="Q81" s="47"/>
      <c r="R81" s="47"/>
      <c r="S81" s="47"/>
      <c r="T81" s="95"/>
    </row>
    <row r="82" spans="1:21" customFormat="1" ht="26.25" customHeight="1">
      <c r="A82" s="42">
        <v>89</v>
      </c>
      <c r="B82" s="43" t="s">
        <v>237</v>
      </c>
      <c r="C82" s="43" t="s">
        <v>198</v>
      </c>
      <c r="D82" s="43">
        <v>500</v>
      </c>
      <c r="E82" s="43" t="s">
        <v>262</v>
      </c>
      <c r="F82" s="43" t="s">
        <v>7</v>
      </c>
      <c r="G82" s="47">
        <v>2</v>
      </c>
      <c r="H82" s="61" t="s">
        <v>9</v>
      </c>
      <c r="I82" s="57" t="s">
        <v>175</v>
      </c>
      <c r="J82" s="73">
        <v>45884</v>
      </c>
      <c r="K82" s="93"/>
      <c r="L82" s="93"/>
      <c r="M82" s="93"/>
      <c r="N82" s="93"/>
      <c r="O82" s="93"/>
      <c r="P82" s="93"/>
      <c r="Q82" s="93"/>
      <c r="R82" s="93"/>
      <c r="S82" s="93"/>
      <c r="T82" s="93" t="s">
        <v>238</v>
      </c>
    </row>
    <row r="83" spans="1:21" customFormat="1" ht="26.25" hidden="1" customHeight="1">
      <c r="A83" s="42">
        <v>112</v>
      </c>
      <c r="B83" s="43">
        <v>813088</v>
      </c>
      <c r="C83" s="43">
        <v>520</v>
      </c>
      <c r="D83" s="43">
        <v>500</v>
      </c>
      <c r="E83" s="43" t="s">
        <v>239</v>
      </c>
      <c r="F83" s="43" t="s">
        <v>125</v>
      </c>
      <c r="G83" s="42">
        <v>1</v>
      </c>
      <c r="H83" s="61" t="s">
        <v>8</v>
      </c>
      <c r="I83" s="40" t="s">
        <v>175</v>
      </c>
      <c r="J83" s="73">
        <v>45884</v>
      </c>
      <c r="K83" s="49"/>
      <c r="L83" s="49"/>
      <c r="M83" s="65"/>
      <c r="N83" s="49"/>
      <c r="O83" s="47"/>
      <c r="P83" s="47"/>
      <c r="Q83" s="47"/>
      <c r="R83" s="47"/>
      <c r="S83" s="47"/>
      <c r="T83" s="40"/>
    </row>
    <row r="84" spans="1:21" customFormat="1" ht="38.25" hidden="1" customHeight="1">
      <c r="A84" s="42">
        <v>8</v>
      </c>
      <c r="B84" s="43">
        <v>813138</v>
      </c>
      <c r="C84" s="42">
        <v>66.7</v>
      </c>
      <c r="D84" s="42">
        <v>230</v>
      </c>
      <c r="E84" s="40" t="s">
        <v>189</v>
      </c>
      <c r="F84" s="47" t="s">
        <v>7</v>
      </c>
      <c r="G84" s="42">
        <v>1</v>
      </c>
      <c r="H84" s="61" t="s">
        <v>10</v>
      </c>
      <c r="I84" s="40" t="s">
        <v>55</v>
      </c>
      <c r="J84" s="133">
        <v>45896</v>
      </c>
      <c r="K84" s="134" t="s">
        <v>157</v>
      </c>
      <c r="L84" s="52"/>
      <c r="M84" s="63">
        <v>45899</v>
      </c>
      <c r="N84" s="49"/>
      <c r="O84" s="47"/>
      <c r="P84" s="47"/>
      <c r="Q84" s="47"/>
      <c r="R84" s="47"/>
      <c r="S84" s="47"/>
      <c r="T84" s="40"/>
    </row>
    <row r="85" spans="1:21" customFormat="1" ht="26.25" hidden="1" customHeight="1">
      <c r="A85" s="42">
        <v>41</v>
      </c>
      <c r="B85" s="43" t="s">
        <v>240</v>
      </c>
      <c r="C85" s="43">
        <v>100</v>
      </c>
      <c r="D85" s="43">
        <v>220</v>
      </c>
      <c r="E85" s="43" t="s">
        <v>241</v>
      </c>
      <c r="F85" s="43" t="s">
        <v>7</v>
      </c>
      <c r="G85" s="42">
        <v>3</v>
      </c>
      <c r="H85" s="41" t="s">
        <v>6</v>
      </c>
      <c r="I85" s="40" t="s">
        <v>55</v>
      </c>
      <c r="J85" s="73">
        <v>45898</v>
      </c>
      <c r="K85" s="49"/>
      <c r="L85" s="49"/>
      <c r="M85" s="94">
        <v>45894</v>
      </c>
      <c r="N85" s="49"/>
      <c r="O85" s="47"/>
      <c r="P85" s="47"/>
      <c r="Q85" s="47"/>
      <c r="R85" s="47"/>
      <c r="S85" s="47"/>
      <c r="T85" s="41" t="s">
        <v>246</v>
      </c>
    </row>
    <row r="86" spans="1:21" customFormat="1" ht="26.25" hidden="1" customHeight="1">
      <c r="A86" s="42">
        <v>66</v>
      </c>
      <c r="B86" s="43" t="s">
        <v>251</v>
      </c>
      <c r="C86" s="43">
        <v>334</v>
      </c>
      <c r="D86" s="43">
        <v>550</v>
      </c>
      <c r="E86" s="43" t="s">
        <v>252</v>
      </c>
      <c r="F86" s="43" t="s">
        <v>125</v>
      </c>
      <c r="G86" s="42">
        <v>3</v>
      </c>
      <c r="H86" s="41" t="s">
        <v>20</v>
      </c>
      <c r="I86" s="40" t="s">
        <v>175</v>
      </c>
      <c r="J86" s="73">
        <v>45898</v>
      </c>
      <c r="K86" s="42"/>
      <c r="L86" s="41"/>
      <c r="M86" s="43"/>
      <c r="N86" s="42"/>
      <c r="O86" s="42"/>
      <c r="P86" s="41"/>
      <c r="Q86" s="43"/>
      <c r="R86" s="42"/>
      <c r="S86" s="42"/>
      <c r="T86" s="41"/>
    </row>
    <row r="87" spans="1:21" customFormat="1" ht="26.25" hidden="1" customHeight="1">
      <c r="A87" s="42">
        <v>53</v>
      </c>
      <c r="B87" s="43">
        <v>813201</v>
      </c>
      <c r="C87" s="42">
        <v>460</v>
      </c>
      <c r="D87" s="42">
        <v>400</v>
      </c>
      <c r="E87" s="49" t="s">
        <v>233</v>
      </c>
      <c r="F87" s="47" t="s">
        <v>7</v>
      </c>
      <c r="G87" s="42">
        <v>1</v>
      </c>
      <c r="H87" s="61" t="s">
        <v>129</v>
      </c>
      <c r="I87" s="40" t="s">
        <v>42</v>
      </c>
      <c r="J87" s="73">
        <v>45905</v>
      </c>
      <c r="K87" s="49"/>
      <c r="L87" s="49"/>
      <c r="M87" s="65"/>
      <c r="N87" s="49"/>
      <c r="O87" s="47"/>
      <c r="P87" s="47"/>
      <c r="Q87" s="47"/>
      <c r="R87" s="47"/>
      <c r="S87" s="47"/>
      <c r="T87" s="40"/>
    </row>
    <row r="88" spans="1:21" customFormat="1" ht="26.25" hidden="1" customHeight="1">
      <c r="A88" s="42">
        <v>67</v>
      </c>
      <c r="B88" s="43" t="s">
        <v>249</v>
      </c>
      <c r="C88" s="43">
        <v>334</v>
      </c>
      <c r="D88" s="43">
        <v>550</v>
      </c>
      <c r="E88" s="43" t="s">
        <v>250</v>
      </c>
      <c r="F88" s="43" t="s">
        <v>125</v>
      </c>
      <c r="G88" s="42">
        <v>3</v>
      </c>
      <c r="H88" s="41" t="s">
        <v>20</v>
      </c>
      <c r="I88" s="40" t="s">
        <v>175</v>
      </c>
      <c r="J88" s="73">
        <v>45905</v>
      </c>
      <c r="K88" s="42"/>
      <c r="L88" s="41"/>
      <c r="M88" s="43"/>
      <c r="N88" s="42"/>
      <c r="O88" s="42"/>
      <c r="P88" s="41"/>
      <c r="Q88" s="43"/>
      <c r="R88" s="42"/>
      <c r="S88" s="42"/>
      <c r="T88" s="41"/>
    </row>
    <row r="89" spans="1:21" customFormat="1" ht="26.25" hidden="1" customHeight="1">
      <c r="A89" s="42">
        <v>42</v>
      </c>
      <c r="B89" s="43">
        <v>813160</v>
      </c>
      <c r="C89" s="42">
        <v>280</v>
      </c>
      <c r="D89" s="42">
        <v>400</v>
      </c>
      <c r="E89" s="40" t="s">
        <v>183</v>
      </c>
      <c r="F89" s="47" t="s">
        <v>7</v>
      </c>
      <c r="G89" s="42">
        <v>1</v>
      </c>
      <c r="H89" s="61" t="s">
        <v>6</v>
      </c>
      <c r="I89" s="40" t="s">
        <v>42</v>
      </c>
      <c r="J89" s="73">
        <v>45915</v>
      </c>
      <c r="K89" s="90">
        <v>45884</v>
      </c>
      <c r="L89" s="49"/>
      <c r="M89" s="65"/>
      <c r="N89" s="49"/>
      <c r="O89" s="47"/>
      <c r="P89" s="47"/>
      <c r="Q89" s="47"/>
      <c r="R89" s="47"/>
      <c r="S89" s="47"/>
      <c r="T89" s="95" t="s">
        <v>205</v>
      </c>
    </row>
    <row r="90" spans="1:21" customFormat="1" ht="26.25" hidden="1" customHeight="1">
      <c r="A90" s="42">
        <v>43</v>
      </c>
      <c r="B90" s="43">
        <v>813143</v>
      </c>
      <c r="C90" s="43">
        <v>60</v>
      </c>
      <c r="D90" s="43">
        <v>220</v>
      </c>
      <c r="E90" s="43" t="s">
        <v>248</v>
      </c>
      <c r="F90" s="47" t="s">
        <v>7</v>
      </c>
      <c r="G90" s="42">
        <v>1</v>
      </c>
      <c r="H90" s="61" t="s">
        <v>6</v>
      </c>
      <c r="I90" s="40" t="s">
        <v>42</v>
      </c>
      <c r="J90" s="73">
        <v>45930</v>
      </c>
      <c r="K90" s="49"/>
      <c r="L90" s="49"/>
      <c r="M90" s="65"/>
      <c r="N90" s="49"/>
      <c r="O90" s="47"/>
      <c r="P90" s="47"/>
      <c r="Q90" s="47"/>
      <c r="R90" s="47"/>
      <c r="S90" s="47"/>
      <c r="T90" s="40"/>
    </row>
    <row r="91" spans="1:21" customFormat="1" ht="26.25" customHeight="1">
      <c r="A91" s="42">
        <v>90</v>
      </c>
      <c r="B91" s="43" t="s">
        <v>229</v>
      </c>
      <c r="C91" s="42">
        <v>150</v>
      </c>
      <c r="D91" s="42">
        <v>225</v>
      </c>
      <c r="E91" s="49" t="s">
        <v>230</v>
      </c>
      <c r="F91" s="47" t="s">
        <v>7</v>
      </c>
      <c r="G91" s="42">
        <v>2</v>
      </c>
      <c r="H91" s="61" t="s">
        <v>9</v>
      </c>
      <c r="I91" s="57" t="s">
        <v>55</v>
      </c>
      <c r="J91" s="73">
        <v>45940</v>
      </c>
      <c r="K91" s="49"/>
      <c r="L91" s="49"/>
      <c r="M91" s="94">
        <v>45960</v>
      </c>
      <c r="N91" s="49"/>
      <c r="O91" s="47"/>
      <c r="P91" s="47"/>
      <c r="Q91" s="47"/>
      <c r="R91" s="47"/>
      <c r="S91" s="47"/>
      <c r="T91" s="97"/>
    </row>
    <row r="92" spans="1:21" customFormat="1" ht="26.25" hidden="1" customHeight="1">
      <c r="A92" s="42">
        <v>113</v>
      </c>
      <c r="B92" s="43">
        <v>813141</v>
      </c>
      <c r="C92" s="42">
        <v>66</v>
      </c>
      <c r="D92" s="42">
        <v>230</v>
      </c>
      <c r="E92" s="40" t="s">
        <v>189</v>
      </c>
      <c r="F92" s="47" t="s">
        <v>7</v>
      </c>
      <c r="G92" s="42">
        <v>1</v>
      </c>
      <c r="H92" s="61" t="s">
        <v>8</v>
      </c>
      <c r="I92" s="40" t="s">
        <v>55</v>
      </c>
      <c r="J92" s="148">
        <v>45930</v>
      </c>
      <c r="K92" s="52"/>
      <c r="L92" s="52"/>
      <c r="M92" s="63">
        <v>45945</v>
      </c>
      <c r="N92" s="49"/>
      <c r="O92" s="47"/>
      <c r="P92" s="47"/>
      <c r="Q92" s="47"/>
      <c r="R92" s="47"/>
      <c r="S92" s="47"/>
      <c r="T92" s="40"/>
    </row>
    <row r="93" spans="1:21" customFormat="1" ht="44.25" hidden="1" customHeight="1">
      <c r="A93" s="153">
        <v>130</v>
      </c>
      <c r="B93" s="154">
        <v>850629</v>
      </c>
      <c r="C93" s="153"/>
      <c r="D93" s="153"/>
      <c r="E93" s="155" t="s">
        <v>128</v>
      </c>
      <c r="F93" s="156" t="s">
        <v>125</v>
      </c>
      <c r="G93" s="153">
        <v>1</v>
      </c>
      <c r="H93" s="157"/>
      <c r="I93" s="183" t="s">
        <v>55</v>
      </c>
      <c r="J93" s="74">
        <v>45595</v>
      </c>
      <c r="K93" s="52"/>
      <c r="L93" s="52"/>
      <c r="M93" s="63">
        <v>45640</v>
      </c>
      <c r="N93" s="49"/>
      <c r="O93" s="47"/>
      <c r="P93" s="47"/>
      <c r="Q93" s="47"/>
      <c r="R93" s="47"/>
      <c r="S93" s="47"/>
      <c r="T93" s="97" t="s">
        <v>130</v>
      </c>
      <c r="U93" s="81"/>
    </row>
    <row r="94" spans="1:21" ht="28.5" hidden="1" customHeight="1">
      <c r="A94" s="42">
        <v>9</v>
      </c>
      <c r="B94" s="42" t="s">
        <v>78</v>
      </c>
      <c r="C94" s="42">
        <v>120</v>
      </c>
      <c r="D94" s="42">
        <v>220</v>
      </c>
      <c r="E94" s="46" t="s">
        <v>174</v>
      </c>
      <c r="F94" s="42" t="s">
        <v>7</v>
      </c>
      <c r="G94" s="42">
        <v>2</v>
      </c>
      <c r="H94" s="59" t="s">
        <v>10</v>
      </c>
      <c r="I94" s="210" t="s">
        <v>55</v>
      </c>
      <c r="J94" s="213">
        <v>45945</v>
      </c>
      <c r="K94" s="214"/>
      <c r="L94" s="214" t="s">
        <v>492</v>
      </c>
      <c r="M94" s="215"/>
      <c r="N94" s="214"/>
      <c r="O94" s="48"/>
      <c r="P94" s="48"/>
      <c r="Q94" s="48"/>
      <c r="R94" s="48"/>
      <c r="S94" s="48"/>
      <c r="T94" s="47" t="s">
        <v>157</v>
      </c>
      <c r="U94" s="216"/>
    </row>
    <row r="95" spans="1:21" ht="28.5" hidden="1" customHeight="1">
      <c r="A95" s="42">
        <v>44</v>
      </c>
      <c r="B95" s="42" t="s">
        <v>265</v>
      </c>
      <c r="C95" s="42">
        <v>175</v>
      </c>
      <c r="D95" s="42">
        <v>220</v>
      </c>
      <c r="E95" s="42" t="s">
        <v>266</v>
      </c>
      <c r="F95" s="47" t="s">
        <v>7</v>
      </c>
      <c r="G95" s="42">
        <v>2</v>
      </c>
      <c r="H95" s="217" t="s">
        <v>6</v>
      </c>
      <c r="I95" s="47" t="s">
        <v>55</v>
      </c>
      <c r="J95" s="218">
        <v>45947</v>
      </c>
      <c r="K95" s="219"/>
      <c r="L95" s="219" t="s">
        <v>492</v>
      </c>
      <c r="M95" s="220">
        <v>45947</v>
      </c>
      <c r="N95" s="219"/>
      <c r="O95" s="47"/>
      <c r="P95" s="47"/>
      <c r="Q95" s="47"/>
      <c r="R95" s="47"/>
      <c r="S95" s="47"/>
      <c r="T95" s="46" t="s">
        <v>267</v>
      </c>
    </row>
    <row r="96" spans="1:21" ht="21" hidden="1" customHeight="1">
      <c r="A96" s="42">
        <v>27</v>
      </c>
      <c r="B96" s="42">
        <v>813242</v>
      </c>
      <c r="C96" s="42">
        <v>125</v>
      </c>
      <c r="D96" s="42">
        <v>400</v>
      </c>
      <c r="E96" s="42" t="s">
        <v>256</v>
      </c>
      <c r="F96" s="47" t="s">
        <v>7</v>
      </c>
      <c r="G96" s="42">
        <v>1</v>
      </c>
      <c r="H96" s="217" t="s">
        <v>18</v>
      </c>
      <c r="I96" s="47" t="s">
        <v>42</v>
      </c>
      <c r="J96" s="218">
        <v>45950</v>
      </c>
      <c r="K96" s="219"/>
      <c r="L96" s="219" t="s">
        <v>492</v>
      </c>
      <c r="M96" s="221"/>
      <c r="N96" s="219"/>
      <c r="O96" s="47"/>
      <c r="P96" s="47"/>
      <c r="Q96" s="47"/>
      <c r="R96" s="47"/>
      <c r="S96" s="47"/>
      <c r="T96" s="47" t="s">
        <v>257</v>
      </c>
    </row>
    <row r="97" spans="1:20" ht="28.5" customHeight="1">
      <c r="A97" s="42">
        <v>91</v>
      </c>
      <c r="B97" s="42" t="s">
        <v>324</v>
      </c>
      <c r="C97" s="42">
        <v>150</v>
      </c>
      <c r="D97" s="42">
        <v>380</v>
      </c>
      <c r="E97" s="219" t="s">
        <v>231</v>
      </c>
      <c r="F97" s="47" t="s">
        <v>7</v>
      </c>
      <c r="G97" s="42">
        <v>6</v>
      </c>
      <c r="H97" s="217" t="s">
        <v>9</v>
      </c>
      <c r="I97" s="210" t="s">
        <v>55</v>
      </c>
      <c r="J97" s="222">
        <v>45955</v>
      </c>
      <c r="K97" s="219"/>
      <c r="L97" s="219" t="s">
        <v>493</v>
      </c>
      <c r="M97" s="220">
        <v>45951</v>
      </c>
      <c r="N97" s="219"/>
      <c r="O97" s="47"/>
      <c r="P97" s="47"/>
      <c r="Q97" s="47"/>
      <c r="R97" s="47"/>
      <c r="S97" s="47"/>
      <c r="T97" s="47"/>
    </row>
    <row r="98" spans="1:20" ht="26.25" hidden="1" customHeight="1">
      <c r="A98" s="42">
        <v>28</v>
      </c>
      <c r="B98" s="42" t="s">
        <v>260</v>
      </c>
      <c r="C98" s="42">
        <v>100</v>
      </c>
      <c r="D98" s="42">
        <v>230</v>
      </c>
      <c r="E98" s="42" t="s">
        <v>261</v>
      </c>
      <c r="F98" s="47" t="s">
        <v>7</v>
      </c>
      <c r="G98" s="42">
        <v>2</v>
      </c>
      <c r="H98" s="217" t="s">
        <v>18</v>
      </c>
      <c r="I98" s="47" t="s">
        <v>42</v>
      </c>
      <c r="J98" s="218">
        <v>45960</v>
      </c>
      <c r="K98" s="219"/>
      <c r="L98" s="219" t="s">
        <v>493</v>
      </c>
      <c r="M98" s="221"/>
      <c r="N98" s="219"/>
      <c r="O98" s="47"/>
      <c r="P98" s="47"/>
      <c r="Q98" s="47"/>
      <c r="R98" s="47"/>
      <c r="S98" s="47"/>
      <c r="T98" s="47"/>
    </row>
    <row r="99" spans="1:20" ht="28.5" hidden="1" customHeight="1">
      <c r="A99" s="42">
        <v>45</v>
      </c>
      <c r="B99" s="42" t="s">
        <v>235</v>
      </c>
      <c r="C99" s="42">
        <v>150</v>
      </c>
      <c r="D99" s="42">
        <v>230</v>
      </c>
      <c r="E99" s="42" t="s">
        <v>236</v>
      </c>
      <c r="F99" s="42" t="s">
        <v>7</v>
      </c>
      <c r="G99" s="47">
        <v>2</v>
      </c>
      <c r="H99" s="217" t="s">
        <v>6</v>
      </c>
      <c r="I99" s="47" t="s">
        <v>42</v>
      </c>
      <c r="J99" s="218">
        <v>45960</v>
      </c>
      <c r="K99" s="219"/>
      <c r="L99" s="219" t="s">
        <v>493</v>
      </c>
      <c r="M99" s="221"/>
      <c r="N99" s="219"/>
      <c r="O99" s="47"/>
      <c r="P99" s="47"/>
      <c r="Q99" s="47"/>
      <c r="R99" s="47"/>
      <c r="S99" s="47"/>
      <c r="T99" s="219" t="s">
        <v>242</v>
      </c>
    </row>
    <row r="100" spans="1:20" ht="28.5" hidden="1" customHeight="1">
      <c r="A100" s="42">
        <v>46</v>
      </c>
      <c r="B100" s="42">
        <v>813089</v>
      </c>
      <c r="C100" s="42">
        <v>300</v>
      </c>
      <c r="D100" s="42">
        <v>420</v>
      </c>
      <c r="E100" s="42" t="s">
        <v>140</v>
      </c>
      <c r="F100" s="42" t="s">
        <v>7</v>
      </c>
      <c r="G100" s="42">
        <v>1</v>
      </c>
      <c r="H100" s="42" t="s">
        <v>6</v>
      </c>
      <c r="I100" s="86" t="s">
        <v>55</v>
      </c>
      <c r="J100" s="218">
        <v>45960</v>
      </c>
      <c r="K100" s="219"/>
      <c r="L100" s="219"/>
      <c r="M100" s="220">
        <v>45947</v>
      </c>
      <c r="N100" s="219"/>
      <c r="O100" s="47"/>
      <c r="P100" s="47"/>
      <c r="Q100" s="47"/>
      <c r="R100" s="47"/>
      <c r="S100" s="47"/>
      <c r="T100" s="47"/>
    </row>
    <row r="101" spans="1:20" ht="28.5" customHeight="1">
      <c r="A101" s="42">
        <v>92</v>
      </c>
      <c r="B101" s="42" t="s">
        <v>325</v>
      </c>
      <c r="C101" s="42">
        <v>150</v>
      </c>
      <c r="D101" s="42">
        <v>380</v>
      </c>
      <c r="E101" s="219" t="s">
        <v>231</v>
      </c>
      <c r="F101" s="47" t="s">
        <v>7</v>
      </c>
      <c r="G101" s="42">
        <v>6</v>
      </c>
      <c r="H101" s="217" t="s">
        <v>9</v>
      </c>
      <c r="I101" s="223" t="s">
        <v>55</v>
      </c>
      <c r="J101" s="222">
        <v>45973</v>
      </c>
      <c r="K101" s="219"/>
      <c r="L101" s="219" t="s">
        <v>493</v>
      </c>
      <c r="M101" s="220"/>
      <c r="N101" s="219"/>
      <c r="O101" s="47"/>
      <c r="P101" s="47"/>
      <c r="Q101" s="47"/>
      <c r="R101" s="47"/>
      <c r="S101" s="47"/>
      <c r="T101" s="47"/>
    </row>
    <row r="102" spans="1:20" ht="28.5" hidden="1" customHeight="1">
      <c r="A102" s="42">
        <v>115</v>
      </c>
      <c r="B102" s="42">
        <v>813135</v>
      </c>
      <c r="C102" s="42">
        <v>200</v>
      </c>
      <c r="D102" s="42">
        <v>230</v>
      </c>
      <c r="E102" s="47" t="s">
        <v>189</v>
      </c>
      <c r="F102" s="47" t="s">
        <v>7</v>
      </c>
      <c r="G102" s="42">
        <v>1</v>
      </c>
      <c r="H102" s="217" t="s">
        <v>8</v>
      </c>
      <c r="I102" s="111" t="s">
        <v>55</v>
      </c>
      <c r="J102" s="218">
        <v>45973</v>
      </c>
      <c r="K102" s="224"/>
      <c r="L102" s="225"/>
      <c r="M102" s="215">
        <v>45945</v>
      </c>
      <c r="N102" s="219"/>
      <c r="O102" s="47"/>
      <c r="P102" s="47"/>
      <c r="Q102" s="47"/>
      <c r="R102" s="47"/>
      <c r="S102" s="47"/>
      <c r="T102" s="47"/>
    </row>
    <row r="103" spans="1:20" ht="28.5" hidden="1" customHeight="1">
      <c r="A103" s="42">
        <v>10</v>
      </c>
      <c r="B103" s="42">
        <v>813219</v>
      </c>
      <c r="C103" s="42">
        <v>180</v>
      </c>
      <c r="D103" s="42">
        <v>330</v>
      </c>
      <c r="E103" s="42" t="s">
        <v>269</v>
      </c>
      <c r="F103" s="47" t="s">
        <v>7</v>
      </c>
      <c r="G103" s="42">
        <v>1</v>
      </c>
      <c r="H103" s="217" t="s">
        <v>10</v>
      </c>
      <c r="I103" s="111" t="s">
        <v>175</v>
      </c>
      <c r="J103" s="218">
        <v>45976</v>
      </c>
      <c r="K103" s="219"/>
      <c r="L103" s="219"/>
      <c r="M103" s="221"/>
      <c r="N103" s="219"/>
      <c r="O103" s="47"/>
      <c r="P103" s="47"/>
      <c r="Q103" s="47"/>
      <c r="R103" s="47"/>
      <c r="S103" s="47"/>
      <c r="T103" s="47"/>
    </row>
    <row r="104" spans="1:20" ht="28.5" customHeight="1">
      <c r="A104" s="42">
        <v>93</v>
      </c>
      <c r="B104" s="42" t="s">
        <v>326</v>
      </c>
      <c r="C104" s="42">
        <v>150</v>
      </c>
      <c r="D104" s="42">
        <v>380</v>
      </c>
      <c r="E104" s="219" t="s">
        <v>231</v>
      </c>
      <c r="F104" s="47" t="s">
        <v>7</v>
      </c>
      <c r="G104" s="42">
        <v>6</v>
      </c>
      <c r="H104" s="217" t="s">
        <v>9</v>
      </c>
      <c r="I104" s="223" t="s">
        <v>55</v>
      </c>
      <c r="J104" s="222">
        <v>45981</v>
      </c>
      <c r="K104" s="219"/>
      <c r="L104" s="219"/>
      <c r="M104" s="220"/>
      <c r="N104" s="219"/>
      <c r="O104" s="47"/>
      <c r="P104" s="47"/>
      <c r="Q104" s="47"/>
      <c r="R104" s="47"/>
      <c r="S104" s="47"/>
      <c r="T104" s="47"/>
    </row>
    <row r="105" spans="1:20" ht="28.5" customHeight="1">
      <c r="A105" s="42">
        <v>114</v>
      </c>
      <c r="B105" s="59">
        <v>813183</v>
      </c>
      <c r="C105" s="59">
        <v>250</v>
      </c>
      <c r="D105" s="59">
        <v>220</v>
      </c>
      <c r="E105" s="226" t="s">
        <v>218</v>
      </c>
      <c r="F105" s="60" t="s">
        <v>7</v>
      </c>
      <c r="G105" s="59">
        <v>1</v>
      </c>
      <c r="H105" s="217" t="s">
        <v>9</v>
      </c>
      <c r="I105" s="111" t="s">
        <v>55</v>
      </c>
      <c r="J105" s="218">
        <v>45989</v>
      </c>
      <c r="K105" s="219"/>
      <c r="L105" s="219"/>
      <c r="M105" s="221"/>
      <c r="N105" s="219"/>
      <c r="O105" s="47"/>
      <c r="P105" s="47"/>
      <c r="Q105" s="47"/>
      <c r="R105" s="47"/>
      <c r="S105" s="47"/>
      <c r="T105" s="47" t="s">
        <v>219</v>
      </c>
    </row>
    <row r="106" spans="1:20" ht="28.5" hidden="1" customHeight="1">
      <c r="A106" s="42">
        <v>47</v>
      </c>
      <c r="B106" s="42">
        <v>813202</v>
      </c>
      <c r="C106" s="42">
        <v>175</v>
      </c>
      <c r="D106" s="42">
        <v>138</v>
      </c>
      <c r="E106" s="42" t="s">
        <v>268</v>
      </c>
      <c r="F106" s="47" t="s">
        <v>7</v>
      </c>
      <c r="G106" s="42">
        <v>1</v>
      </c>
      <c r="H106" s="217" t="s">
        <v>6</v>
      </c>
      <c r="I106" s="111" t="s">
        <v>42</v>
      </c>
      <c r="J106" s="218">
        <v>45991</v>
      </c>
      <c r="K106" s="219"/>
      <c r="L106" s="219"/>
      <c r="M106" s="221"/>
      <c r="N106" s="219"/>
      <c r="O106" s="47"/>
      <c r="P106" s="47"/>
      <c r="Q106" s="47"/>
      <c r="R106" s="47"/>
      <c r="S106" s="47"/>
      <c r="T106" s="47"/>
    </row>
    <row r="107" spans="1:20" ht="28.5" customHeight="1">
      <c r="A107" s="42">
        <v>131</v>
      </c>
      <c r="B107" s="42" t="s">
        <v>290</v>
      </c>
      <c r="C107" s="42">
        <v>40</v>
      </c>
      <c r="D107" s="42">
        <v>132</v>
      </c>
      <c r="E107" s="42" t="s">
        <v>231</v>
      </c>
      <c r="F107" s="47" t="s">
        <v>7</v>
      </c>
      <c r="G107" s="42">
        <v>1</v>
      </c>
      <c r="H107" s="217" t="s">
        <v>9</v>
      </c>
      <c r="I107" s="47" t="s">
        <v>55</v>
      </c>
      <c r="J107" s="218">
        <v>45996</v>
      </c>
      <c r="K107" s="219"/>
      <c r="L107" s="219"/>
      <c r="M107" s="221"/>
      <c r="N107" s="219"/>
      <c r="O107" s="47"/>
      <c r="P107" s="47"/>
      <c r="Q107" s="47"/>
      <c r="R107" s="47"/>
      <c r="S107" s="47"/>
      <c r="T107" s="47"/>
    </row>
    <row r="108" spans="1:20" ht="28.5" hidden="1" customHeight="1">
      <c r="A108" s="42">
        <v>11</v>
      </c>
      <c r="B108" s="42">
        <v>813193</v>
      </c>
      <c r="C108" s="42">
        <v>83</v>
      </c>
      <c r="D108" s="42">
        <v>110</v>
      </c>
      <c r="E108" s="219" t="s">
        <v>228</v>
      </c>
      <c r="F108" s="47" t="s">
        <v>7</v>
      </c>
      <c r="G108" s="42">
        <v>1</v>
      </c>
      <c r="H108" s="217" t="s">
        <v>10</v>
      </c>
      <c r="I108" s="210" t="s">
        <v>175</v>
      </c>
      <c r="J108" s="227">
        <v>46000</v>
      </c>
      <c r="K108" s="219"/>
      <c r="L108" s="219"/>
      <c r="M108" s="215"/>
      <c r="N108" s="219"/>
      <c r="O108" s="47"/>
      <c r="P108" s="47"/>
      <c r="Q108" s="47"/>
      <c r="R108" s="47"/>
      <c r="S108" s="47"/>
      <c r="T108" s="47"/>
    </row>
    <row r="109" spans="1:20" ht="30" customHeight="1">
      <c r="A109" s="42">
        <v>132</v>
      </c>
      <c r="B109" s="42" t="s">
        <v>327</v>
      </c>
      <c r="C109" s="42">
        <v>40</v>
      </c>
      <c r="D109" s="42">
        <v>132</v>
      </c>
      <c r="E109" s="42" t="s">
        <v>231</v>
      </c>
      <c r="F109" s="47" t="s">
        <v>7</v>
      </c>
      <c r="G109" s="42">
        <v>1</v>
      </c>
      <c r="H109" s="217" t="s">
        <v>9</v>
      </c>
      <c r="I109" s="47" t="s">
        <v>55</v>
      </c>
      <c r="J109" s="228">
        <v>46001</v>
      </c>
      <c r="K109" s="219"/>
      <c r="L109" s="219"/>
      <c r="M109" s="221"/>
      <c r="N109" s="219"/>
      <c r="O109" s="47"/>
      <c r="P109" s="47"/>
      <c r="Q109" s="47"/>
      <c r="R109" s="47"/>
      <c r="S109" s="47"/>
      <c r="T109" s="47"/>
    </row>
    <row r="110" spans="1:20" ht="30" customHeight="1">
      <c r="A110" s="42">
        <v>94</v>
      </c>
      <c r="B110" s="42">
        <v>813218</v>
      </c>
      <c r="C110" s="42">
        <v>295</v>
      </c>
      <c r="D110" s="42">
        <v>220</v>
      </c>
      <c r="E110" s="42" t="s">
        <v>247</v>
      </c>
      <c r="F110" s="47" t="s">
        <v>7</v>
      </c>
      <c r="G110" s="42">
        <v>1</v>
      </c>
      <c r="H110" s="217" t="s">
        <v>9</v>
      </c>
      <c r="I110" s="47" t="s">
        <v>55</v>
      </c>
      <c r="J110" s="218">
        <v>46006</v>
      </c>
      <c r="K110" s="219"/>
      <c r="L110" s="219"/>
      <c r="M110" s="221"/>
      <c r="N110" s="219"/>
      <c r="O110" s="47"/>
      <c r="P110" s="47"/>
      <c r="Q110" s="47"/>
      <c r="R110" s="47"/>
      <c r="S110" s="47"/>
      <c r="T110" s="47"/>
    </row>
    <row r="111" spans="1:20" ht="30" hidden="1" customHeight="1">
      <c r="A111" s="42">
        <v>115</v>
      </c>
      <c r="B111" s="42">
        <v>813136</v>
      </c>
      <c r="C111" s="42">
        <v>160</v>
      </c>
      <c r="D111" s="42">
        <v>230</v>
      </c>
      <c r="E111" s="47" t="s">
        <v>189</v>
      </c>
      <c r="F111" s="47" t="s">
        <v>7</v>
      </c>
      <c r="G111" s="42">
        <v>1</v>
      </c>
      <c r="H111" s="217" t="s">
        <v>8</v>
      </c>
      <c r="I111" s="47" t="s">
        <v>55</v>
      </c>
      <c r="J111" s="218">
        <v>46006</v>
      </c>
      <c r="K111" s="224"/>
      <c r="L111" s="225"/>
      <c r="M111" s="215">
        <v>46001</v>
      </c>
      <c r="N111" s="219"/>
      <c r="O111" s="47"/>
      <c r="P111" s="47"/>
      <c r="Q111" s="47"/>
      <c r="R111" s="47"/>
      <c r="S111" s="47"/>
      <c r="T111" s="47"/>
    </row>
    <row r="112" spans="1:20" ht="30" customHeight="1">
      <c r="A112" s="42">
        <v>133</v>
      </c>
      <c r="B112" s="42" t="s">
        <v>327</v>
      </c>
      <c r="C112" s="42">
        <v>40</v>
      </c>
      <c r="D112" s="42">
        <v>132</v>
      </c>
      <c r="E112" s="42" t="s">
        <v>231</v>
      </c>
      <c r="F112" s="47" t="s">
        <v>7</v>
      </c>
      <c r="G112" s="42">
        <v>1</v>
      </c>
      <c r="H112" s="217" t="s">
        <v>9</v>
      </c>
      <c r="I112" s="47" t="s">
        <v>55</v>
      </c>
      <c r="J112" s="218">
        <v>46006</v>
      </c>
      <c r="K112" s="219"/>
      <c r="L112" s="219"/>
      <c r="M112" s="221"/>
      <c r="N112" s="219"/>
      <c r="O112" s="47"/>
      <c r="P112" s="47"/>
      <c r="Q112" s="47"/>
      <c r="R112" s="47"/>
      <c r="S112" s="47"/>
      <c r="T112" s="47"/>
    </row>
    <row r="113" spans="1:21" ht="30" hidden="1" customHeight="1">
      <c r="A113" s="42">
        <v>12</v>
      </c>
      <c r="B113" s="42">
        <v>813142</v>
      </c>
      <c r="C113" s="42">
        <v>80</v>
      </c>
      <c r="D113" s="42">
        <v>230</v>
      </c>
      <c r="E113" s="47" t="s">
        <v>189</v>
      </c>
      <c r="F113" s="47" t="s">
        <v>7</v>
      </c>
      <c r="G113" s="42">
        <v>1</v>
      </c>
      <c r="H113" s="217" t="s">
        <v>10</v>
      </c>
      <c r="I113" s="47" t="s">
        <v>55</v>
      </c>
      <c r="J113" s="218">
        <v>46016</v>
      </c>
      <c r="K113" s="225"/>
      <c r="L113" s="225"/>
      <c r="M113" s="215">
        <v>46021</v>
      </c>
      <c r="N113" s="219"/>
      <c r="O113" s="47"/>
      <c r="P113" s="47"/>
      <c r="Q113" s="47"/>
      <c r="R113" s="47"/>
      <c r="S113" s="47"/>
      <c r="T113" s="47"/>
    </row>
    <row r="114" spans="1:21" ht="30" hidden="1" customHeight="1">
      <c r="A114" s="42">
        <v>13</v>
      </c>
      <c r="B114" s="42">
        <v>813140</v>
      </c>
      <c r="C114" s="42">
        <v>50</v>
      </c>
      <c r="D114" s="42">
        <v>230</v>
      </c>
      <c r="E114" s="47" t="s">
        <v>189</v>
      </c>
      <c r="F114" s="47" t="s">
        <v>7</v>
      </c>
      <c r="G114" s="42">
        <v>1</v>
      </c>
      <c r="H114" s="217" t="s">
        <v>10</v>
      </c>
      <c r="I114" s="47" t="s">
        <v>55</v>
      </c>
      <c r="J114" s="218">
        <v>46021</v>
      </c>
      <c r="K114" s="225"/>
      <c r="L114" s="225"/>
      <c r="M114" s="215">
        <v>46021</v>
      </c>
      <c r="N114" s="219"/>
      <c r="O114" s="47"/>
      <c r="P114" s="47"/>
      <c r="Q114" s="47"/>
      <c r="R114" s="47"/>
      <c r="S114" s="47"/>
      <c r="T114" s="47"/>
    </row>
    <row r="115" spans="1:21" ht="30" hidden="1" customHeight="1">
      <c r="A115" s="42">
        <v>125</v>
      </c>
      <c r="B115" s="42">
        <v>813139</v>
      </c>
      <c r="C115" s="42">
        <v>133</v>
      </c>
      <c r="D115" s="42">
        <v>230</v>
      </c>
      <c r="E115" s="47" t="s">
        <v>189</v>
      </c>
      <c r="F115" s="47" t="s">
        <v>7</v>
      </c>
      <c r="G115" s="42">
        <v>1</v>
      </c>
      <c r="H115" s="217" t="s">
        <v>8</v>
      </c>
      <c r="I115" s="47" t="s">
        <v>55</v>
      </c>
      <c r="J115" s="218">
        <v>46021</v>
      </c>
      <c r="K115" s="225"/>
      <c r="L115" s="225"/>
      <c r="M115" s="215">
        <v>46021</v>
      </c>
      <c r="N115" s="219"/>
      <c r="O115" s="47"/>
      <c r="P115" s="47"/>
      <c r="Q115" s="47"/>
      <c r="R115" s="47"/>
      <c r="S115" s="47"/>
      <c r="T115" s="47"/>
    </row>
    <row r="116" spans="1:21" ht="30" customHeight="1">
      <c r="A116" s="42">
        <v>95</v>
      </c>
      <c r="B116" s="42">
        <v>813186</v>
      </c>
      <c r="C116" s="42">
        <v>120</v>
      </c>
      <c r="D116" s="42">
        <v>380</v>
      </c>
      <c r="E116" s="219" t="s">
        <v>231</v>
      </c>
      <c r="F116" s="47" t="s">
        <v>7</v>
      </c>
      <c r="G116" s="42">
        <v>6</v>
      </c>
      <c r="H116" s="217" t="s">
        <v>9</v>
      </c>
      <c r="I116" s="210" t="s">
        <v>55</v>
      </c>
      <c r="J116" s="218">
        <v>46042</v>
      </c>
      <c r="K116" s="219"/>
      <c r="L116" s="219"/>
      <c r="M116" s="221"/>
      <c r="N116" s="219"/>
      <c r="O116" s="47"/>
      <c r="P116" s="47"/>
      <c r="Q116" s="47"/>
      <c r="R116" s="47"/>
      <c r="S116" s="47"/>
      <c r="T116" s="47" t="s">
        <v>232</v>
      </c>
    </row>
    <row r="117" spans="1:21" ht="30" customHeight="1">
      <c r="A117" s="42">
        <v>98</v>
      </c>
      <c r="B117" s="42">
        <v>813187</v>
      </c>
      <c r="C117" s="42">
        <v>100</v>
      </c>
      <c r="D117" s="42">
        <v>380</v>
      </c>
      <c r="E117" s="219" t="s">
        <v>231</v>
      </c>
      <c r="F117" s="47" t="s">
        <v>7</v>
      </c>
      <c r="G117" s="42">
        <v>6</v>
      </c>
      <c r="H117" s="217" t="s">
        <v>9</v>
      </c>
      <c r="I117" s="210" t="s">
        <v>55</v>
      </c>
      <c r="J117" s="218">
        <v>46052</v>
      </c>
      <c r="K117" s="219"/>
      <c r="L117" s="219"/>
      <c r="M117" s="221"/>
      <c r="N117" s="219"/>
      <c r="O117" s="47"/>
      <c r="P117" s="47"/>
      <c r="Q117" s="47"/>
      <c r="R117" s="47"/>
      <c r="S117" s="47"/>
      <c r="T117" s="47" t="s">
        <v>232</v>
      </c>
    </row>
    <row r="118" spans="1:21" ht="30" hidden="1" customHeight="1">
      <c r="A118" s="42">
        <v>126</v>
      </c>
      <c r="B118" s="42">
        <v>813223</v>
      </c>
      <c r="C118" s="42">
        <v>450</v>
      </c>
      <c r="D118" s="42">
        <v>400</v>
      </c>
      <c r="E118" s="42" t="s">
        <v>270</v>
      </c>
      <c r="F118" s="47" t="s">
        <v>7</v>
      </c>
      <c r="G118" s="42">
        <v>1</v>
      </c>
      <c r="H118" s="217" t="s">
        <v>8</v>
      </c>
      <c r="I118" s="47" t="s">
        <v>42</v>
      </c>
      <c r="J118" s="218">
        <v>46052</v>
      </c>
      <c r="K118" s="219"/>
      <c r="L118" s="219"/>
      <c r="M118" s="221"/>
      <c r="N118" s="219"/>
      <c r="O118" s="47"/>
      <c r="P118" s="47"/>
      <c r="Q118" s="47"/>
      <c r="R118" s="47"/>
      <c r="S118" s="47"/>
      <c r="T118" s="47"/>
    </row>
    <row r="119" spans="1:21" ht="30" customHeight="1">
      <c r="A119" s="42">
        <v>96</v>
      </c>
      <c r="B119" s="42">
        <v>813189</v>
      </c>
      <c r="C119" s="42">
        <v>60</v>
      </c>
      <c r="D119" s="42">
        <v>380</v>
      </c>
      <c r="E119" s="219" t="s">
        <v>231</v>
      </c>
      <c r="F119" s="47" t="s">
        <v>7</v>
      </c>
      <c r="G119" s="42">
        <v>6</v>
      </c>
      <c r="H119" s="217" t="s">
        <v>9</v>
      </c>
      <c r="I119" s="210" t="s">
        <v>55</v>
      </c>
      <c r="J119" s="218">
        <v>46065</v>
      </c>
      <c r="K119" s="219"/>
      <c r="L119" s="219"/>
      <c r="M119" s="221"/>
      <c r="N119" s="219"/>
      <c r="O119" s="47"/>
      <c r="P119" s="47"/>
      <c r="Q119" s="47"/>
      <c r="R119" s="47"/>
      <c r="S119" s="47"/>
      <c r="T119" s="47" t="s">
        <v>232</v>
      </c>
    </row>
    <row r="120" spans="1:21" ht="30" hidden="1" customHeight="1">
      <c r="A120" s="42">
        <v>29</v>
      </c>
      <c r="B120" s="42" t="s">
        <v>263</v>
      </c>
      <c r="C120" s="42" t="s">
        <v>264</v>
      </c>
      <c r="D120" s="42">
        <v>240</v>
      </c>
      <c r="E120" s="42" t="s">
        <v>261</v>
      </c>
      <c r="F120" s="47" t="s">
        <v>7</v>
      </c>
      <c r="G120" s="42">
        <v>2</v>
      </c>
      <c r="H120" s="217" t="s">
        <v>18</v>
      </c>
      <c r="I120" s="47" t="s">
        <v>42</v>
      </c>
      <c r="J120" s="218">
        <v>46073</v>
      </c>
      <c r="K120" s="219"/>
      <c r="L120" s="219"/>
      <c r="M120" s="221"/>
      <c r="N120" s="219"/>
      <c r="O120" s="47"/>
      <c r="P120" s="47"/>
      <c r="Q120" s="47"/>
      <c r="R120" s="47"/>
      <c r="S120" s="47"/>
      <c r="T120" s="46"/>
    </row>
    <row r="121" spans="1:21" ht="30" customHeight="1">
      <c r="A121" s="42">
        <v>100</v>
      </c>
      <c r="B121" s="42">
        <v>813188</v>
      </c>
      <c r="C121" s="42">
        <v>80</v>
      </c>
      <c r="D121" s="42">
        <v>380</v>
      </c>
      <c r="E121" s="219" t="s">
        <v>231</v>
      </c>
      <c r="F121" s="47" t="s">
        <v>7</v>
      </c>
      <c r="G121" s="42">
        <v>6</v>
      </c>
      <c r="H121" s="217" t="s">
        <v>9</v>
      </c>
      <c r="I121" s="210" t="s">
        <v>55</v>
      </c>
      <c r="J121" s="218">
        <v>46081</v>
      </c>
      <c r="K121" s="219"/>
      <c r="L121" s="219"/>
      <c r="M121" s="221"/>
      <c r="N121" s="219"/>
      <c r="O121" s="47"/>
      <c r="P121" s="47"/>
      <c r="Q121" s="47"/>
      <c r="R121" s="47"/>
      <c r="S121" s="47"/>
      <c r="T121" s="47" t="s">
        <v>232</v>
      </c>
    </row>
    <row r="122" spans="1:21" ht="30" customHeight="1">
      <c r="A122" s="42">
        <v>101</v>
      </c>
      <c r="B122" s="42" t="s">
        <v>258</v>
      </c>
      <c r="C122" s="42">
        <v>300</v>
      </c>
      <c r="D122" s="42">
        <v>230</v>
      </c>
      <c r="E122" s="42" t="s">
        <v>261</v>
      </c>
      <c r="F122" s="47" t="s">
        <v>7</v>
      </c>
      <c r="G122" s="42">
        <v>2</v>
      </c>
      <c r="H122" s="217" t="s">
        <v>9</v>
      </c>
      <c r="I122" s="47" t="s">
        <v>42</v>
      </c>
      <c r="J122" s="218">
        <v>46109</v>
      </c>
      <c r="K122" s="219"/>
      <c r="L122" s="219"/>
      <c r="M122" s="221"/>
      <c r="N122" s="219"/>
      <c r="O122" s="47"/>
      <c r="P122" s="47"/>
      <c r="Q122" s="47"/>
      <c r="R122" s="47"/>
      <c r="S122" s="47"/>
      <c r="T122" s="47"/>
    </row>
    <row r="123" spans="1:21" ht="30" customHeight="1">
      <c r="A123" s="42">
        <v>97</v>
      </c>
      <c r="B123" s="42" t="s">
        <v>76</v>
      </c>
      <c r="C123" s="42">
        <v>150</v>
      </c>
      <c r="D123" s="42">
        <v>400</v>
      </c>
      <c r="E123" s="46" t="s">
        <v>77</v>
      </c>
      <c r="F123" s="42" t="s">
        <v>7</v>
      </c>
      <c r="G123" s="42">
        <v>2</v>
      </c>
      <c r="H123" s="59" t="s">
        <v>9</v>
      </c>
      <c r="I123" s="210" t="s">
        <v>55</v>
      </c>
      <c r="J123" s="218">
        <v>46111</v>
      </c>
      <c r="K123" s="214"/>
      <c r="L123" s="214"/>
      <c r="M123" s="215"/>
      <c r="N123" s="214"/>
      <c r="O123" s="48"/>
      <c r="P123" s="48"/>
      <c r="Q123" s="48"/>
      <c r="R123" s="50"/>
      <c r="S123" s="48"/>
      <c r="T123" s="47"/>
      <c r="U123" s="216"/>
    </row>
    <row r="124" spans="1:21" ht="30" customHeight="1">
      <c r="A124" s="42">
        <v>102</v>
      </c>
      <c r="B124" s="42" t="s">
        <v>259</v>
      </c>
      <c r="C124" s="42">
        <v>180</v>
      </c>
      <c r="D124" s="42">
        <v>230</v>
      </c>
      <c r="E124" s="42" t="s">
        <v>261</v>
      </c>
      <c r="F124" s="47" t="s">
        <v>7</v>
      </c>
      <c r="G124" s="42">
        <v>2</v>
      </c>
      <c r="H124" s="217" t="s">
        <v>9</v>
      </c>
      <c r="I124" s="47" t="s">
        <v>42</v>
      </c>
      <c r="J124" s="218">
        <v>46142</v>
      </c>
      <c r="K124" s="219"/>
      <c r="L124" s="219"/>
      <c r="M124" s="221"/>
      <c r="N124" s="219"/>
      <c r="O124" s="47"/>
      <c r="P124" s="47"/>
      <c r="Q124" s="47"/>
      <c r="R124" s="47"/>
      <c r="S124" s="47"/>
      <c r="T124" s="47"/>
    </row>
    <row r="125" spans="1:21" customFormat="1" ht="30" hidden="1" customHeight="1">
      <c r="A125" s="42">
        <v>1</v>
      </c>
      <c r="B125" s="43">
        <v>813150</v>
      </c>
      <c r="C125" s="42">
        <v>150</v>
      </c>
      <c r="D125" s="42">
        <v>400</v>
      </c>
      <c r="E125" s="40" t="s">
        <v>191</v>
      </c>
      <c r="F125" s="47" t="s">
        <v>7</v>
      </c>
      <c r="G125" s="42">
        <v>1</v>
      </c>
      <c r="H125" s="62" t="s">
        <v>192</v>
      </c>
      <c r="I125" s="40"/>
      <c r="J125" s="44"/>
      <c r="K125" s="52"/>
      <c r="L125" s="52"/>
      <c r="M125" s="63"/>
      <c r="N125" s="49"/>
      <c r="O125" s="47"/>
      <c r="P125" s="47"/>
      <c r="Q125" s="47"/>
      <c r="R125" s="47"/>
      <c r="S125" s="47"/>
      <c r="T125" s="40"/>
    </row>
    <row r="126" spans="1:21" ht="30" hidden="1" customHeight="1">
      <c r="A126" s="42">
        <v>14</v>
      </c>
      <c r="B126" s="42" t="s">
        <v>274</v>
      </c>
      <c r="C126" s="42">
        <v>250</v>
      </c>
      <c r="D126" s="42">
        <v>330</v>
      </c>
      <c r="E126" s="42" t="s">
        <v>275</v>
      </c>
      <c r="F126" s="42" t="s">
        <v>7</v>
      </c>
      <c r="G126" s="42">
        <v>2</v>
      </c>
      <c r="H126" s="42" t="s">
        <v>10</v>
      </c>
      <c r="I126" s="42" t="s">
        <v>55</v>
      </c>
      <c r="J126" s="218">
        <v>46037</v>
      </c>
      <c r="K126" s="219"/>
      <c r="L126" s="219"/>
      <c r="M126" s="221"/>
      <c r="N126" s="219"/>
      <c r="O126" s="47"/>
      <c r="P126" s="47"/>
      <c r="Q126" s="47"/>
      <c r="R126" s="47"/>
      <c r="S126" s="47"/>
      <c r="T126" s="47"/>
    </row>
    <row r="127" spans="1:21" customFormat="1" ht="30" hidden="1" customHeight="1">
      <c r="A127" s="42">
        <v>30</v>
      </c>
      <c r="B127" s="43">
        <v>813203</v>
      </c>
      <c r="C127" s="43">
        <v>160</v>
      </c>
      <c r="D127" s="43">
        <v>400</v>
      </c>
      <c r="E127" s="43" t="s">
        <v>255</v>
      </c>
      <c r="F127" s="47" t="s">
        <v>7</v>
      </c>
      <c r="G127" s="42">
        <v>1</v>
      </c>
      <c r="H127" s="61" t="s">
        <v>18</v>
      </c>
      <c r="I127" s="40" t="s">
        <v>55</v>
      </c>
      <c r="J127" s="43"/>
      <c r="K127" s="49"/>
      <c r="L127" s="49"/>
      <c r="M127" s="65"/>
      <c r="N127" s="49"/>
      <c r="O127" s="47"/>
      <c r="P127" s="47"/>
      <c r="Q127" s="47"/>
      <c r="R127" s="47"/>
      <c r="S127" s="47"/>
      <c r="T127" s="40"/>
    </row>
    <row r="128" spans="1:21" customFormat="1" ht="30" hidden="1" customHeight="1">
      <c r="A128" s="42">
        <v>48</v>
      </c>
      <c r="B128" s="112" t="s">
        <v>202</v>
      </c>
      <c r="C128" s="113">
        <v>330</v>
      </c>
      <c r="D128" s="113">
        <v>330</v>
      </c>
      <c r="E128" s="114" t="s">
        <v>173</v>
      </c>
      <c r="F128" s="115" t="s">
        <v>7</v>
      </c>
      <c r="G128" s="116">
        <v>1</v>
      </c>
      <c r="H128" s="61" t="s">
        <v>6</v>
      </c>
      <c r="I128" s="40" t="s">
        <v>55</v>
      </c>
      <c r="J128" s="73"/>
      <c r="K128" s="134"/>
      <c r="L128" s="52"/>
      <c r="M128" s="63"/>
      <c r="N128" s="49"/>
      <c r="O128" s="47"/>
      <c r="P128" s="47"/>
      <c r="Q128" s="47"/>
      <c r="R128" s="47"/>
      <c r="S128" s="47"/>
      <c r="T128" s="40"/>
    </row>
    <row r="129" spans="1:20" customFormat="1" ht="30" hidden="1" customHeight="1">
      <c r="A129" s="42">
        <v>49</v>
      </c>
      <c r="B129" s="43" t="s">
        <v>271</v>
      </c>
      <c r="C129" s="43">
        <v>180</v>
      </c>
      <c r="D129" s="43">
        <v>345</v>
      </c>
      <c r="E129" s="43" t="s">
        <v>272</v>
      </c>
      <c r="F129" s="43" t="s">
        <v>7</v>
      </c>
      <c r="G129" s="42">
        <v>2</v>
      </c>
      <c r="H129" s="61" t="s">
        <v>6</v>
      </c>
      <c r="I129" s="40" t="s">
        <v>42</v>
      </c>
      <c r="J129" s="74"/>
      <c r="K129" s="49"/>
      <c r="L129" s="49"/>
      <c r="M129" s="65"/>
      <c r="N129" s="49"/>
      <c r="O129" s="47"/>
      <c r="P129" s="47"/>
      <c r="Q129" s="47"/>
      <c r="R129" s="47"/>
      <c r="S129" s="47"/>
      <c r="T129" s="40"/>
    </row>
    <row r="130" spans="1:20" customFormat="1" ht="30" hidden="1" customHeight="1">
      <c r="A130" s="42">
        <v>68</v>
      </c>
      <c r="B130" s="43">
        <v>850737</v>
      </c>
      <c r="C130" s="43">
        <v>180</v>
      </c>
      <c r="D130" s="43">
        <v>220</v>
      </c>
      <c r="E130" s="43" t="s">
        <v>273</v>
      </c>
      <c r="F130" s="43" t="s">
        <v>125</v>
      </c>
      <c r="G130" s="42">
        <v>1</v>
      </c>
      <c r="H130" s="43" t="s">
        <v>20</v>
      </c>
      <c r="I130" s="43" t="s">
        <v>175</v>
      </c>
      <c r="J130" s="74"/>
      <c r="K130" s="49"/>
      <c r="L130" s="49"/>
      <c r="M130" s="65"/>
      <c r="N130" s="49"/>
      <c r="O130" s="47"/>
      <c r="P130" s="47"/>
      <c r="Q130" s="47"/>
      <c r="R130" s="47"/>
      <c r="S130" s="47"/>
      <c r="T130" s="40"/>
    </row>
    <row r="131" spans="1:20" customFormat="1" ht="30" hidden="1" customHeight="1">
      <c r="A131" s="42">
        <v>76</v>
      </c>
      <c r="B131" s="43">
        <v>813149</v>
      </c>
      <c r="C131" s="42">
        <v>130</v>
      </c>
      <c r="D131" s="42">
        <v>132</v>
      </c>
      <c r="E131" s="40" t="s">
        <v>190</v>
      </c>
      <c r="F131" s="47" t="s">
        <v>7</v>
      </c>
      <c r="G131" s="42">
        <v>1</v>
      </c>
      <c r="H131" s="62" t="s">
        <v>192</v>
      </c>
      <c r="I131" s="40"/>
      <c r="J131" s="44"/>
      <c r="K131" s="52"/>
      <c r="L131" s="52"/>
      <c r="M131" s="63"/>
      <c r="N131" s="49"/>
      <c r="O131" s="47"/>
      <c r="P131" s="47"/>
      <c r="Q131" s="47"/>
      <c r="R131" s="47"/>
      <c r="S131" s="47"/>
      <c r="T131" s="40"/>
    </row>
    <row r="132" spans="1:20" customFormat="1" ht="30" hidden="1" customHeight="1">
      <c r="A132" s="42">
        <v>115</v>
      </c>
      <c r="B132" s="43" t="s">
        <v>253</v>
      </c>
      <c r="C132" s="43">
        <v>220</v>
      </c>
      <c r="D132" s="43">
        <v>220</v>
      </c>
      <c r="E132" s="43" t="s">
        <v>254</v>
      </c>
      <c r="F132" s="47" t="s">
        <v>7</v>
      </c>
      <c r="G132" s="42">
        <v>1</v>
      </c>
      <c r="H132" s="61" t="s">
        <v>9</v>
      </c>
      <c r="I132" s="40" t="s">
        <v>55</v>
      </c>
      <c r="J132" s="43"/>
      <c r="K132" s="49"/>
      <c r="L132" s="49"/>
      <c r="M132" s="65"/>
      <c r="N132" s="49"/>
      <c r="O132" s="47"/>
      <c r="P132" s="47"/>
      <c r="Q132" s="47"/>
      <c r="R132" s="47"/>
      <c r="S132" s="47"/>
      <c r="T132" s="40"/>
    </row>
    <row r="133" spans="1:20" customFormat="1" ht="30" hidden="1" customHeight="1">
      <c r="A133" s="153">
        <v>128</v>
      </c>
      <c r="B133" s="43">
        <v>850620</v>
      </c>
      <c r="C133" s="42">
        <v>150</v>
      </c>
      <c r="D133" s="42">
        <v>220</v>
      </c>
      <c r="E133" s="49" t="s">
        <v>90</v>
      </c>
      <c r="F133" s="47" t="s">
        <v>125</v>
      </c>
      <c r="G133" s="42">
        <v>1</v>
      </c>
      <c r="H133" s="61" t="s">
        <v>16</v>
      </c>
      <c r="I133" s="57" t="s">
        <v>175</v>
      </c>
      <c r="J133" s="43"/>
      <c r="K133" s="49"/>
      <c r="L133" s="49"/>
      <c r="M133" s="65"/>
      <c r="N133" s="49"/>
      <c r="O133" s="47"/>
      <c r="P133" s="47"/>
      <c r="Q133" s="47"/>
      <c r="R133" s="47"/>
      <c r="S133" s="47"/>
      <c r="T133" s="40"/>
    </row>
    <row r="134" spans="1:20" customFormat="1" ht="30" hidden="1" customHeight="1">
      <c r="A134" s="42">
        <v>129</v>
      </c>
      <c r="B134" s="43">
        <v>850621</v>
      </c>
      <c r="C134" s="42">
        <v>180</v>
      </c>
      <c r="D134" s="42">
        <v>220</v>
      </c>
      <c r="E134" s="49" t="s">
        <v>91</v>
      </c>
      <c r="F134" s="47" t="s">
        <v>125</v>
      </c>
      <c r="G134" s="42">
        <v>1</v>
      </c>
      <c r="H134" s="61" t="s">
        <v>16</v>
      </c>
      <c r="I134" s="57" t="s">
        <v>175</v>
      </c>
      <c r="J134" s="43"/>
      <c r="K134" s="49"/>
      <c r="L134" s="49"/>
      <c r="M134" s="65"/>
      <c r="N134" s="49"/>
      <c r="O134" s="47"/>
      <c r="P134" s="47"/>
      <c r="Q134" s="47"/>
      <c r="R134" s="47"/>
      <c r="S134" s="47"/>
      <c r="T134" s="40"/>
    </row>
    <row r="135" spans="1:20" ht="30" hidden="1" customHeight="1">
      <c r="A135" s="42">
        <v>134</v>
      </c>
      <c r="B135" s="42" t="s">
        <v>402</v>
      </c>
      <c r="C135" s="42">
        <v>250</v>
      </c>
      <c r="D135" s="42">
        <v>275</v>
      </c>
      <c r="E135" s="42" t="s">
        <v>403</v>
      </c>
      <c r="F135" s="42" t="s">
        <v>7</v>
      </c>
      <c r="G135" s="42">
        <v>2</v>
      </c>
      <c r="H135" s="42" t="s">
        <v>8</v>
      </c>
      <c r="I135" s="42" t="s">
        <v>42</v>
      </c>
      <c r="J135" s="218">
        <v>46038</v>
      </c>
      <c r="K135" s="219"/>
      <c r="L135" s="219"/>
      <c r="M135" s="221"/>
      <c r="N135" s="219"/>
      <c r="O135" s="47"/>
      <c r="P135" s="47"/>
      <c r="Q135" s="47"/>
      <c r="R135" s="47"/>
      <c r="S135" s="47"/>
      <c r="T135" s="47"/>
    </row>
    <row r="136" spans="1:20" customFormat="1" ht="30" hidden="1" customHeight="1">
      <c r="A136" s="42">
        <v>135</v>
      </c>
      <c r="B136" s="43">
        <v>850783</v>
      </c>
      <c r="C136" s="43">
        <v>334</v>
      </c>
      <c r="D136" s="43">
        <v>550</v>
      </c>
      <c r="E136" s="43"/>
      <c r="F136" s="43" t="s">
        <v>125</v>
      </c>
      <c r="G136" s="42">
        <v>1</v>
      </c>
      <c r="H136" s="43"/>
      <c r="I136" s="43"/>
      <c r="J136" s="74"/>
      <c r="K136" s="49"/>
      <c r="L136" s="49"/>
      <c r="M136" s="65"/>
      <c r="N136" s="49"/>
      <c r="O136" s="47"/>
      <c r="P136" s="47"/>
      <c r="Q136" s="47"/>
      <c r="R136" s="47"/>
      <c r="S136" s="47"/>
      <c r="T136" s="40"/>
    </row>
    <row r="137" spans="1:20" ht="30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218"/>
      <c r="K137" s="219"/>
      <c r="L137" s="219"/>
      <c r="M137" s="221"/>
      <c r="N137" s="219"/>
      <c r="O137" s="47"/>
      <c r="P137" s="47"/>
      <c r="Q137" s="47"/>
      <c r="R137" s="47"/>
      <c r="S137" s="47"/>
      <c r="T137" s="47"/>
    </row>
    <row r="138" spans="1:20" ht="30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218"/>
      <c r="K138" s="219"/>
      <c r="L138" s="219"/>
      <c r="M138" s="221"/>
      <c r="N138" s="219"/>
      <c r="O138" s="47"/>
      <c r="P138" s="47"/>
      <c r="Q138" s="47"/>
      <c r="R138" s="47"/>
      <c r="S138" s="47"/>
      <c r="T138" s="47"/>
    </row>
  </sheetData>
  <autoFilter ref="A2:U136" xr:uid="{B6857980-4D8F-4CF5-89FD-FEA4FEED1684}">
    <filterColumn colId="7">
      <filters>
        <filter val="郭运波"/>
      </filters>
    </filterColumn>
    <filterColumn colId="9">
      <filters>
        <dateGroupItem year="2026" dateTimeGrouping="year"/>
        <dateGroupItem year="2025" dateTimeGrouping="year"/>
      </filters>
    </filterColumn>
  </autoFilter>
  <sortState xmlns:xlrd2="http://schemas.microsoft.com/office/spreadsheetml/2017/richdata2" ref="A3:U138">
    <sortCondition ref="J1:J138"/>
  </sortState>
  <phoneticPr fontId="11" type="noConversion"/>
  <pageMargins left="0.7" right="0.7" top="0.75" bottom="0.75" header="0.3" footer="0.3"/>
  <pageSetup orientation="portrait" horizontalDpi="300" r:id="rId1"/>
  <customProperties>
    <customPr name="_pios_id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7A35-8DDF-4291-AA26-334CDC753B18}">
  <dimension ref="A1:XFD202"/>
  <sheetViews>
    <sheetView topLeftCell="A55" zoomScale="70" zoomScaleNormal="70" workbookViewId="0">
      <selection activeCell="L10" sqref="L10"/>
    </sheetView>
  </sheetViews>
  <sheetFormatPr defaultColWidth="8.86328125" defaultRowHeight="21.75" customHeight="1"/>
  <cols>
    <col min="1" max="1" width="10" style="45" bestFit="1" customWidth="1"/>
    <col min="2" max="2" width="31.59765625" style="45" customWidth="1"/>
    <col min="3" max="4" width="10.265625" style="45" customWidth="1"/>
    <col min="5" max="5" width="42" style="45" customWidth="1"/>
    <col min="6" max="6" width="6.265625" style="45" customWidth="1"/>
    <col min="7" max="7" width="9.265625" style="45" customWidth="1"/>
    <col min="8" max="8" width="13.59765625" style="178" customWidth="1"/>
    <col min="9" max="9" width="13.265625" style="45" customWidth="1"/>
    <col min="10" max="10" width="16" style="80" bestFit="1" customWidth="1"/>
    <col min="11" max="11" width="16" style="53" bestFit="1" customWidth="1"/>
    <col min="12" max="12" width="16" style="53" customWidth="1"/>
    <col min="13" max="13" width="16" style="66" bestFit="1" customWidth="1"/>
    <col min="14" max="14" width="13.265625" style="53" customWidth="1"/>
    <col min="15" max="15" width="11.265625" style="45" customWidth="1"/>
    <col min="16" max="16" width="9.265625" style="45" customWidth="1"/>
    <col min="17" max="17" width="26.265625" style="45" customWidth="1"/>
    <col min="18" max="18" width="10.265625" style="45" customWidth="1"/>
    <col min="19" max="19" width="7.265625" style="45" customWidth="1"/>
    <col min="20" max="20" width="48.19921875" style="45" customWidth="1"/>
    <col min="21" max="21" width="61.265625" style="45" customWidth="1"/>
    <col min="22" max="22" width="21.265625" style="45" customWidth="1"/>
    <col min="23" max="16384" width="8.86328125" style="45"/>
  </cols>
  <sheetData>
    <row r="1" spans="1:22" ht="21.75" customHeight="1">
      <c r="A1" s="158" t="s">
        <v>568</v>
      </c>
      <c r="B1" s="159"/>
      <c r="C1" s="159"/>
      <c r="D1" s="159"/>
      <c r="E1" s="159"/>
      <c r="F1" s="159"/>
      <c r="G1" s="159"/>
      <c r="H1" s="159"/>
      <c r="I1" s="159"/>
      <c r="J1" s="160"/>
      <c r="K1" s="159"/>
      <c r="L1" s="159"/>
      <c r="M1" s="159"/>
      <c r="N1" s="159"/>
      <c r="O1" s="159"/>
      <c r="P1" s="159"/>
      <c r="Q1" s="159"/>
      <c r="R1" s="159"/>
      <c r="S1" s="159"/>
      <c r="T1" s="161"/>
      <c r="V1" s="45" t="s">
        <v>157</v>
      </c>
    </row>
    <row r="2" spans="1:22" ht="23.25" customHeight="1">
      <c r="A2" s="162" t="s">
        <v>22</v>
      </c>
      <c r="B2" s="163" t="s">
        <v>23</v>
      </c>
      <c r="C2" s="164" t="s">
        <v>34</v>
      </c>
      <c r="D2" s="164" t="s">
        <v>35</v>
      </c>
      <c r="E2" s="162" t="s">
        <v>15</v>
      </c>
      <c r="F2" s="164" t="s">
        <v>124</v>
      </c>
      <c r="G2" s="162" t="s">
        <v>24</v>
      </c>
      <c r="H2" s="164" t="s">
        <v>214</v>
      </c>
      <c r="I2" s="164" t="s">
        <v>215</v>
      </c>
      <c r="J2" s="54" t="s">
        <v>212</v>
      </c>
      <c r="K2" s="164" t="s">
        <v>213</v>
      </c>
      <c r="L2" s="165" t="s">
        <v>131</v>
      </c>
      <c r="M2" s="164" t="s">
        <v>216</v>
      </c>
      <c r="N2" s="164" t="s">
        <v>217</v>
      </c>
      <c r="O2" s="164" t="s">
        <v>26</v>
      </c>
      <c r="P2" s="164" t="s">
        <v>27</v>
      </c>
      <c r="Q2" s="164" t="s">
        <v>28</v>
      </c>
      <c r="R2" s="164" t="s">
        <v>29</v>
      </c>
      <c r="S2" s="164" t="s">
        <v>30</v>
      </c>
      <c r="T2" s="93" t="s">
        <v>157</v>
      </c>
      <c r="U2" s="164" t="s">
        <v>279</v>
      </c>
      <c r="V2" s="45" t="s">
        <v>437</v>
      </c>
    </row>
    <row r="3" spans="1:22" ht="28.5" customHeight="1">
      <c r="A3" s="43">
        <v>6</v>
      </c>
      <c r="B3" s="43">
        <v>812845</v>
      </c>
      <c r="C3" s="43">
        <v>209</v>
      </c>
      <c r="D3" s="43">
        <v>150</v>
      </c>
      <c r="E3" s="43" t="s">
        <v>276</v>
      </c>
      <c r="F3" s="43" t="s">
        <v>7</v>
      </c>
      <c r="G3" s="43">
        <v>1</v>
      </c>
      <c r="H3" s="54" t="s">
        <v>8</v>
      </c>
      <c r="I3" s="163" t="s">
        <v>55</v>
      </c>
      <c r="J3" s="44">
        <v>45345</v>
      </c>
      <c r="K3" s="44">
        <v>45754</v>
      </c>
      <c r="L3" s="44" t="s">
        <v>277</v>
      </c>
      <c r="M3" s="63">
        <v>45345</v>
      </c>
      <c r="N3" s="63"/>
      <c r="O3" s="166"/>
      <c r="P3" s="166"/>
      <c r="Q3" s="166"/>
      <c r="R3" s="167"/>
      <c r="S3" s="166" t="s">
        <v>43</v>
      </c>
      <c r="T3" s="44" t="s">
        <v>278</v>
      </c>
      <c r="U3" s="199"/>
    </row>
    <row r="4" spans="1:22" ht="35.25" customHeight="1">
      <c r="A4" s="43">
        <v>110</v>
      </c>
      <c r="B4" s="43" t="s">
        <v>81</v>
      </c>
      <c r="C4" s="43">
        <v>550</v>
      </c>
      <c r="D4" s="43">
        <v>330</v>
      </c>
      <c r="E4" s="166" t="s">
        <v>82</v>
      </c>
      <c r="F4" s="166" t="s">
        <v>7</v>
      </c>
      <c r="G4" s="43">
        <v>2</v>
      </c>
      <c r="H4" s="54" t="s">
        <v>9</v>
      </c>
      <c r="I4" s="163" t="s">
        <v>42</v>
      </c>
      <c r="J4" s="44">
        <v>45404</v>
      </c>
      <c r="K4" s="44"/>
      <c r="L4" s="44"/>
      <c r="M4" s="63">
        <v>45412</v>
      </c>
      <c r="N4" s="63"/>
      <c r="O4" s="168" t="s">
        <v>43</v>
      </c>
      <c r="P4" s="168"/>
      <c r="Q4" s="168"/>
      <c r="R4" s="169">
        <v>3</v>
      </c>
      <c r="S4" s="168" t="s">
        <v>43</v>
      </c>
      <c r="T4" s="93" t="s">
        <v>186</v>
      </c>
      <c r="U4" s="93"/>
      <c r="V4" s="92"/>
    </row>
    <row r="5" spans="1:22" ht="35.25" customHeight="1">
      <c r="A5" s="43">
        <v>111</v>
      </c>
      <c r="B5" s="43">
        <v>812947</v>
      </c>
      <c r="C5" s="43">
        <v>340</v>
      </c>
      <c r="D5" s="43">
        <v>330</v>
      </c>
      <c r="E5" s="166" t="s">
        <v>75</v>
      </c>
      <c r="F5" s="43" t="s">
        <v>7</v>
      </c>
      <c r="G5" s="43">
        <v>1</v>
      </c>
      <c r="H5" s="54" t="s">
        <v>9</v>
      </c>
      <c r="I5" s="163" t="s">
        <v>42</v>
      </c>
      <c r="J5" s="44">
        <v>45412</v>
      </c>
      <c r="K5" s="44"/>
      <c r="L5" s="44"/>
      <c r="M5" s="63">
        <v>45412</v>
      </c>
      <c r="N5" s="63"/>
      <c r="O5" s="168"/>
      <c r="P5" s="168"/>
      <c r="Q5" s="168"/>
      <c r="R5" s="167"/>
      <c r="S5" s="168"/>
      <c r="T5" s="93" t="s">
        <v>221</v>
      </c>
      <c r="U5" s="93"/>
    </row>
    <row r="6" spans="1:22" ht="28.5" customHeight="1">
      <c r="A6" s="43">
        <v>112</v>
      </c>
      <c r="B6" s="43">
        <v>812925</v>
      </c>
      <c r="C6" s="43">
        <v>400</v>
      </c>
      <c r="D6" s="43">
        <v>400</v>
      </c>
      <c r="E6" s="166" t="s">
        <v>85</v>
      </c>
      <c r="F6" s="166" t="s">
        <v>7</v>
      </c>
      <c r="G6" s="43">
        <v>1</v>
      </c>
      <c r="H6" s="54" t="s">
        <v>9</v>
      </c>
      <c r="I6" s="163" t="s">
        <v>55</v>
      </c>
      <c r="J6" s="44">
        <v>45436</v>
      </c>
      <c r="K6" s="44"/>
      <c r="L6" s="44"/>
      <c r="M6" s="63">
        <v>45436</v>
      </c>
      <c r="N6" s="63"/>
      <c r="O6" s="93"/>
      <c r="P6" s="93"/>
      <c r="Q6" s="93"/>
      <c r="R6" s="93"/>
      <c r="S6" s="93"/>
      <c r="T6" s="44" t="s">
        <v>121</v>
      </c>
      <c r="U6" s="93"/>
    </row>
    <row r="7" spans="1:22" s="53" customFormat="1" ht="28.5" customHeight="1">
      <c r="A7" s="43">
        <v>113</v>
      </c>
      <c r="B7" s="43" t="s">
        <v>110</v>
      </c>
      <c r="C7" s="43">
        <v>160</v>
      </c>
      <c r="D7" s="43">
        <v>132</v>
      </c>
      <c r="E7" s="43" t="s">
        <v>111</v>
      </c>
      <c r="F7" s="43" t="s">
        <v>7</v>
      </c>
      <c r="G7" s="43">
        <v>3</v>
      </c>
      <c r="H7" s="54" t="s">
        <v>9</v>
      </c>
      <c r="I7" s="163" t="s">
        <v>55</v>
      </c>
      <c r="J7" s="44">
        <v>45460</v>
      </c>
      <c r="K7" s="44">
        <v>45583</v>
      </c>
      <c r="L7" s="44" t="s">
        <v>132</v>
      </c>
      <c r="M7" s="63">
        <v>45454</v>
      </c>
      <c r="N7" s="63">
        <v>45583</v>
      </c>
      <c r="O7" s="166" t="s">
        <v>116</v>
      </c>
      <c r="P7" s="166" t="s">
        <v>43</v>
      </c>
      <c r="Q7" s="166" t="s">
        <v>117</v>
      </c>
      <c r="R7" s="167">
        <v>3</v>
      </c>
      <c r="S7" s="166"/>
      <c r="T7" s="44" t="s">
        <v>122</v>
      </c>
      <c r="U7" s="93"/>
      <c r="V7" s="45"/>
    </row>
    <row r="8" spans="1:22" ht="35.25" customHeight="1">
      <c r="A8" s="43">
        <v>114</v>
      </c>
      <c r="B8" s="43" t="s">
        <v>59</v>
      </c>
      <c r="C8" s="43">
        <v>140</v>
      </c>
      <c r="D8" s="43">
        <v>230</v>
      </c>
      <c r="E8" s="43" t="s">
        <v>60</v>
      </c>
      <c r="F8" s="43" t="s">
        <v>7</v>
      </c>
      <c r="G8" s="43">
        <v>2</v>
      </c>
      <c r="H8" s="54" t="s">
        <v>9</v>
      </c>
      <c r="I8" s="163" t="s">
        <v>55</v>
      </c>
      <c r="J8" s="44">
        <v>45483</v>
      </c>
      <c r="K8" s="44">
        <v>45510</v>
      </c>
      <c r="L8" s="44" t="s">
        <v>132</v>
      </c>
      <c r="M8" s="63">
        <v>45483</v>
      </c>
      <c r="N8" s="63">
        <v>45513</v>
      </c>
      <c r="O8" s="168"/>
      <c r="P8" s="168"/>
      <c r="Q8" s="168"/>
      <c r="R8" s="167"/>
      <c r="S8" s="168"/>
      <c r="T8" s="93" t="s">
        <v>227</v>
      </c>
      <c r="U8" s="93"/>
    </row>
    <row r="9" spans="1:22" ht="33.75" customHeight="1">
      <c r="A9" s="43">
        <v>115</v>
      </c>
      <c r="B9" s="43">
        <v>812963</v>
      </c>
      <c r="C9" s="43">
        <v>250</v>
      </c>
      <c r="D9" s="43">
        <v>400</v>
      </c>
      <c r="E9" s="43" t="s">
        <v>56</v>
      </c>
      <c r="F9" s="43" t="s">
        <v>7</v>
      </c>
      <c r="G9" s="43">
        <v>1</v>
      </c>
      <c r="H9" s="54" t="s">
        <v>9</v>
      </c>
      <c r="I9" s="163" t="s">
        <v>42</v>
      </c>
      <c r="J9" s="44">
        <v>45485</v>
      </c>
      <c r="K9" s="44"/>
      <c r="L9" s="44" t="s">
        <v>132</v>
      </c>
      <c r="M9" s="63">
        <v>45488</v>
      </c>
      <c r="N9" s="63"/>
      <c r="O9" s="168"/>
      <c r="P9" s="168"/>
      <c r="Q9" s="168"/>
      <c r="R9" s="167"/>
      <c r="S9" s="168"/>
      <c r="T9" s="166" t="s">
        <v>165</v>
      </c>
      <c r="U9" s="93"/>
    </row>
    <row r="10" spans="1:22" ht="21.75" customHeight="1">
      <c r="A10" s="43">
        <v>96</v>
      </c>
      <c r="B10" s="43" t="s">
        <v>102</v>
      </c>
      <c r="C10" s="43">
        <v>334</v>
      </c>
      <c r="D10" s="43">
        <v>500</v>
      </c>
      <c r="E10" s="43" t="s">
        <v>103</v>
      </c>
      <c r="F10" s="43" t="s">
        <v>125</v>
      </c>
      <c r="G10" s="43">
        <v>3</v>
      </c>
      <c r="H10" s="54" t="s">
        <v>20</v>
      </c>
      <c r="I10" s="163" t="s">
        <v>55</v>
      </c>
      <c r="J10" s="44">
        <v>45493</v>
      </c>
      <c r="K10" s="44"/>
      <c r="L10" s="44" t="s">
        <v>132</v>
      </c>
      <c r="M10" s="63">
        <v>45504</v>
      </c>
      <c r="N10" s="63"/>
      <c r="O10" s="166"/>
      <c r="P10" s="166"/>
      <c r="Q10" s="166"/>
      <c r="R10" s="166"/>
      <c r="S10" s="166"/>
      <c r="T10" s="93" t="s">
        <v>123</v>
      </c>
      <c r="U10" s="93"/>
    </row>
    <row r="11" spans="1:22" ht="15.75">
      <c r="A11" s="43">
        <v>21</v>
      </c>
      <c r="B11" s="43">
        <v>812976</v>
      </c>
      <c r="C11" s="43">
        <v>160</v>
      </c>
      <c r="D11" s="43">
        <v>400</v>
      </c>
      <c r="E11" s="43" t="s">
        <v>57</v>
      </c>
      <c r="F11" s="43" t="s">
        <v>7</v>
      </c>
      <c r="G11" s="43">
        <v>1</v>
      </c>
      <c r="H11" s="54" t="s">
        <v>18</v>
      </c>
      <c r="I11" s="163" t="s">
        <v>42</v>
      </c>
      <c r="J11" s="44">
        <v>45504</v>
      </c>
      <c r="K11" s="44">
        <v>45537</v>
      </c>
      <c r="L11" s="44" t="s">
        <v>132</v>
      </c>
      <c r="M11" s="44">
        <v>45519</v>
      </c>
      <c r="N11" s="63">
        <v>45545</v>
      </c>
      <c r="O11" s="168"/>
      <c r="P11" s="168"/>
      <c r="Q11" s="168"/>
      <c r="R11" s="167"/>
      <c r="S11" s="168"/>
      <c r="T11" s="93" t="s">
        <v>33</v>
      </c>
      <c r="U11" s="93"/>
    </row>
    <row r="12" spans="1:22" ht="28.5" customHeight="1">
      <c r="A12" s="43">
        <v>92</v>
      </c>
      <c r="B12" s="43" t="s">
        <v>68</v>
      </c>
      <c r="C12" s="43">
        <v>240</v>
      </c>
      <c r="D12" s="43">
        <v>220</v>
      </c>
      <c r="E12" s="43" t="s">
        <v>69</v>
      </c>
      <c r="F12" s="43" t="s">
        <v>125</v>
      </c>
      <c r="G12" s="43">
        <v>2</v>
      </c>
      <c r="H12" s="54" t="s">
        <v>70</v>
      </c>
      <c r="I12" s="163" t="s">
        <v>42</v>
      </c>
      <c r="J12" s="44">
        <v>45513</v>
      </c>
      <c r="K12" s="44"/>
      <c r="L12" s="44" t="s">
        <v>132</v>
      </c>
      <c r="M12" s="63">
        <v>45523</v>
      </c>
      <c r="N12" s="63"/>
      <c r="O12" s="168"/>
      <c r="P12" s="168"/>
      <c r="Q12" s="168"/>
      <c r="R12" s="167"/>
      <c r="S12" s="168"/>
      <c r="T12" s="166" t="s">
        <v>104</v>
      </c>
      <c r="U12" s="93"/>
    </row>
    <row r="13" spans="1:22" ht="21.75" customHeight="1">
      <c r="A13" s="43">
        <v>116</v>
      </c>
      <c r="B13" s="43">
        <v>812978</v>
      </c>
      <c r="C13" s="43">
        <v>250</v>
      </c>
      <c r="D13" s="43">
        <v>400</v>
      </c>
      <c r="E13" s="170" t="s">
        <v>108</v>
      </c>
      <c r="F13" s="43" t="s">
        <v>7</v>
      </c>
      <c r="G13" s="43">
        <v>1</v>
      </c>
      <c r="H13" s="54" t="s">
        <v>9</v>
      </c>
      <c r="I13" s="163" t="s">
        <v>42</v>
      </c>
      <c r="J13" s="44">
        <v>45522</v>
      </c>
      <c r="K13" s="44">
        <v>45538</v>
      </c>
      <c r="L13" s="44" t="s">
        <v>132</v>
      </c>
      <c r="M13" s="63">
        <v>45528</v>
      </c>
      <c r="N13" s="63">
        <v>45538</v>
      </c>
      <c r="O13" s="166"/>
      <c r="P13" s="166"/>
      <c r="Q13" s="166"/>
      <c r="R13" s="166"/>
      <c r="S13" s="166"/>
      <c r="T13" s="166" t="s">
        <v>144</v>
      </c>
      <c r="U13" s="49"/>
      <c r="V13" s="92"/>
    </row>
    <row r="14" spans="1:22" ht="21.75" customHeight="1">
      <c r="A14" s="43">
        <v>23</v>
      </c>
      <c r="B14" s="43">
        <v>812975</v>
      </c>
      <c r="C14" s="43">
        <v>125</v>
      </c>
      <c r="D14" s="43">
        <v>400</v>
      </c>
      <c r="E14" s="43" t="s">
        <v>57</v>
      </c>
      <c r="F14" s="43" t="s">
        <v>7</v>
      </c>
      <c r="G14" s="43">
        <v>1</v>
      </c>
      <c r="H14" s="54" t="s">
        <v>18</v>
      </c>
      <c r="I14" s="163" t="s">
        <v>42</v>
      </c>
      <c r="J14" s="44">
        <v>45532</v>
      </c>
      <c r="K14" s="44">
        <v>45545</v>
      </c>
      <c r="L14" s="44" t="s">
        <v>132</v>
      </c>
      <c r="M14" s="63">
        <v>45547</v>
      </c>
      <c r="N14" s="63">
        <v>45545</v>
      </c>
      <c r="O14" s="168"/>
      <c r="P14" s="168"/>
      <c r="Q14" s="168"/>
      <c r="R14" s="167"/>
      <c r="S14" s="168"/>
      <c r="T14" s="166" t="s">
        <v>109</v>
      </c>
      <c r="U14" s="93"/>
    </row>
    <row r="15" spans="1:22" ht="15.75">
      <c r="A15" s="43">
        <v>25</v>
      </c>
      <c r="B15" s="43">
        <v>812995</v>
      </c>
      <c r="C15" s="43">
        <v>290</v>
      </c>
      <c r="D15" s="43">
        <v>132</v>
      </c>
      <c r="E15" s="43" t="s">
        <v>98</v>
      </c>
      <c r="F15" s="43"/>
      <c r="G15" s="43">
        <v>1</v>
      </c>
      <c r="H15" s="54" t="s">
        <v>18</v>
      </c>
      <c r="I15" s="163" t="s">
        <v>42</v>
      </c>
      <c r="J15" s="44">
        <v>45547</v>
      </c>
      <c r="K15" s="44"/>
      <c r="L15" s="44" t="s">
        <v>132</v>
      </c>
      <c r="M15" s="63">
        <v>45559</v>
      </c>
      <c r="N15" s="63"/>
      <c r="O15" s="166"/>
      <c r="P15" s="166"/>
      <c r="Q15" s="166"/>
      <c r="R15" s="166"/>
      <c r="S15" s="166"/>
      <c r="T15" s="166" t="s">
        <v>97</v>
      </c>
      <c r="U15" s="93"/>
      <c r="V15" s="92"/>
    </row>
    <row r="16" spans="1:22" ht="21.75" customHeight="1">
      <c r="A16" s="43">
        <v>130</v>
      </c>
      <c r="B16" s="43" t="s">
        <v>51</v>
      </c>
      <c r="C16" s="43">
        <v>450</v>
      </c>
      <c r="D16" s="43">
        <v>400</v>
      </c>
      <c r="E16" s="166" t="s">
        <v>52</v>
      </c>
      <c r="F16" s="43" t="s">
        <v>7</v>
      </c>
      <c r="G16" s="43">
        <v>3</v>
      </c>
      <c r="H16" s="54" t="s">
        <v>8</v>
      </c>
      <c r="I16" s="163" t="s">
        <v>42</v>
      </c>
      <c r="J16" s="44">
        <v>45555</v>
      </c>
      <c r="K16" s="44"/>
      <c r="L16" s="44" t="s">
        <v>133</v>
      </c>
      <c r="M16" s="63">
        <v>45593</v>
      </c>
      <c r="N16" s="63"/>
      <c r="O16" s="166"/>
      <c r="P16" s="166"/>
      <c r="Q16" s="166"/>
      <c r="R16" s="167">
        <v>1</v>
      </c>
      <c r="S16" s="166"/>
      <c r="T16" s="93" t="s">
        <v>137</v>
      </c>
      <c r="U16" s="93"/>
    </row>
    <row r="17" spans="1:22" ht="28.5" customHeight="1">
      <c r="A17" s="43">
        <v>117</v>
      </c>
      <c r="B17" s="43" t="s">
        <v>112</v>
      </c>
      <c r="C17" s="43">
        <v>334</v>
      </c>
      <c r="D17" s="43">
        <v>500</v>
      </c>
      <c r="E17" s="43" t="s">
        <v>113</v>
      </c>
      <c r="F17" s="43" t="s">
        <v>7</v>
      </c>
      <c r="G17" s="43">
        <v>10</v>
      </c>
      <c r="H17" s="54" t="s">
        <v>9</v>
      </c>
      <c r="I17" s="163" t="s">
        <v>55</v>
      </c>
      <c r="J17" s="44">
        <v>45571</v>
      </c>
      <c r="K17" s="44"/>
      <c r="L17" s="44" t="s">
        <v>132</v>
      </c>
      <c r="M17" s="63">
        <v>45595</v>
      </c>
      <c r="N17" s="63"/>
      <c r="O17" s="166"/>
      <c r="P17" s="166"/>
      <c r="Q17" s="166"/>
      <c r="R17" s="166"/>
      <c r="S17" s="166" t="s">
        <v>43</v>
      </c>
      <c r="T17" s="65" t="s">
        <v>136</v>
      </c>
      <c r="U17" s="93"/>
    </row>
    <row r="18" spans="1:22" ht="35.25" customHeight="1">
      <c r="A18" s="43">
        <v>118</v>
      </c>
      <c r="B18" s="43" t="s">
        <v>105</v>
      </c>
      <c r="C18" s="43">
        <v>150</v>
      </c>
      <c r="D18" s="43">
        <v>400</v>
      </c>
      <c r="E18" s="43" t="s">
        <v>106</v>
      </c>
      <c r="F18" s="43" t="s">
        <v>7</v>
      </c>
      <c r="G18" s="43">
        <v>3</v>
      </c>
      <c r="H18" s="54" t="s">
        <v>9</v>
      </c>
      <c r="I18" s="163" t="s">
        <v>55</v>
      </c>
      <c r="J18" s="44">
        <v>45593</v>
      </c>
      <c r="K18" s="44"/>
      <c r="L18" s="44" t="s">
        <v>132</v>
      </c>
      <c r="M18" s="63">
        <v>45596</v>
      </c>
      <c r="N18" s="63"/>
      <c r="O18" s="166"/>
      <c r="P18" s="166"/>
      <c r="Q18" s="166"/>
      <c r="R18" s="166" t="s">
        <v>119</v>
      </c>
      <c r="S18" s="166"/>
      <c r="T18" s="93" t="s">
        <v>141</v>
      </c>
      <c r="U18" s="93"/>
    </row>
    <row r="19" spans="1:22" ht="35.25" customHeight="1">
      <c r="A19" s="43">
        <v>27</v>
      </c>
      <c r="B19" s="43">
        <v>813020</v>
      </c>
      <c r="C19" s="43">
        <v>100</v>
      </c>
      <c r="D19" s="43">
        <v>400</v>
      </c>
      <c r="E19" s="43" t="s">
        <v>114</v>
      </c>
      <c r="F19" s="43" t="s">
        <v>7</v>
      </c>
      <c r="G19" s="43">
        <v>2</v>
      </c>
      <c r="H19" s="54" t="s">
        <v>18</v>
      </c>
      <c r="I19" s="163" t="s">
        <v>42</v>
      </c>
      <c r="J19" s="44">
        <v>45595</v>
      </c>
      <c r="K19" s="44">
        <v>45610</v>
      </c>
      <c r="L19" s="44" t="s">
        <v>133</v>
      </c>
      <c r="M19" s="63">
        <v>45596</v>
      </c>
      <c r="N19" s="63">
        <v>45610</v>
      </c>
      <c r="O19" s="166"/>
      <c r="P19" s="166"/>
      <c r="Q19" s="166"/>
      <c r="R19" s="166"/>
      <c r="S19" s="166"/>
      <c r="T19" s="166" t="s">
        <v>107</v>
      </c>
      <c r="U19" s="93"/>
    </row>
    <row r="20" spans="1:22" ht="15.75" customHeight="1">
      <c r="A20" s="43">
        <v>2</v>
      </c>
      <c r="B20" s="43">
        <v>813000</v>
      </c>
      <c r="C20" s="43">
        <v>170</v>
      </c>
      <c r="D20" s="43">
        <v>150</v>
      </c>
      <c r="E20" s="43" t="s">
        <v>65</v>
      </c>
      <c r="F20" s="43" t="s">
        <v>7</v>
      </c>
      <c r="G20" s="43">
        <v>1</v>
      </c>
      <c r="H20" s="54" t="s">
        <v>10</v>
      </c>
      <c r="I20" s="163" t="s">
        <v>55</v>
      </c>
      <c r="J20" s="44">
        <v>45596</v>
      </c>
      <c r="K20" s="44"/>
      <c r="L20" s="44" t="s">
        <v>133</v>
      </c>
      <c r="M20" s="63">
        <v>45606</v>
      </c>
      <c r="N20" s="63"/>
      <c r="O20" s="168"/>
      <c r="P20" s="168"/>
      <c r="Q20" s="168"/>
      <c r="R20" s="167"/>
      <c r="S20" s="168"/>
      <c r="T20" s="166" t="s">
        <v>120</v>
      </c>
      <c r="U20" s="93"/>
    </row>
    <row r="21" spans="1:22" ht="21.75" customHeight="1">
      <c r="A21" s="43">
        <v>141</v>
      </c>
      <c r="B21" s="43" t="s">
        <v>99</v>
      </c>
      <c r="C21" s="43">
        <v>200</v>
      </c>
      <c r="D21" s="43">
        <v>220</v>
      </c>
      <c r="E21" s="43" t="s">
        <v>100</v>
      </c>
      <c r="F21" s="43" t="s">
        <v>7</v>
      </c>
      <c r="G21" s="43">
        <v>2</v>
      </c>
      <c r="H21" s="54" t="s">
        <v>16</v>
      </c>
      <c r="I21" s="163" t="s">
        <v>55</v>
      </c>
      <c r="J21" s="44">
        <v>45596</v>
      </c>
      <c r="K21" s="44"/>
      <c r="L21" s="204" t="s">
        <v>157</v>
      </c>
      <c r="M21" s="63">
        <v>45615</v>
      </c>
      <c r="N21" s="63">
        <v>45632</v>
      </c>
      <c r="O21" s="166"/>
      <c r="P21" s="166"/>
      <c r="Q21" s="166"/>
      <c r="R21" s="166"/>
      <c r="S21" s="166"/>
      <c r="T21" s="171" t="s">
        <v>115</v>
      </c>
      <c r="U21" s="93"/>
    </row>
    <row r="22" spans="1:22" ht="35.25" customHeight="1">
      <c r="A22" s="43">
        <v>142</v>
      </c>
      <c r="B22" s="43">
        <v>813023</v>
      </c>
      <c r="C22" s="43">
        <v>200</v>
      </c>
      <c r="D22" s="43">
        <v>231</v>
      </c>
      <c r="E22" s="43" t="s">
        <v>58</v>
      </c>
      <c r="F22" s="43" t="s">
        <v>7</v>
      </c>
      <c r="G22" s="43">
        <v>1</v>
      </c>
      <c r="H22" s="54" t="s">
        <v>16</v>
      </c>
      <c r="I22" s="163" t="s">
        <v>42</v>
      </c>
      <c r="J22" s="44">
        <v>45606</v>
      </c>
      <c r="K22" s="44"/>
      <c r="L22" s="44" t="s">
        <v>132</v>
      </c>
      <c r="M22" s="63">
        <v>45616</v>
      </c>
      <c r="N22" s="63"/>
      <c r="O22" s="168"/>
      <c r="P22" s="168"/>
      <c r="Q22" s="168"/>
      <c r="R22" s="167"/>
      <c r="S22" s="168"/>
      <c r="T22" s="166"/>
      <c r="U22" s="93"/>
    </row>
    <row r="23" spans="1:22" ht="35.25" customHeight="1">
      <c r="A23" s="43">
        <v>4</v>
      </c>
      <c r="B23" s="43">
        <v>813036</v>
      </c>
      <c r="C23" s="43">
        <v>310</v>
      </c>
      <c r="D23" s="43">
        <v>220</v>
      </c>
      <c r="E23" s="43" t="s">
        <v>101</v>
      </c>
      <c r="F23" s="43" t="s">
        <v>125</v>
      </c>
      <c r="G23" s="43">
        <v>1</v>
      </c>
      <c r="H23" s="54" t="s">
        <v>10</v>
      </c>
      <c r="I23" s="163" t="s">
        <v>42</v>
      </c>
      <c r="J23" s="44">
        <v>45610</v>
      </c>
      <c r="K23" s="44"/>
      <c r="L23" s="44" t="s">
        <v>132</v>
      </c>
      <c r="M23" s="63">
        <v>45616</v>
      </c>
      <c r="N23" s="63"/>
      <c r="O23" s="166" t="s">
        <v>43</v>
      </c>
      <c r="P23" s="166" t="s">
        <v>43</v>
      </c>
      <c r="Q23" s="166" t="s">
        <v>44</v>
      </c>
      <c r="R23" s="166"/>
      <c r="S23" s="166" t="s">
        <v>43</v>
      </c>
      <c r="T23" s="93"/>
      <c r="U23" s="199" t="s">
        <v>172</v>
      </c>
      <c r="V23" s="92"/>
    </row>
    <row r="24" spans="1:22" ht="35.25" customHeight="1">
      <c r="A24" s="43">
        <v>29</v>
      </c>
      <c r="B24" s="43">
        <v>813016</v>
      </c>
      <c r="C24" s="43">
        <v>100</v>
      </c>
      <c r="D24" s="43">
        <v>400</v>
      </c>
      <c r="E24" s="43" t="s">
        <v>64</v>
      </c>
      <c r="F24" s="43" t="s">
        <v>7</v>
      </c>
      <c r="G24" s="43">
        <v>1</v>
      </c>
      <c r="H24" s="54" t="s">
        <v>18</v>
      </c>
      <c r="I24" s="163" t="s">
        <v>55</v>
      </c>
      <c r="J24" s="72">
        <v>45616</v>
      </c>
      <c r="K24" s="72"/>
      <c r="L24" s="44" t="s">
        <v>132</v>
      </c>
      <c r="M24" s="44">
        <v>45635</v>
      </c>
      <c r="N24" s="63"/>
      <c r="O24" s="168"/>
      <c r="P24" s="168"/>
      <c r="Q24" s="168"/>
      <c r="R24" s="167"/>
      <c r="S24" s="168"/>
      <c r="T24" s="166"/>
      <c r="U24" s="93"/>
    </row>
    <row r="25" spans="1:22" ht="28.5" customHeight="1">
      <c r="A25" s="43">
        <v>94</v>
      </c>
      <c r="B25" s="43">
        <v>812838</v>
      </c>
      <c r="C25" s="43">
        <v>334</v>
      </c>
      <c r="D25" s="43">
        <v>500</v>
      </c>
      <c r="E25" s="43" t="s">
        <v>96</v>
      </c>
      <c r="F25" s="43" t="s">
        <v>125</v>
      </c>
      <c r="G25" s="43">
        <v>1</v>
      </c>
      <c r="H25" s="54" t="s">
        <v>70</v>
      </c>
      <c r="I25" s="163" t="s">
        <v>42</v>
      </c>
      <c r="J25" s="44">
        <v>45616</v>
      </c>
      <c r="K25" s="44">
        <v>45628</v>
      </c>
      <c r="L25" s="52"/>
      <c r="M25" s="63">
        <v>45644</v>
      </c>
      <c r="N25" s="63"/>
      <c r="O25" s="166"/>
      <c r="P25" s="166"/>
      <c r="Q25" s="166"/>
      <c r="R25" s="166"/>
      <c r="S25" s="166"/>
      <c r="T25" s="93"/>
      <c r="U25" s="93"/>
    </row>
    <row r="26" spans="1:22" ht="21.75" customHeight="1">
      <c r="A26" s="43">
        <v>131</v>
      </c>
      <c r="B26" s="43" t="s">
        <v>54</v>
      </c>
      <c r="C26" s="43">
        <v>83.3</v>
      </c>
      <c r="D26" s="43">
        <v>400</v>
      </c>
      <c r="E26" s="43" t="s">
        <v>17</v>
      </c>
      <c r="F26" s="43" t="s">
        <v>7</v>
      </c>
      <c r="G26" s="43">
        <v>29</v>
      </c>
      <c r="H26" s="54" t="s">
        <v>8</v>
      </c>
      <c r="I26" s="163" t="s">
        <v>55</v>
      </c>
      <c r="J26" s="44">
        <v>45616</v>
      </c>
      <c r="K26" s="44"/>
      <c r="L26" s="44" t="s">
        <v>132</v>
      </c>
      <c r="M26" s="63">
        <v>45648</v>
      </c>
      <c r="N26" s="63"/>
      <c r="O26" s="168"/>
      <c r="P26" s="168"/>
      <c r="Q26" s="168"/>
      <c r="R26" s="167">
        <v>1</v>
      </c>
      <c r="S26" s="168"/>
      <c r="T26" s="93"/>
      <c r="U26" s="93"/>
    </row>
    <row r="27" spans="1:22" ht="21.75" customHeight="1">
      <c r="A27" s="43">
        <v>143</v>
      </c>
      <c r="B27" s="43" t="s">
        <v>63</v>
      </c>
      <c r="C27" s="43">
        <v>250</v>
      </c>
      <c r="D27" s="43">
        <v>400</v>
      </c>
      <c r="E27" s="43" t="s">
        <v>64</v>
      </c>
      <c r="F27" s="43" t="s">
        <v>7</v>
      </c>
      <c r="G27" s="43">
        <v>3</v>
      </c>
      <c r="H27" s="54" t="s">
        <v>16</v>
      </c>
      <c r="I27" s="163" t="s">
        <v>55</v>
      </c>
      <c r="J27" s="72">
        <v>45616</v>
      </c>
      <c r="K27" s="72"/>
      <c r="L27" s="44" t="s">
        <v>138</v>
      </c>
      <c r="M27" s="63">
        <v>45668</v>
      </c>
      <c r="N27" s="63"/>
      <c r="O27" s="168"/>
      <c r="P27" s="168"/>
      <c r="Q27" s="168"/>
      <c r="R27" s="167"/>
      <c r="S27" s="168"/>
      <c r="T27" s="166"/>
      <c r="U27" s="93"/>
    </row>
    <row r="28" spans="1:22" ht="28.5" customHeight="1">
      <c r="A28" s="43">
        <v>148</v>
      </c>
      <c r="B28" s="43">
        <v>813035</v>
      </c>
      <c r="C28" s="43">
        <v>120</v>
      </c>
      <c r="D28" s="43">
        <v>400</v>
      </c>
      <c r="E28" s="43" t="s">
        <v>49</v>
      </c>
      <c r="F28" s="43" t="s">
        <v>7</v>
      </c>
      <c r="G28" s="43">
        <v>1</v>
      </c>
      <c r="H28" s="54" t="s">
        <v>126</v>
      </c>
      <c r="I28" s="163" t="s">
        <v>42</v>
      </c>
      <c r="J28" s="44">
        <v>45637</v>
      </c>
      <c r="K28" s="44"/>
      <c r="L28" s="72" t="s">
        <v>132</v>
      </c>
      <c r="M28" s="63">
        <v>45672</v>
      </c>
      <c r="N28" s="63"/>
      <c r="O28" s="166"/>
      <c r="P28" s="166"/>
      <c r="Q28" s="166"/>
      <c r="R28" s="167"/>
      <c r="S28" s="166"/>
      <c r="T28" s="166"/>
      <c r="U28" s="93"/>
      <c r="V28" s="80"/>
    </row>
    <row r="29" spans="1:22" ht="21.75" customHeight="1">
      <c r="A29" s="43">
        <v>98</v>
      </c>
      <c r="B29" s="54">
        <v>850652</v>
      </c>
      <c r="C29" s="43">
        <v>50</v>
      </c>
      <c r="D29" s="43">
        <v>110</v>
      </c>
      <c r="E29" s="93" t="s">
        <v>86</v>
      </c>
      <c r="F29" s="93" t="s">
        <v>125</v>
      </c>
      <c r="G29" s="43">
        <v>1</v>
      </c>
      <c r="H29" s="54" t="s">
        <v>20</v>
      </c>
      <c r="I29" s="163" t="s">
        <v>55</v>
      </c>
      <c r="J29" s="44">
        <v>45641</v>
      </c>
      <c r="K29" s="52"/>
      <c r="L29" s="72" t="s">
        <v>133</v>
      </c>
      <c r="M29" s="63">
        <v>45672</v>
      </c>
      <c r="N29" s="49"/>
      <c r="O29" s="93"/>
      <c r="P29" s="93"/>
      <c r="Q29" s="93"/>
      <c r="R29" s="93"/>
      <c r="S29" s="93"/>
      <c r="T29" s="166"/>
      <c r="U29" s="93"/>
    </row>
    <row r="30" spans="1:22" ht="28.5" customHeight="1">
      <c r="A30" s="43">
        <v>132</v>
      </c>
      <c r="B30" s="43" t="s">
        <v>127</v>
      </c>
      <c r="C30" s="43">
        <v>250</v>
      </c>
      <c r="D30" s="43">
        <v>275</v>
      </c>
      <c r="E30" s="43" t="s">
        <v>41</v>
      </c>
      <c r="F30" s="43" t="s">
        <v>7</v>
      </c>
      <c r="G30" s="43">
        <v>2</v>
      </c>
      <c r="H30" s="54" t="s">
        <v>8</v>
      </c>
      <c r="I30" s="163" t="s">
        <v>42</v>
      </c>
      <c r="J30" s="44">
        <v>45641</v>
      </c>
      <c r="K30" s="44"/>
      <c r="L30" s="52"/>
      <c r="M30" s="63">
        <v>45672</v>
      </c>
      <c r="N30" s="63"/>
      <c r="O30" s="166"/>
      <c r="P30" s="166" t="s">
        <v>43</v>
      </c>
      <c r="Q30" s="166" t="s">
        <v>44</v>
      </c>
      <c r="R30" s="167">
        <v>1</v>
      </c>
      <c r="S30" s="166"/>
      <c r="T30" s="166"/>
      <c r="U30" s="93"/>
    </row>
    <row r="31" spans="1:22" ht="67.5" customHeight="1">
      <c r="A31" s="43">
        <v>119</v>
      </c>
      <c r="B31" s="43" t="s">
        <v>46</v>
      </c>
      <c r="C31" s="43">
        <v>250</v>
      </c>
      <c r="D31" s="43">
        <v>220</v>
      </c>
      <c r="E31" s="43" t="s">
        <v>47</v>
      </c>
      <c r="F31" s="43" t="s">
        <v>7</v>
      </c>
      <c r="G31" s="43">
        <v>3</v>
      </c>
      <c r="H31" s="54" t="s">
        <v>9</v>
      </c>
      <c r="I31" s="163" t="s">
        <v>42</v>
      </c>
      <c r="J31" s="44">
        <v>45649</v>
      </c>
      <c r="K31" s="44"/>
      <c r="L31" s="204"/>
      <c r="M31" s="63">
        <v>45677</v>
      </c>
      <c r="N31" s="44"/>
      <c r="O31" s="166"/>
      <c r="P31" s="166"/>
      <c r="Q31" s="166"/>
      <c r="R31" s="167"/>
      <c r="S31" s="166"/>
      <c r="T31" s="166"/>
      <c r="U31" s="93"/>
    </row>
    <row r="32" spans="1:22" ht="35.25" customHeight="1">
      <c r="A32" s="43">
        <v>97</v>
      </c>
      <c r="B32" s="43" t="s">
        <v>135</v>
      </c>
      <c r="C32" s="43">
        <v>334</v>
      </c>
      <c r="D32" s="43">
        <v>550</v>
      </c>
      <c r="E32" s="43" t="s">
        <v>151</v>
      </c>
      <c r="F32" s="93" t="s">
        <v>125</v>
      </c>
      <c r="G32" s="43">
        <v>3</v>
      </c>
      <c r="H32" s="172" t="s">
        <v>20</v>
      </c>
      <c r="I32" s="163" t="s">
        <v>55</v>
      </c>
      <c r="J32" s="44">
        <v>45651</v>
      </c>
      <c r="K32" s="52"/>
      <c r="L32" s="204" t="s">
        <v>138</v>
      </c>
      <c r="M32" s="63">
        <v>45678</v>
      </c>
      <c r="N32" s="49"/>
      <c r="O32" s="93"/>
      <c r="P32" s="93"/>
      <c r="Q32" s="93"/>
      <c r="R32" s="93"/>
      <c r="S32" s="93"/>
      <c r="T32" s="166"/>
      <c r="U32" s="93"/>
    </row>
    <row r="33" spans="1:22" ht="21.75" customHeight="1">
      <c r="A33" s="43">
        <v>45</v>
      </c>
      <c r="B33" s="43">
        <v>813063</v>
      </c>
      <c r="C33" s="43">
        <v>220</v>
      </c>
      <c r="D33" s="43">
        <v>154</v>
      </c>
      <c r="E33" s="166" t="s">
        <v>87</v>
      </c>
      <c r="F33" s="166" t="s">
        <v>7</v>
      </c>
      <c r="G33" s="43">
        <v>1</v>
      </c>
      <c r="H33" s="93" t="s">
        <v>6</v>
      </c>
      <c r="I33" s="163" t="s">
        <v>42</v>
      </c>
      <c r="J33" s="44">
        <v>45656</v>
      </c>
      <c r="K33" s="52"/>
      <c r="L33" s="204"/>
      <c r="M33" s="63">
        <v>45680</v>
      </c>
      <c r="N33" s="49"/>
      <c r="O33" s="93"/>
      <c r="P33" s="93"/>
      <c r="Q33" s="93"/>
      <c r="R33" s="93"/>
      <c r="S33" s="93"/>
      <c r="T33" s="166"/>
      <c r="U33" s="93"/>
    </row>
    <row r="34" spans="1:22" ht="35.25" customHeight="1">
      <c r="A34" s="43">
        <v>79</v>
      </c>
      <c r="B34" s="43" t="s">
        <v>83</v>
      </c>
      <c r="C34" s="43">
        <v>300</v>
      </c>
      <c r="D34" s="43">
        <v>410</v>
      </c>
      <c r="E34" s="166" t="s">
        <v>84</v>
      </c>
      <c r="F34" s="166" t="s">
        <v>7</v>
      </c>
      <c r="G34" s="43">
        <v>3</v>
      </c>
      <c r="H34" s="93" t="s">
        <v>129</v>
      </c>
      <c r="I34" s="163" t="s">
        <v>55</v>
      </c>
      <c r="J34" s="44">
        <v>45670</v>
      </c>
      <c r="K34" s="44"/>
      <c r="L34" s="204" t="s">
        <v>157</v>
      </c>
      <c r="M34" s="63">
        <v>45681</v>
      </c>
      <c r="N34" s="63"/>
      <c r="O34" s="93"/>
      <c r="P34" s="93"/>
      <c r="Q34" s="93"/>
      <c r="R34" s="93"/>
      <c r="S34" s="93"/>
      <c r="T34" s="166"/>
      <c r="U34" s="199" t="s">
        <v>170</v>
      </c>
    </row>
    <row r="35" spans="1:22" ht="21.75" customHeight="1">
      <c r="A35" s="43">
        <v>133</v>
      </c>
      <c r="B35" s="43" t="s">
        <v>88</v>
      </c>
      <c r="C35" s="43">
        <v>300</v>
      </c>
      <c r="D35" s="43">
        <v>275</v>
      </c>
      <c r="E35" s="43" t="s">
        <v>89</v>
      </c>
      <c r="F35" s="43" t="s">
        <v>7</v>
      </c>
      <c r="G35" s="43">
        <v>2</v>
      </c>
      <c r="H35" s="93" t="s">
        <v>8</v>
      </c>
      <c r="I35" s="163" t="s">
        <v>55</v>
      </c>
      <c r="J35" s="44">
        <v>45671</v>
      </c>
      <c r="K35" s="52"/>
      <c r="L35" s="52"/>
      <c r="M35" s="63">
        <v>45709</v>
      </c>
      <c r="N35" s="49"/>
      <c r="O35" s="93"/>
      <c r="P35" s="166" t="s">
        <v>43</v>
      </c>
      <c r="Q35" s="166" t="s">
        <v>44</v>
      </c>
      <c r="R35" s="167">
        <v>1</v>
      </c>
      <c r="S35" s="93"/>
      <c r="T35" s="166"/>
      <c r="U35" s="200" t="s">
        <v>171</v>
      </c>
    </row>
    <row r="36" spans="1:22" ht="28.5" customHeight="1">
      <c r="A36" s="43">
        <v>47</v>
      </c>
      <c r="B36" s="43">
        <v>813005</v>
      </c>
      <c r="C36" s="43">
        <v>510</v>
      </c>
      <c r="D36" s="43">
        <v>525</v>
      </c>
      <c r="E36" s="166" t="s">
        <v>74</v>
      </c>
      <c r="F36" s="43" t="s">
        <v>7</v>
      </c>
      <c r="G36" s="43">
        <v>1</v>
      </c>
      <c r="H36" s="93" t="s">
        <v>6</v>
      </c>
      <c r="I36" s="93" t="s">
        <v>42</v>
      </c>
      <c r="J36" s="44">
        <v>45672</v>
      </c>
      <c r="K36" s="44"/>
      <c r="L36" s="204"/>
      <c r="M36" s="63">
        <v>45712</v>
      </c>
      <c r="N36" s="44"/>
      <c r="O36" s="168"/>
      <c r="P36" s="168"/>
      <c r="Q36" s="168"/>
      <c r="R36" s="167"/>
      <c r="S36" s="168"/>
      <c r="T36" s="166"/>
      <c r="U36" s="200" t="s">
        <v>168</v>
      </c>
    </row>
    <row r="37" spans="1:22" ht="28.5" customHeight="1">
      <c r="A37" s="43">
        <v>120</v>
      </c>
      <c r="B37" s="43" t="s">
        <v>71</v>
      </c>
      <c r="C37" s="43">
        <v>175</v>
      </c>
      <c r="D37" s="43">
        <v>220</v>
      </c>
      <c r="E37" s="43" t="s">
        <v>47</v>
      </c>
      <c r="F37" s="43" t="s">
        <v>7</v>
      </c>
      <c r="G37" s="43">
        <v>2</v>
      </c>
      <c r="H37" s="93" t="s">
        <v>9</v>
      </c>
      <c r="I37" s="93" t="s">
        <v>42</v>
      </c>
      <c r="J37" s="44">
        <v>45672</v>
      </c>
      <c r="K37" s="44"/>
      <c r="L37" s="204"/>
      <c r="M37" s="63">
        <v>45721</v>
      </c>
      <c r="N37" s="44"/>
      <c r="O37" s="168"/>
      <c r="P37" s="168"/>
      <c r="Q37" s="168"/>
      <c r="R37" s="167"/>
      <c r="S37" s="168"/>
      <c r="T37" s="166"/>
      <c r="U37" s="49"/>
    </row>
    <row r="38" spans="1:22" ht="21.75" customHeight="1">
      <c r="A38" s="43">
        <v>134</v>
      </c>
      <c r="B38" s="43">
        <v>813062</v>
      </c>
      <c r="C38" s="43">
        <v>150</v>
      </c>
      <c r="D38" s="43">
        <v>220</v>
      </c>
      <c r="E38" s="43" t="s">
        <v>53</v>
      </c>
      <c r="F38" s="43" t="s">
        <v>7</v>
      </c>
      <c r="G38" s="43">
        <v>1</v>
      </c>
      <c r="H38" s="93" t="s">
        <v>8</v>
      </c>
      <c r="I38" s="163" t="s">
        <v>42</v>
      </c>
      <c r="J38" s="44">
        <v>45672</v>
      </c>
      <c r="K38" s="44"/>
      <c r="L38" s="204"/>
      <c r="M38" s="63">
        <v>45742</v>
      </c>
      <c r="N38" s="44"/>
      <c r="O38" s="168"/>
      <c r="P38" s="168"/>
      <c r="Q38" s="168"/>
      <c r="R38" s="167">
        <v>1</v>
      </c>
      <c r="S38" s="168"/>
      <c r="T38" s="166"/>
      <c r="U38" s="49"/>
    </row>
    <row r="39" spans="1:22" ht="26.25" customHeight="1">
      <c r="A39" s="43">
        <v>7</v>
      </c>
      <c r="B39" s="43" t="s">
        <v>145</v>
      </c>
      <c r="C39" s="43">
        <v>300</v>
      </c>
      <c r="D39" s="43">
        <v>220</v>
      </c>
      <c r="E39" s="43" t="s">
        <v>146</v>
      </c>
      <c r="F39" s="93" t="s">
        <v>7</v>
      </c>
      <c r="G39" s="43">
        <v>2</v>
      </c>
      <c r="H39" s="93" t="s">
        <v>10</v>
      </c>
      <c r="I39" s="93" t="s">
        <v>55</v>
      </c>
      <c r="J39" s="44">
        <v>45680</v>
      </c>
      <c r="K39" s="52">
        <v>45689</v>
      </c>
      <c r="L39" s="204"/>
      <c r="M39" s="63">
        <v>45756</v>
      </c>
      <c r="N39" s="49"/>
      <c r="O39" s="93"/>
      <c r="P39" s="93"/>
      <c r="Q39" s="93"/>
      <c r="R39" s="93"/>
      <c r="S39" s="93"/>
      <c r="T39" s="166"/>
      <c r="U39" s="173"/>
    </row>
    <row r="40" spans="1:22" ht="21.75" customHeight="1">
      <c r="A40" s="43">
        <v>104</v>
      </c>
      <c r="B40" s="43">
        <v>813071</v>
      </c>
      <c r="C40" s="43">
        <v>180</v>
      </c>
      <c r="D40" s="43">
        <v>220</v>
      </c>
      <c r="E40" s="49" t="s">
        <v>134</v>
      </c>
      <c r="F40" s="93" t="s">
        <v>125</v>
      </c>
      <c r="G40" s="43">
        <v>1</v>
      </c>
      <c r="H40" s="93" t="s">
        <v>20</v>
      </c>
      <c r="I40" s="163" t="s">
        <v>175</v>
      </c>
      <c r="J40" s="44">
        <v>45680</v>
      </c>
      <c r="K40" s="52"/>
      <c r="L40" s="204"/>
      <c r="M40" s="63">
        <v>45756</v>
      </c>
      <c r="N40" s="63">
        <v>45741</v>
      </c>
      <c r="O40" s="93"/>
      <c r="P40" s="93"/>
      <c r="Q40" s="93"/>
      <c r="R40" s="93"/>
      <c r="S40" s="93"/>
      <c r="T40" s="93"/>
      <c r="U40" s="93"/>
    </row>
    <row r="41" spans="1:22" ht="48.75" customHeight="1">
      <c r="A41" s="43">
        <v>49</v>
      </c>
      <c r="B41" s="43" t="s">
        <v>61</v>
      </c>
      <c r="C41" s="43">
        <v>125</v>
      </c>
      <c r="D41" s="43">
        <v>275</v>
      </c>
      <c r="E41" s="43" t="s">
        <v>62</v>
      </c>
      <c r="F41" s="43" t="s">
        <v>7</v>
      </c>
      <c r="G41" s="43">
        <v>4</v>
      </c>
      <c r="H41" s="93" t="s">
        <v>6</v>
      </c>
      <c r="I41" s="163" t="s">
        <v>55</v>
      </c>
      <c r="J41" s="44">
        <v>45683</v>
      </c>
      <c r="K41" s="44"/>
      <c r="L41" s="204"/>
      <c r="M41" s="63">
        <v>45758</v>
      </c>
      <c r="N41" s="44"/>
      <c r="O41" s="168"/>
      <c r="P41" s="168"/>
      <c r="Q41" s="168"/>
      <c r="R41" s="167"/>
      <c r="S41" s="168"/>
      <c r="T41" s="173"/>
      <c r="U41" s="200" t="s">
        <v>167</v>
      </c>
      <c r="V41" s="80"/>
    </row>
    <row r="42" spans="1:22" ht="23.25" customHeight="1">
      <c r="A42" s="43">
        <v>144</v>
      </c>
      <c r="B42" s="54">
        <v>850469</v>
      </c>
      <c r="C42" s="43">
        <v>180</v>
      </c>
      <c r="D42" s="43">
        <v>220</v>
      </c>
      <c r="E42" s="166" t="s">
        <v>50</v>
      </c>
      <c r="F42" s="166" t="s">
        <v>125</v>
      </c>
      <c r="G42" s="43">
        <v>1</v>
      </c>
      <c r="H42" s="93" t="s">
        <v>16</v>
      </c>
      <c r="I42" s="163" t="s">
        <v>55</v>
      </c>
      <c r="J42" s="73">
        <v>45683</v>
      </c>
      <c r="K42" s="44"/>
      <c r="L42" s="204" t="s">
        <v>138</v>
      </c>
      <c r="M42" s="63">
        <v>45762</v>
      </c>
      <c r="N42" s="44"/>
      <c r="O42" s="166"/>
      <c r="P42" s="166"/>
      <c r="Q42" s="166"/>
      <c r="R42" s="167"/>
      <c r="S42" s="166"/>
      <c r="T42" s="166"/>
      <c r="U42" s="173"/>
    </row>
    <row r="43" spans="1:22" ht="23.25" customHeight="1">
      <c r="A43" s="43">
        <v>31</v>
      </c>
      <c r="B43" s="43">
        <v>850622</v>
      </c>
      <c r="C43" s="43">
        <v>150</v>
      </c>
      <c r="D43" s="43">
        <v>220</v>
      </c>
      <c r="E43" s="49" t="s">
        <v>92</v>
      </c>
      <c r="F43" s="93" t="s">
        <v>125</v>
      </c>
      <c r="G43" s="43">
        <v>1</v>
      </c>
      <c r="H43" s="93" t="s">
        <v>18</v>
      </c>
      <c r="I43" s="163" t="s">
        <v>175</v>
      </c>
      <c r="J43" s="44">
        <v>45695</v>
      </c>
      <c r="K43" s="52"/>
      <c r="L43" s="204"/>
      <c r="M43" s="63">
        <v>45763</v>
      </c>
      <c r="N43" s="63">
        <v>45716</v>
      </c>
      <c r="O43" s="93"/>
      <c r="P43" s="93"/>
      <c r="Q43" s="93"/>
      <c r="R43" s="93"/>
      <c r="S43" s="93"/>
      <c r="T43" s="93"/>
      <c r="U43" s="173"/>
    </row>
    <row r="44" spans="1:22" ht="21.75" customHeight="1">
      <c r="A44" s="43">
        <v>135</v>
      </c>
      <c r="B44" s="43">
        <v>898866</v>
      </c>
      <c r="C44" s="43" t="s">
        <v>94</v>
      </c>
      <c r="D44" s="43"/>
      <c r="E44" s="43" t="s">
        <v>95</v>
      </c>
      <c r="F44" s="43" t="s">
        <v>125</v>
      </c>
      <c r="G44" s="43">
        <v>1</v>
      </c>
      <c r="H44" s="93" t="s">
        <v>8</v>
      </c>
      <c r="I44" s="163" t="s">
        <v>55</v>
      </c>
      <c r="J44" s="44">
        <v>45714</v>
      </c>
      <c r="K44" s="44"/>
      <c r="L44" s="204"/>
      <c r="M44" s="63">
        <v>45772</v>
      </c>
      <c r="N44" s="44"/>
      <c r="O44" s="166"/>
      <c r="P44" s="166"/>
      <c r="Q44" s="166"/>
      <c r="R44" s="167">
        <v>5</v>
      </c>
      <c r="S44" s="166"/>
      <c r="T44" s="166"/>
      <c r="U44" s="173"/>
    </row>
    <row r="45" spans="1:22" ht="28.5" customHeight="1">
      <c r="A45" s="43">
        <v>90</v>
      </c>
      <c r="B45" s="43" t="s">
        <v>166</v>
      </c>
      <c r="C45" s="43">
        <v>240</v>
      </c>
      <c r="D45" s="43">
        <v>220</v>
      </c>
      <c r="E45" s="93" t="s">
        <v>79</v>
      </c>
      <c r="F45" s="93" t="s">
        <v>125</v>
      </c>
      <c r="G45" s="43">
        <v>2</v>
      </c>
      <c r="H45" s="93" t="s">
        <v>80</v>
      </c>
      <c r="I45" s="52" t="s">
        <v>175</v>
      </c>
      <c r="J45" s="73">
        <v>45723</v>
      </c>
      <c r="K45" s="44"/>
      <c r="L45" s="204" t="s">
        <v>138</v>
      </c>
      <c r="M45" s="63">
        <v>45775</v>
      </c>
      <c r="N45" s="44"/>
      <c r="O45" s="168"/>
      <c r="P45" s="168"/>
      <c r="Q45" s="168"/>
      <c r="R45" s="168"/>
      <c r="S45" s="168"/>
      <c r="T45" s="166"/>
      <c r="U45" s="173"/>
      <c r="V45" s="92"/>
    </row>
    <row r="46" spans="1:22" ht="21.75" customHeight="1">
      <c r="A46" s="43">
        <v>103</v>
      </c>
      <c r="B46" s="43" t="s">
        <v>178</v>
      </c>
      <c r="C46" s="43">
        <v>334</v>
      </c>
      <c r="D46" s="43">
        <v>500</v>
      </c>
      <c r="E46" s="43" t="s">
        <v>179</v>
      </c>
      <c r="F46" s="93" t="s">
        <v>125</v>
      </c>
      <c r="G46" s="43">
        <v>3</v>
      </c>
      <c r="H46" s="93" t="s">
        <v>20</v>
      </c>
      <c r="I46" s="163" t="s">
        <v>55</v>
      </c>
      <c r="J46" s="73">
        <v>45733</v>
      </c>
      <c r="K46" s="134"/>
      <c r="L46" s="204" t="s">
        <v>138</v>
      </c>
      <c r="M46" s="63">
        <v>45783</v>
      </c>
      <c r="N46" s="49"/>
      <c r="O46" s="93"/>
      <c r="P46" s="93"/>
      <c r="Q46" s="93"/>
      <c r="R46" s="93"/>
      <c r="S46" s="93"/>
      <c r="T46" s="93"/>
      <c r="U46" s="93"/>
    </row>
    <row r="47" spans="1:22" ht="28.5" customHeight="1">
      <c r="A47" s="43">
        <v>104</v>
      </c>
      <c r="B47" s="43" t="s">
        <v>180</v>
      </c>
      <c r="C47" s="43">
        <v>334</v>
      </c>
      <c r="D47" s="43">
        <v>500</v>
      </c>
      <c r="E47" s="43" t="s">
        <v>181</v>
      </c>
      <c r="F47" s="93" t="s">
        <v>125</v>
      </c>
      <c r="G47" s="43">
        <v>3</v>
      </c>
      <c r="H47" s="93" t="s">
        <v>20</v>
      </c>
      <c r="I47" s="163" t="s">
        <v>175</v>
      </c>
      <c r="J47" s="73">
        <v>45743</v>
      </c>
      <c r="K47" s="134"/>
      <c r="L47" s="204"/>
      <c r="M47" s="63">
        <v>45787</v>
      </c>
      <c r="N47" s="49"/>
      <c r="O47" s="93"/>
      <c r="P47" s="93"/>
      <c r="Q47" s="93"/>
      <c r="R47" s="93"/>
      <c r="S47" s="93"/>
      <c r="T47" s="93"/>
      <c r="U47" s="93"/>
    </row>
    <row r="48" spans="1:22" ht="28.5" customHeight="1">
      <c r="A48" s="43">
        <v>121</v>
      </c>
      <c r="B48" s="43">
        <v>813107</v>
      </c>
      <c r="C48" s="43">
        <v>250</v>
      </c>
      <c r="D48" s="43">
        <v>275</v>
      </c>
      <c r="E48" s="49" t="s">
        <v>152</v>
      </c>
      <c r="F48" s="93" t="s">
        <v>7</v>
      </c>
      <c r="G48" s="43">
        <v>1</v>
      </c>
      <c r="H48" s="93" t="s">
        <v>9</v>
      </c>
      <c r="I48" s="93" t="s">
        <v>42</v>
      </c>
      <c r="J48" s="44">
        <v>45746</v>
      </c>
      <c r="K48" s="134"/>
      <c r="L48" s="204"/>
      <c r="M48" s="63">
        <v>45793</v>
      </c>
      <c r="N48" s="49"/>
      <c r="O48" s="93"/>
      <c r="P48" s="93"/>
      <c r="Q48" s="93"/>
      <c r="R48" s="93"/>
      <c r="S48" s="93"/>
      <c r="T48" s="166"/>
      <c r="U48" s="93"/>
      <c r="V48" s="92"/>
    </row>
    <row r="49" spans="1:22" ht="28.5" customHeight="1">
      <c r="A49" s="43">
        <v>145</v>
      </c>
      <c r="B49" s="43" t="s">
        <v>193</v>
      </c>
      <c r="C49" s="43">
        <v>180</v>
      </c>
      <c r="D49" s="43">
        <v>220</v>
      </c>
      <c r="E49" s="43" t="s">
        <v>194</v>
      </c>
      <c r="F49" s="93" t="s">
        <v>125</v>
      </c>
      <c r="G49" s="43">
        <v>2</v>
      </c>
      <c r="H49" s="93" t="s">
        <v>16</v>
      </c>
      <c r="I49" s="93" t="s">
        <v>175</v>
      </c>
      <c r="J49" s="73">
        <v>45755</v>
      </c>
      <c r="K49" s="52"/>
      <c r="L49" s="204"/>
      <c r="M49" s="63">
        <v>45800</v>
      </c>
      <c r="N49" s="90">
        <v>45833</v>
      </c>
      <c r="O49" s="93"/>
      <c r="P49" s="93"/>
      <c r="Q49" s="93"/>
      <c r="R49" s="93"/>
      <c r="S49" s="93"/>
      <c r="T49" s="93"/>
      <c r="U49" s="93"/>
      <c r="V49" s="92"/>
    </row>
    <row r="50" spans="1:22" ht="21.75" customHeight="1">
      <c r="A50" s="43">
        <v>146</v>
      </c>
      <c r="B50" s="43" t="s">
        <v>176</v>
      </c>
      <c r="C50" s="43">
        <v>140</v>
      </c>
      <c r="D50" s="43">
        <v>230</v>
      </c>
      <c r="E50" s="43" t="s">
        <v>177</v>
      </c>
      <c r="F50" s="93" t="s">
        <v>7</v>
      </c>
      <c r="G50" s="43">
        <v>4</v>
      </c>
      <c r="H50" s="93" t="s">
        <v>16</v>
      </c>
      <c r="I50" s="93" t="s">
        <v>55</v>
      </c>
      <c r="J50" s="73">
        <v>45757</v>
      </c>
      <c r="K50" s="134"/>
      <c r="L50" s="204"/>
      <c r="M50" s="63">
        <v>45803</v>
      </c>
      <c r="N50" s="49"/>
      <c r="O50" s="93"/>
      <c r="P50" s="93"/>
      <c r="Q50" s="93"/>
      <c r="R50" s="93"/>
      <c r="S50" s="93"/>
      <c r="T50" s="93"/>
      <c r="U50" s="93"/>
    </row>
    <row r="51" spans="1:22" ht="28.5" customHeight="1">
      <c r="A51" s="43">
        <v>32</v>
      </c>
      <c r="B51" s="43" t="s">
        <v>185</v>
      </c>
      <c r="C51" s="43">
        <v>160</v>
      </c>
      <c r="D51" s="43">
        <v>400</v>
      </c>
      <c r="E51" s="43" t="s">
        <v>187</v>
      </c>
      <c r="F51" s="93" t="s">
        <v>7</v>
      </c>
      <c r="G51" s="43">
        <v>2</v>
      </c>
      <c r="H51" s="93" t="s">
        <v>18</v>
      </c>
      <c r="I51" s="93" t="s">
        <v>42</v>
      </c>
      <c r="J51" s="73">
        <v>45762</v>
      </c>
      <c r="K51" s="134"/>
      <c r="L51" s="204"/>
      <c r="M51" s="63">
        <v>45819</v>
      </c>
      <c r="N51" s="49"/>
      <c r="O51" s="93"/>
      <c r="P51" s="93"/>
      <c r="Q51" s="93"/>
      <c r="R51" s="93"/>
      <c r="S51" s="93"/>
      <c r="T51" s="93"/>
      <c r="U51" s="93"/>
      <c r="V51" s="92"/>
    </row>
    <row r="52" spans="1:22" ht="28.5" customHeight="1">
      <c r="A52" s="43">
        <v>51</v>
      </c>
      <c r="B52" s="43" t="s">
        <v>139</v>
      </c>
      <c r="C52" s="43">
        <v>300</v>
      </c>
      <c r="D52" s="43">
        <v>420</v>
      </c>
      <c r="E52" s="43" t="s">
        <v>140</v>
      </c>
      <c r="F52" s="93" t="s">
        <v>7</v>
      </c>
      <c r="G52" s="43">
        <v>6</v>
      </c>
      <c r="H52" s="93" t="s">
        <v>6</v>
      </c>
      <c r="I52" s="93" t="s">
        <v>55</v>
      </c>
      <c r="J52" s="73">
        <v>45762</v>
      </c>
      <c r="K52" s="52"/>
      <c r="L52" s="204"/>
      <c r="M52" s="63">
        <v>45821</v>
      </c>
      <c r="N52" s="49"/>
      <c r="O52" s="93"/>
      <c r="P52" s="93"/>
      <c r="Q52" s="93"/>
      <c r="R52" s="93"/>
      <c r="S52" s="93"/>
      <c r="T52" s="166"/>
      <c r="U52" s="173"/>
    </row>
    <row r="53" spans="1:22" ht="39" customHeight="1">
      <c r="A53" s="43">
        <v>122</v>
      </c>
      <c r="B53" s="43" t="s">
        <v>142</v>
      </c>
      <c r="C53" s="43">
        <v>210</v>
      </c>
      <c r="D53" s="43">
        <v>330</v>
      </c>
      <c r="E53" s="43" t="s">
        <v>143</v>
      </c>
      <c r="F53" s="93" t="s">
        <v>7</v>
      </c>
      <c r="G53" s="43">
        <v>8</v>
      </c>
      <c r="H53" s="93" t="s">
        <v>9</v>
      </c>
      <c r="I53" s="93" t="s">
        <v>42</v>
      </c>
      <c r="J53" s="73">
        <v>45768</v>
      </c>
      <c r="K53" s="52"/>
      <c r="L53" s="204"/>
      <c r="M53" s="63">
        <v>45828</v>
      </c>
      <c r="N53" s="49"/>
      <c r="O53" s="93"/>
      <c r="P53" s="93"/>
      <c r="Q53" s="93"/>
      <c r="R53" s="93"/>
      <c r="S53" s="93"/>
      <c r="T53" s="93"/>
      <c r="U53" s="200" t="s">
        <v>169</v>
      </c>
    </row>
    <row r="54" spans="1:22" ht="21.75" customHeight="1">
      <c r="A54" s="43">
        <v>136</v>
      </c>
      <c r="B54" s="43" t="s">
        <v>66</v>
      </c>
      <c r="C54" s="43">
        <v>150</v>
      </c>
      <c r="D54" s="43">
        <v>400</v>
      </c>
      <c r="E54" s="43" t="s">
        <v>67</v>
      </c>
      <c r="F54" s="43" t="s">
        <v>7</v>
      </c>
      <c r="G54" s="43">
        <v>4</v>
      </c>
      <c r="H54" s="93" t="s">
        <v>8</v>
      </c>
      <c r="I54" s="93" t="s">
        <v>55</v>
      </c>
      <c r="J54" s="44">
        <v>45774</v>
      </c>
      <c r="K54" s="44"/>
      <c r="L54" s="204"/>
      <c r="M54" s="63">
        <v>45828</v>
      </c>
      <c r="N54" s="44"/>
      <c r="O54" s="168"/>
      <c r="P54" s="168"/>
      <c r="Q54" s="168"/>
      <c r="R54" s="167">
        <v>1</v>
      </c>
      <c r="S54" s="168"/>
      <c r="T54" s="93"/>
      <c r="U54" s="49"/>
    </row>
    <row r="55" spans="1:22" ht="29.25" customHeight="1" thickBot="1">
      <c r="A55" s="43">
        <v>82</v>
      </c>
      <c r="B55" s="99">
        <v>850701</v>
      </c>
      <c r="C55" s="99">
        <v>280</v>
      </c>
      <c r="D55" s="99">
        <v>400</v>
      </c>
      <c r="E55" s="235" t="s">
        <v>204</v>
      </c>
      <c r="F55" s="235" t="s">
        <v>125</v>
      </c>
      <c r="G55" s="99">
        <v>1</v>
      </c>
      <c r="H55" s="93" t="s">
        <v>129</v>
      </c>
      <c r="I55" s="235" t="s">
        <v>175</v>
      </c>
      <c r="J55" s="44">
        <v>45784</v>
      </c>
      <c r="K55" s="49"/>
      <c r="L55" s="204"/>
      <c r="M55" s="63">
        <v>45834</v>
      </c>
      <c r="N55" s="90">
        <v>45814</v>
      </c>
      <c r="O55" s="93"/>
      <c r="P55" s="93"/>
      <c r="Q55" s="93"/>
      <c r="R55" s="93"/>
      <c r="S55" s="93"/>
      <c r="T55" s="93"/>
      <c r="U55" s="93"/>
    </row>
    <row r="56" spans="1:22" ht="28.5" customHeight="1">
      <c r="A56" s="43">
        <v>9</v>
      </c>
      <c r="B56" s="126" t="s">
        <v>161</v>
      </c>
      <c r="C56" s="126">
        <v>160</v>
      </c>
      <c r="D56" s="126">
        <v>220</v>
      </c>
      <c r="E56" s="126" t="s">
        <v>160</v>
      </c>
      <c r="F56" s="237" t="s">
        <v>7</v>
      </c>
      <c r="G56" s="126">
        <v>2</v>
      </c>
      <c r="H56" s="93" t="s">
        <v>10</v>
      </c>
      <c r="I56" s="237" t="s">
        <v>55</v>
      </c>
      <c r="J56" s="147">
        <v>45792</v>
      </c>
      <c r="K56" s="91"/>
      <c r="L56" s="204"/>
      <c r="M56" s="63">
        <v>45838</v>
      </c>
      <c r="N56" s="49"/>
      <c r="O56" s="93"/>
      <c r="P56" s="93"/>
      <c r="Q56" s="93"/>
      <c r="R56" s="93"/>
      <c r="S56" s="93"/>
      <c r="T56" s="166"/>
      <c r="U56" s="93"/>
      <c r="V56" s="53" t="s">
        <v>321</v>
      </c>
    </row>
    <row r="57" spans="1:22" ht="29.25" customHeight="1">
      <c r="A57" s="43">
        <v>53</v>
      </c>
      <c r="B57" s="43" t="s">
        <v>158</v>
      </c>
      <c r="C57" s="43">
        <v>120</v>
      </c>
      <c r="D57" s="43">
        <v>132</v>
      </c>
      <c r="E57" s="43" t="s">
        <v>159</v>
      </c>
      <c r="F57" s="93" t="s">
        <v>7</v>
      </c>
      <c r="G57" s="43">
        <v>3</v>
      </c>
      <c r="H57" s="93" t="s">
        <v>6</v>
      </c>
      <c r="I57" s="93" t="s">
        <v>55</v>
      </c>
      <c r="J57" s="84">
        <v>45792</v>
      </c>
      <c r="K57" s="91"/>
      <c r="L57" s="204"/>
      <c r="M57" s="63">
        <v>45841</v>
      </c>
      <c r="N57" s="49"/>
      <c r="O57" s="93"/>
      <c r="P57" s="93"/>
      <c r="Q57" s="93"/>
      <c r="R57" s="93"/>
      <c r="S57" s="93"/>
      <c r="T57" s="65"/>
      <c r="U57" s="93"/>
    </row>
    <row r="58" spans="1:22" ht="21.75" customHeight="1">
      <c r="A58" s="43">
        <v>123</v>
      </c>
      <c r="B58" s="43" t="s">
        <v>162</v>
      </c>
      <c r="C58" s="43">
        <v>200</v>
      </c>
      <c r="D58" s="43">
        <v>400</v>
      </c>
      <c r="E58" s="43" t="s">
        <v>163</v>
      </c>
      <c r="F58" s="93" t="s">
        <v>7</v>
      </c>
      <c r="G58" s="43">
        <v>9</v>
      </c>
      <c r="H58" s="93" t="s">
        <v>9</v>
      </c>
      <c r="I58" s="93" t="s">
        <v>55</v>
      </c>
      <c r="J58" s="84">
        <v>45792</v>
      </c>
      <c r="K58" s="91"/>
      <c r="L58" s="204"/>
      <c r="M58" s="63">
        <v>45842</v>
      </c>
      <c r="N58" s="49"/>
      <c r="O58" s="93"/>
      <c r="P58" s="93"/>
      <c r="Q58" s="93"/>
      <c r="R58" s="93"/>
      <c r="S58" s="93"/>
      <c r="T58" s="93"/>
      <c r="U58" s="93"/>
    </row>
    <row r="59" spans="1:22" ht="28.5" customHeight="1">
      <c r="A59" s="43">
        <v>137</v>
      </c>
      <c r="B59" s="43" t="s">
        <v>153</v>
      </c>
      <c r="C59" s="43">
        <v>160</v>
      </c>
      <c r="D59" s="43">
        <v>220</v>
      </c>
      <c r="E59" s="43" t="s">
        <v>154</v>
      </c>
      <c r="F59" s="93" t="s">
        <v>7</v>
      </c>
      <c r="G59" s="43">
        <v>2</v>
      </c>
      <c r="H59" s="93" t="s">
        <v>8</v>
      </c>
      <c r="I59" s="93" t="s">
        <v>55</v>
      </c>
      <c r="J59" s="238">
        <v>45792</v>
      </c>
      <c r="K59" s="91"/>
      <c r="L59" s="204"/>
      <c r="M59" s="63">
        <v>45848</v>
      </c>
      <c r="N59" s="49"/>
      <c r="O59" s="93"/>
      <c r="P59" s="93"/>
      <c r="Q59" s="93"/>
      <c r="R59" s="93"/>
      <c r="S59" s="93"/>
      <c r="T59" s="93"/>
      <c r="U59" s="93"/>
    </row>
    <row r="60" spans="1:22" ht="21.75" customHeight="1">
      <c r="A60" s="43">
        <v>147</v>
      </c>
      <c r="B60" s="43" t="s">
        <v>155</v>
      </c>
      <c r="C60" s="43">
        <v>130</v>
      </c>
      <c r="D60" s="43">
        <v>220</v>
      </c>
      <c r="E60" s="43" t="s">
        <v>156</v>
      </c>
      <c r="F60" s="93" t="s">
        <v>7</v>
      </c>
      <c r="G60" s="43">
        <v>2</v>
      </c>
      <c r="H60" s="93" t="s">
        <v>16</v>
      </c>
      <c r="I60" s="93" t="s">
        <v>42</v>
      </c>
      <c r="J60" s="84">
        <v>45792</v>
      </c>
      <c r="K60" s="91"/>
      <c r="L60" s="204" t="s">
        <v>138</v>
      </c>
      <c r="M60" s="63">
        <v>45849</v>
      </c>
      <c r="N60" s="49"/>
      <c r="O60" s="93"/>
      <c r="P60" s="93"/>
      <c r="Q60" s="93"/>
      <c r="R60" s="93"/>
      <c r="S60" s="93"/>
      <c r="T60" s="93"/>
      <c r="U60" s="93"/>
    </row>
    <row r="61" spans="1:22" ht="28.5" customHeight="1">
      <c r="A61" s="43">
        <v>34</v>
      </c>
      <c r="B61" s="43" t="s">
        <v>206</v>
      </c>
      <c r="C61" s="43">
        <v>160</v>
      </c>
      <c r="D61" s="43">
        <v>400</v>
      </c>
      <c r="E61" s="43" t="s">
        <v>187</v>
      </c>
      <c r="F61" s="93" t="s">
        <v>7</v>
      </c>
      <c r="G61" s="43">
        <v>2</v>
      </c>
      <c r="H61" s="93" t="s">
        <v>18</v>
      </c>
      <c r="I61" s="93" t="s">
        <v>42</v>
      </c>
      <c r="J61" s="84">
        <v>45798</v>
      </c>
      <c r="K61" s="136"/>
      <c r="L61" s="204"/>
      <c r="M61" s="63">
        <v>45876</v>
      </c>
      <c r="N61" s="49"/>
      <c r="O61" s="93"/>
      <c r="P61" s="93"/>
      <c r="Q61" s="93"/>
      <c r="R61" s="93"/>
      <c r="S61" s="93"/>
      <c r="T61" s="93"/>
      <c r="U61" s="93"/>
    </row>
    <row r="62" spans="1:22" ht="21.75" customHeight="1">
      <c r="A62" s="43">
        <v>124</v>
      </c>
      <c r="B62" s="54" t="s">
        <v>195</v>
      </c>
      <c r="C62" s="54" t="s">
        <v>197</v>
      </c>
      <c r="D62" s="54">
        <v>500</v>
      </c>
      <c r="E62" s="43" t="s">
        <v>196</v>
      </c>
      <c r="F62" s="174" t="s">
        <v>7</v>
      </c>
      <c r="G62" s="54">
        <v>2</v>
      </c>
      <c r="H62" s="93" t="s">
        <v>9</v>
      </c>
      <c r="I62" s="93" t="s">
        <v>175</v>
      </c>
      <c r="J62" s="84">
        <v>45810</v>
      </c>
      <c r="K62" s="135"/>
      <c r="L62" s="204"/>
      <c r="M62" s="63">
        <v>45879</v>
      </c>
      <c r="N62" s="49"/>
      <c r="O62" s="93"/>
      <c r="P62" s="93"/>
      <c r="Q62" s="93"/>
      <c r="R62" s="93"/>
      <c r="S62" s="93"/>
      <c r="T62" s="93"/>
      <c r="U62" s="93"/>
    </row>
    <row r="63" spans="1:22" ht="29.25" customHeight="1" thickBot="1">
      <c r="A63" s="43">
        <v>105</v>
      </c>
      <c r="B63" s="54" t="s">
        <v>208</v>
      </c>
      <c r="C63" s="54">
        <v>334</v>
      </c>
      <c r="D63" s="54">
        <v>500</v>
      </c>
      <c r="E63" s="43" t="s">
        <v>209</v>
      </c>
      <c r="F63" s="174" t="s">
        <v>125</v>
      </c>
      <c r="G63" s="54">
        <v>3</v>
      </c>
      <c r="H63" s="93" t="s">
        <v>20</v>
      </c>
      <c r="I63" s="175" t="s">
        <v>175</v>
      </c>
      <c r="J63" s="84">
        <v>45812</v>
      </c>
      <c r="K63" s="136"/>
      <c r="L63" s="204" t="s">
        <v>138</v>
      </c>
      <c r="M63" s="63">
        <v>45894</v>
      </c>
      <c r="N63" s="49"/>
      <c r="O63" s="93"/>
      <c r="P63" s="93"/>
      <c r="Q63" s="93"/>
      <c r="R63" s="93"/>
      <c r="S63" s="93"/>
      <c r="T63" s="93"/>
      <c r="U63" s="93"/>
      <c r="V63" s="92"/>
    </row>
    <row r="64" spans="1:22" ht="21.75" customHeight="1" thickBot="1">
      <c r="A64" s="43">
        <v>106</v>
      </c>
      <c r="B64" s="118" t="s">
        <v>210</v>
      </c>
      <c r="C64" s="118">
        <v>334</v>
      </c>
      <c r="D64" s="118">
        <v>500</v>
      </c>
      <c r="E64" s="107" t="s">
        <v>211</v>
      </c>
      <c r="F64" s="259" t="s">
        <v>125</v>
      </c>
      <c r="G64" s="118">
        <v>3</v>
      </c>
      <c r="H64" s="93" t="s">
        <v>20</v>
      </c>
      <c r="I64" s="175" t="s">
        <v>175</v>
      </c>
      <c r="J64" s="84">
        <v>45814</v>
      </c>
      <c r="K64" s="136"/>
      <c r="L64" s="204" t="s">
        <v>292</v>
      </c>
      <c r="M64" s="63">
        <v>45941</v>
      </c>
      <c r="N64" s="49"/>
      <c r="O64" s="93"/>
      <c r="P64" s="93"/>
      <c r="Q64" s="93"/>
      <c r="R64" s="93"/>
      <c r="S64" s="93"/>
      <c r="T64" s="93"/>
      <c r="U64" s="93"/>
    </row>
    <row r="65" spans="1:22" ht="28.5" customHeight="1" thickBot="1">
      <c r="A65" s="43">
        <v>55</v>
      </c>
      <c r="B65" s="126">
        <v>813133</v>
      </c>
      <c r="C65" s="126">
        <v>220</v>
      </c>
      <c r="D65" s="126">
        <v>154</v>
      </c>
      <c r="E65" s="256" t="s">
        <v>87</v>
      </c>
      <c r="F65" s="256" t="s">
        <v>7</v>
      </c>
      <c r="G65" s="126">
        <v>1</v>
      </c>
      <c r="H65" s="93" t="s">
        <v>6</v>
      </c>
      <c r="I65" s="260" t="s">
        <v>42</v>
      </c>
      <c r="J65" s="84">
        <v>45823</v>
      </c>
      <c r="K65" s="136"/>
      <c r="L65" s="204" t="s">
        <v>133</v>
      </c>
      <c r="M65" s="63">
        <v>45944</v>
      </c>
      <c r="N65" s="49"/>
      <c r="O65" s="93"/>
      <c r="P65" s="93"/>
      <c r="Q65" s="93"/>
      <c r="R65" s="93"/>
      <c r="S65" s="93"/>
      <c r="T65" s="65"/>
      <c r="U65" s="93"/>
      <c r="V65" s="92"/>
    </row>
    <row r="66" spans="1:22" ht="28.5" customHeight="1">
      <c r="A66" s="43">
        <v>151</v>
      </c>
      <c r="B66" s="43">
        <v>813290</v>
      </c>
      <c r="C66" s="43" t="s">
        <v>264</v>
      </c>
      <c r="D66" s="43">
        <v>220</v>
      </c>
      <c r="E66" s="43" t="s">
        <v>426</v>
      </c>
      <c r="F66" s="93" t="s">
        <v>7</v>
      </c>
      <c r="G66" s="43">
        <v>1</v>
      </c>
      <c r="H66" s="93" t="s">
        <v>9</v>
      </c>
      <c r="I66" s="43" t="s">
        <v>55</v>
      </c>
      <c r="J66" s="238">
        <v>45823</v>
      </c>
      <c r="K66" s="136"/>
      <c r="L66" s="204" t="s">
        <v>133</v>
      </c>
      <c r="M66" s="63">
        <v>45944</v>
      </c>
      <c r="N66" s="49"/>
      <c r="O66" s="93"/>
      <c r="P66" s="93"/>
      <c r="Q66" s="93"/>
      <c r="R66" s="93"/>
      <c r="S66" s="93"/>
      <c r="T66" s="93"/>
      <c r="U66" s="93"/>
    </row>
    <row r="67" spans="1:22" ht="28.5" customHeight="1">
      <c r="A67" s="43">
        <v>125</v>
      </c>
      <c r="B67" s="54" t="s">
        <v>200</v>
      </c>
      <c r="C67" s="54" t="s">
        <v>198</v>
      </c>
      <c r="D67" s="54">
        <v>500</v>
      </c>
      <c r="E67" s="43" t="s">
        <v>196</v>
      </c>
      <c r="F67" s="174" t="s">
        <v>7</v>
      </c>
      <c r="G67" s="54">
        <v>2</v>
      </c>
      <c r="H67" s="93" t="s">
        <v>9</v>
      </c>
      <c r="I67" s="93" t="s">
        <v>175</v>
      </c>
      <c r="J67" s="84">
        <v>45824</v>
      </c>
      <c r="K67" s="135"/>
      <c r="L67" s="204" t="s">
        <v>133</v>
      </c>
      <c r="M67" s="63">
        <v>45944</v>
      </c>
      <c r="N67" s="90">
        <v>45845</v>
      </c>
      <c r="O67" s="93"/>
      <c r="P67" s="93"/>
      <c r="Q67" s="93"/>
      <c r="R67" s="93"/>
      <c r="S67" s="93"/>
      <c r="T67" s="93"/>
      <c r="U67" s="93"/>
    </row>
    <row r="68" spans="1:22" ht="29.25" customHeight="1">
      <c r="A68" s="43">
        <v>36</v>
      </c>
      <c r="B68" s="43" t="s">
        <v>244</v>
      </c>
      <c r="C68" s="43">
        <v>100</v>
      </c>
      <c r="D68" s="43">
        <v>400</v>
      </c>
      <c r="E68" s="43" t="s">
        <v>199</v>
      </c>
      <c r="F68" s="93" t="s">
        <v>7</v>
      </c>
      <c r="G68" s="43">
        <v>3</v>
      </c>
      <c r="H68" s="93" t="s">
        <v>18</v>
      </c>
      <c r="I68" s="93" t="s">
        <v>42</v>
      </c>
      <c r="J68" s="84">
        <v>45828</v>
      </c>
      <c r="K68" s="149"/>
      <c r="L68" s="204" t="s">
        <v>293</v>
      </c>
      <c r="M68" s="63">
        <v>45947</v>
      </c>
      <c r="N68" s="43"/>
      <c r="O68" s="43"/>
      <c r="P68" s="43"/>
      <c r="Q68" s="43"/>
      <c r="R68" s="93"/>
      <c r="S68" s="93"/>
      <c r="T68" s="93" t="s">
        <v>234</v>
      </c>
      <c r="U68" s="93"/>
    </row>
    <row r="69" spans="1:22" ht="26.25" customHeight="1">
      <c r="A69" s="43">
        <v>126</v>
      </c>
      <c r="B69" s="54">
        <v>813170</v>
      </c>
      <c r="C69" s="54">
        <v>333</v>
      </c>
      <c r="D69" s="54">
        <v>500</v>
      </c>
      <c r="E69" s="100" t="s">
        <v>220</v>
      </c>
      <c r="F69" s="174" t="s">
        <v>7</v>
      </c>
      <c r="G69" s="54">
        <v>4</v>
      </c>
      <c r="H69" s="93" t="s">
        <v>9</v>
      </c>
      <c r="I69" s="93" t="s">
        <v>55</v>
      </c>
      <c r="J69" s="84">
        <v>45828</v>
      </c>
      <c r="K69" s="136"/>
      <c r="L69" s="204" t="s">
        <v>138</v>
      </c>
      <c r="M69" s="63">
        <v>45947</v>
      </c>
      <c r="N69" s="49"/>
      <c r="O69" s="93"/>
      <c r="P69" s="93"/>
      <c r="Q69" s="93"/>
      <c r="R69" s="93"/>
      <c r="S69" s="93"/>
      <c r="T69" s="93"/>
      <c r="U69" s="93"/>
    </row>
    <row r="70" spans="1:22" ht="26.25" customHeight="1">
      <c r="A70" s="43">
        <v>57</v>
      </c>
      <c r="B70" s="101">
        <v>813159</v>
      </c>
      <c r="C70" s="101">
        <v>210</v>
      </c>
      <c r="D70" s="101">
        <v>550</v>
      </c>
      <c r="E70" s="176" t="s">
        <v>203</v>
      </c>
      <c r="F70" s="176" t="s">
        <v>7</v>
      </c>
      <c r="G70" s="101">
        <v>1</v>
      </c>
      <c r="H70" s="93" t="s">
        <v>6</v>
      </c>
      <c r="I70" s="176" t="s">
        <v>175</v>
      </c>
      <c r="J70" s="84">
        <v>45833</v>
      </c>
      <c r="K70" s="149"/>
      <c r="L70" s="204" t="s">
        <v>133</v>
      </c>
      <c r="M70" s="63">
        <v>45960</v>
      </c>
      <c r="N70" s="43"/>
      <c r="O70" s="43"/>
      <c r="P70" s="43"/>
      <c r="Q70" s="43"/>
      <c r="R70" s="93"/>
      <c r="S70" s="93"/>
      <c r="T70" s="65"/>
      <c r="U70" s="93"/>
    </row>
    <row r="71" spans="1:22" ht="28.5" customHeight="1">
      <c r="A71" s="43">
        <v>59</v>
      </c>
      <c r="B71" s="43">
        <v>813153</v>
      </c>
      <c r="C71" s="43">
        <v>250</v>
      </c>
      <c r="D71" s="43">
        <v>220</v>
      </c>
      <c r="E71" s="166" t="s">
        <v>222</v>
      </c>
      <c r="F71" s="166" t="s">
        <v>7</v>
      </c>
      <c r="G71" s="43">
        <v>1</v>
      </c>
      <c r="H71" s="93" t="s">
        <v>6</v>
      </c>
      <c r="I71" s="163" t="s">
        <v>55</v>
      </c>
      <c r="J71" s="84">
        <v>45835</v>
      </c>
      <c r="K71" s="136"/>
      <c r="L71" s="204" t="s">
        <v>133</v>
      </c>
      <c r="M71" s="63">
        <v>45989</v>
      </c>
      <c r="N71" s="49"/>
      <c r="O71" s="93"/>
      <c r="P71" s="93"/>
      <c r="Q71" s="93"/>
      <c r="R71" s="93"/>
      <c r="S71" s="93"/>
      <c r="T71" s="65" t="s">
        <v>226</v>
      </c>
      <c r="U71" s="93"/>
    </row>
    <row r="72" spans="1:22" ht="28.5" customHeight="1">
      <c r="A72" s="43">
        <v>138</v>
      </c>
      <c r="B72" s="43" t="s">
        <v>147</v>
      </c>
      <c r="C72" s="43">
        <v>450</v>
      </c>
      <c r="D72" s="43">
        <v>400</v>
      </c>
      <c r="E72" s="43" t="s">
        <v>148</v>
      </c>
      <c r="F72" s="93" t="s">
        <v>7</v>
      </c>
      <c r="G72" s="43">
        <v>3</v>
      </c>
      <c r="H72" s="93" t="s">
        <v>8</v>
      </c>
      <c r="I72" s="93" t="s">
        <v>42</v>
      </c>
      <c r="J72" s="238">
        <v>45838</v>
      </c>
      <c r="K72" s="135"/>
      <c r="L72" s="204" t="s">
        <v>133</v>
      </c>
      <c r="M72" s="63">
        <v>46001</v>
      </c>
      <c r="N72" s="49"/>
      <c r="O72" s="93"/>
      <c r="P72" s="93"/>
      <c r="Q72" s="93"/>
      <c r="R72" s="93"/>
      <c r="S72" s="93"/>
      <c r="T72" s="93"/>
      <c r="U72" s="93"/>
    </row>
    <row r="73" spans="1:22" ht="28.5" customHeight="1" thickBot="1">
      <c r="A73" s="43">
        <v>85</v>
      </c>
      <c r="B73" s="118">
        <v>813028</v>
      </c>
      <c r="C73" s="118">
        <v>165</v>
      </c>
      <c r="D73" s="118">
        <v>330</v>
      </c>
      <c r="E73" s="259" t="s">
        <v>173</v>
      </c>
      <c r="F73" s="259" t="s">
        <v>7</v>
      </c>
      <c r="G73" s="118">
        <v>1</v>
      </c>
      <c r="H73" s="93" t="s">
        <v>129</v>
      </c>
      <c r="I73" s="175" t="s">
        <v>55</v>
      </c>
      <c r="J73" s="132">
        <v>45842</v>
      </c>
      <c r="K73" s="91" t="s">
        <v>157</v>
      </c>
      <c r="L73" s="204" t="s">
        <v>133</v>
      </c>
      <c r="M73" s="63">
        <v>46001</v>
      </c>
      <c r="N73" s="49"/>
      <c r="O73" s="93"/>
      <c r="P73" s="93"/>
      <c r="Q73" s="93"/>
      <c r="R73" s="93"/>
      <c r="S73" s="93"/>
      <c r="T73" s="93"/>
      <c r="U73" s="93"/>
      <c r="V73" s="92"/>
    </row>
    <row r="74" spans="1:22" ht="21.75" customHeight="1">
      <c r="A74" s="43">
        <v>37</v>
      </c>
      <c r="B74" s="85" t="s">
        <v>223</v>
      </c>
      <c r="C74" s="85" t="s">
        <v>224</v>
      </c>
      <c r="D74" s="85">
        <v>230</v>
      </c>
      <c r="E74" s="85" t="s">
        <v>225</v>
      </c>
      <c r="F74" s="177" t="s">
        <v>125</v>
      </c>
      <c r="G74" s="85">
        <v>2</v>
      </c>
      <c r="H74" s="93" t="s">
        <v>18</v>
      </c>
      <c r="I74" s="177" t="s">
        <v>175</v>
      </c>
      <c r="J74" s="98">
        <v>45848</v>
      </c>
      <c r="K74" s="136"/>
      <c r="L74" s="204" t="s">
        <v>133</v>
      </c>
      <c r="M74" s="63">
        <v>46001</v>
      </c>
      <c r="N74" s="49"/>
      <c r="O74" s="93"/>
      <c r="P74" s="93"/>
      <c r="Q74" s="93"/>
      <c r="R74" s="93"/>
      <c r="S74" s="93"/>
      <c r="T74" s="93"/>
      <c r="U74" s="93"/>
    </row>
    <row r="75" spans="1:22" ht="21.75" customHeight="1">
      <c r="A75" s="43">
        <v>61</v>
      </c>
      <c r="B75" s="43" t="s">
        <v>182</v>
      </c>
      <c r="C75" s="43">
        <v>280</v>
      </c>
      <c r="D75" s="43">
        <v>400</v>
      </c>
      <c r="E75" s="43" t="s">
        <v>183</v>
      </c>
      <c r="F75" s="93" t="s">
        <v>7</v>
      </c>
      <c r="G75" s="43">
        <v>3</v>
      </c>
      <c r="H75" s="93" t="s">
        <v>6</v>
      </c>
      <c r="I75" s="93" t="s">
        <v>42</v>
      </c>
      <c r="J75" s="84">
        <v>45848</v>
      </c>
      <c r="K75" s="134" t="s">
        <v>157</v>
      </c>
      <c r="L75" s="204" t="s">
        <v>133</v>
      </c>
      <c r="M75" s="63">
        <v>46022</v>
      </c>
      <c r="N75" s="49"/>
      <c r="O75" s="93"/>
      <c r="P75" s="93"/>
      <c r="Q75" s="93"/>
      <c r="R75" s="93"/>
      <c r="S75" s="93"/>
      <c r="T75" s="65" t="s">
        <v>184</v>
      </c>
      <c r="U75" s="93"/>
    </row>
    <row r="76" spans="1:22" ht="21.75" customHeight="1">
      <c r="A76" s="43">
        <v>127</v>
      </c>
      <c r="B76" s="43" t="s">
        <v>150</v>
      </c>
      <c r="C76" s="43">
        <v>140</v>
      </c>
      <c r="D76" s="43">
        <v>400</v>
      </c>
      <c r="E76" s="43" t="s">
        <v>149</v>
      </c>
      <c r="F76" s="93" t="s">
        <v>7</v>
      </c>
      <c r="G76" s="43">
        <v>2</v>
      </c>
      <c r="H76" s="93" t="s">
        <v>9</v>
      </c>
      <c r="I76" s="93" t="s">
        <v>55</v>
      </c>
      <c r="J76" s="84">
        <v>45848</v>
      </c>
      <c r="K76" s="134" t="s">
        <v>157</v>
      </c>
      <c r="L76" s="204" t="s">
        <v>133</v>
      </c>
      <c r="M76" s="63">
        <v>46043</v>
      </c>
      <c r="N76" s="49"/>
      <c r="O76" s="93"/>
      <c r="P76" s="93"/>
      <c r="Q76" s="93"/>
      <c r="R76" s="93"/>
      <c r="S76" s="93"/>
      <c r="T76" s="93"/>
      <c r="U76" s="93"/>
      <c r="V76" s="45" t="s">
        <v>322</v>
      </c>
    </row>
    <row r="77" spans="1:22" ht="21.75" customHeight="1">
      <c r="A77" s="43">
        <v>39</v>
      </c>
      <c r="B77" s="43" t="s">
        <v>243</v>
      </c>
      <c r="C77" s="43">
        <v>100</v>
      </c>
      <c r="D77" s="43">
        <v>400</v>
      </c>
      <c r="E77" s="43" t="s">
        <v>199</v>
      </c>
      <c r="F77" s="93" t="s">
        <v>7</v>
      </c>
      <c r="G77" s="43">
        <v>2</v>
      </c>
      <c r="H77" s="93" t="s">
        <v>18</v>
      </c>
      <c r="I77" s="93" t="s">
        <v>42</v>
      </c>
      <c r="J77" s="73">
        <v>45853</v>
      </c>
      <c r="K77" s="43"/>
      <c r="L77" s="204" t="s">
        <v>133</v>
      </c>
      <c r="M77" s="63">
        <v>46043</v>
      </c>
      <c r="N77" s="43"/>
      <c r="O77" s="43"/>
      <c r="P77" s="43"/>
      <c r="Q77" s="43"/>
      <c r="R77" s="93"/>
      <c r="S77" s="93"/>
      <c r="T77" s="49" t="s">
        <v>245</v>
      </c>
      <c r="U77" s="93"/>
    </row>
    <row r="78" spans="1:22" ht="21.75" customHeight="1">
      <c r="A78" s="43">
        <v>107</v>
      </c>
      <c r="B78" s="43">
        <v>850623</v>
      </c>
      <c r="C78" s="43">
        <v>120</v>
      </c>
      <c r="D78" s="43">
        <v>220</v>
      </c>
      <c r="E78" s="49" t="s">
        <v>93</v>
      </c>
      <c r="F78" s="93" t="s">
        <v>125</v>
      </c>
      <c r="G78" s="43">
        <v>1</v>
      </c>
      <c r="H78" s="93" t="s">
        <v>20</v>
      </c>
      <c r="I78" s="163" t="s">
        <v>175</v>
      </c>
      <c r="J78" s="73">
        <v>45874</v>
      </c>
      <c r="K78" s="49"/>
      <c r="L78" s="204" t="s">
        <v>133</v>
      </c>
      <c r="M78" s="63">
        <v>46043</v>
      </c>
      <c r="N78" s="49"/>
      <c r="O78" s="93"/>
      <c r="P78" s="93"/>
      <c r="Q78" s="93"/>
      <c r="R78" s="93"/>
      <c r="S78" s="93"/>
      <c r="T78" s="93"/>
      <c r="U78" s="93"/>
      <c r="V78" s="92"/>
    </row>
    <row r="79" spans="1:22" ht="15.75">
      <c r="A79" s="43">
        <v>48</v>
      </c>
      <c r="B79" s="43">
        <v>813025</v>
      </c>
      <c r="C79" s="43">
        <v>330</v>
      </c>
      <c r="D79" s="43">
        <v>330</v>
      </c>
      <c r="E79" s="43" t="s">
        <v>173</v>
      </c>
      <c r="F79" s="43" t="s">
        <v>7</v>
      </c>
      <c r="G79" s="43">
        <v>1</v>
      </c>
      <c r="H79" s="93" t="s">
        <v>6</v>
      </c>
      <c r="I79" s="93" t="s">
        <v>55</v>
      </c>
      <c r="J79" s="44">
        <v>45876</v>
      </c>
      <c r="K79" s="134"/>
      <c r="L79" s="204"/>
      <c r="M79" s="63">
        <v>46044</v>
      </c>
      <c r="N79" s="49"/>
      <c r="O79" s="93"/>
      <c r="P79" s="93"/>
      <c r="Q79" s="93"/>
      <c r="R79" s="93"/>
      <c r="S79" s="93"/>
      <c r="T79" s="93"/>
      <c r="U79" s="93"/>
    </row>
    <row r="80" spans="1:22" ht="21.75" customHeight="1">
      <c r="A80" s="43">
        <v>63</v>
      </c>
      <c r="B80" s="54" t="s">
        <v>201</v>
      </c>
      <c r="C80" s="54">
        <v>330</v>
      </c>
      <c r="D80" s="54">
        <v>330</v>
      </c>
      <c r="E80" s="174" t="s">
        <v>173</v>
      </c>
      <c r="F80" s="174" t="s">
        <v>7</v>
      </c>
      <c r="G80" s="43" t="s">
        <v>207</v>
      </c>
      <c r="H80" s="93" t="s">
        <v>6</v>
      </c>
      <c r="I80" s="93" t="s">
        <v>55</v>
      </c>
      <c r="J80" s="73">
        <v>45879</v>
      </c>
      <c r="K80" s="134" t="s">
        <v>157</v>
      </c>
      <c r="L80" s="204"/>
      <c r="M80" s="63">
        <v>46048</v>
      </c>
      <c r="N80" s="49"/>
      <c r="O80" s="93"/>
      <c r="P80" s="93"/>
      <c r="Q80" s="93"/>
      <c r="R80" s="93"/>
      <c r="S80" s="93"/>
      <c r="T80" s="65"/>
      <c r="U80" s="93"/>
      <c r="V80" s="92"/>
    </row>
    <row r="81" spans="1:22" ht="21.75" customHeight="1">
      <c r="A81" s="43">
        <v>128</v>
      </c>
      <c r="B81" s="43" t="s">
        <v>237</v>
      </c>
      <c r="C81" s="43" t="s">
        <v>198</v>
      </c>
      <c r="D81" s="43">
        <v>500</v>
      </c>
      <c r="E81" s="43" t="s">
        <v>262</v>
      </c>
      <c r="F81" s="43" t="s">
        <v>7</v>
      </c>
      <c r="G81" s="93">
        <v>2</v>
      </c>
      <c r="H81" s="93" t="s">
        <v>9</v>
      </c>
      <c r="I81" s="163" t="s">
        <v>175</v>
      </c>
      <c r="J81" s="73">
        <v>45884</v>
      </c>
      <c r="K81" s="93"/>
      <c r="L81" s="204"/>
      <c r="M81" s="63">
        <v>46052</v>
      </c>
      <c r="N81" s="93"/>
      <c r="O81" s="93"/>
      <c r="P81" s="93"/>
      <c r="Q81" s="93"/>
      <c r="R81" s="93"/>
      <c r="S81" s="93"/>
      <c r="T81" s="93" t="s">
        <v>238</v>
      </c>
      <c r="U81" s="93"/>
    </row>
    <row r="82" spans="1:22" ht="38.25" customHeight="1">
      <c r="A82" s="43">
        <v>139</v>
      </c>
      <c r="B82" s="43">
        <v>813088</v>
      </c>
      <c r="C82" s="43">
        <v>520</v>
      </c>
      <c r="D82" s="43">
        <v>500</v>
      </c>
      <c r="E82" s="43" t="s">
        <v>239</v>
      </c>
      <c r="F82" s="43" t="s">
        <v>125</v>
      </c>
      <c r="G82" s="43">
        <v>1</v>
      </c>
      <c r="H82" s="93" t="s">
        <v>8</v>
      </c>
      <c r="I82" s="93" t="s">
        <v>175</v>
      </c>
      <c r="J82" s="44">
        <v>45884</v>
      </c>
      <c r="K82" s="49"/>
      <c r="L82" s="204" t="s">
        <v>133</v>
      </c>
      <c r="M82" s="63">
        <v>46052</v>
      </c>
      <c r="N82" s="49"/>
      <c r="O82" s="93"/>
      <c r="P82" s="93"/>
      <c r="Q82" s="93"/>
      <c r="R82" s="93"/>
      <c r="S82" s="93"/>
      <c r="T82" s="93"/>
      <c r="U82" s="93"/>
    </row>
    <row r="83" spans="1:22" ht="21.75" customHeight="1">
      <c r="A83" s="43">
        <v>65</v>
      </c>
      <c r="B83" s="43" t="s">
        <v>240</v>
      </c>
      <c r="C83" s="43">
        <v>100</v>
      </c>
      <c r="D83" s="43">
        <v>220</v>
      </c>
      <c r="E83" s="43" t="s">
        <v>241</v>
      </c>
      <c r="F83" s="43" t="s">
        <v>7</v>
      </c>
      <c r="G83" s="43">
        <v>3</v>
      </c>
      <c r="H83" s="93" t="s">
        <v>6</v>
      </c>
      <c r="I83" s="93" t="s">
        <v>55</v>
      </c>
      <c r="J83" s="73">
        <v>45898</v>
      </c>
      <c r="K83" s="49"/>
      <c r="L83" s="204" t="s">
        <v>133</v>
      </c>
      <c r="M83" s="63">
        <v>46052</v>
      </c>
      <c r="N83" s="49"/>
      <c r="O83" s="93"/>
      <c r="P83" s="93"/>
      <c r="Q83" s="93"/>
      <c r="R83" s="93"/>
      <c r="S83" s="93"/>
      <c r="T83" s="166" t="s">
        <v>246</v>
      </c>
      <c r="U83" s="93"/>
    </row>
    <row r="84" spans="1:22" ht="21.75" customHeight="1">
      <c r="A84" s="43">
        <v>108</v>
      </c>
      <c r="B84" s="43" t="s">
        <v>251</v>
      </c>
      <c r="C84" s="43">
        <v>334</v>
      </c>
      <c r="D84" s="43">
        <v>550</v>
      </c>
      <c r="E84" s="43" t="s">
        <v>252</v>
      </c>
      <c r="F84" s="43" t="s">
        <v>125</v>
      </c>
      <c r="G84" s="43">
        <v>3</v>
      </c>
      <c r="H84" s="93" t="s">
        <v>20</v>
      </c>
      <c r="I84" s="93" t="s">
        <v>175</v>
      </c>
      <c r="J84" s="73">
        <v>45898</v>
      </c>
      <c r="K84" s="43"/>
      <c r="L84" s="204" t="s">
        <v>133</v>
      </c>
      <c r="M84" s="63">
        <v>46052</v>
      </c>
      <c r="N84" s="43"/>
      <c r="O84" s="43"/>
      <c r="P84" s="166"/>
      <c r="Q84" s="43"/>
      <c r="R84" s="43"/>
      <c r="S84" s="43"/>
      <c r="T84" s="166"/>
      <c r="U84" s="93"/>
      <c r="V84" s="92"/>
    </row>
    <row r="85" spans="1:22" ht="26.25" customHeight="1">
      <c r="A85" s="43">
        <v>88</v>
      </c>
      <c r="B85" s="43">
        <v>813201</v>
      </c>
      <c r="C85" s="43">
        <v>460</v>
      </c>
      <c r="D85" s="43">
        <v>400</v>
      </c>
      <c r="E85" s="49" t="s">
        <v>233</v>
      </c>
      <c r="F85" s="93" t="s">
        <v>7</v>
      </c>
      <c r="G85" s="43">
        <v>1</v>
      </c>
      <c r="H85" s="93" t="s">
        <v>129</v>
      </c>
      <c r="I85" s="93" t="s">
        <v>42</v>
      </c>
      <c r="J85" s="73">
        <v>45905</v>
      </c>
      <c r="K85" s="49"/>
      <c r="L85" s="204"/>
      <c r="M85" s="63">
        <v>46067</v>
      </c>
      <c r="N85" s="49"/>
      <c r="O85" s="93"/>
      <c r="P85" s="93"/>
      <c r="Q85" s="93"/>
      <c r="R85" s="93"/>
      <c r="S85" s="93"/>
      <c r="T85" s="93"/>
      <c r="U85" s="93"/>
      <c r="V85" s="92"/>
    </row>
    <row r="86" spans="1:22" ht="21.75" customHeight="1">
      <c r="A86" s="43">
        <v>109</v>
      </c>
      <c r="B86" s="43" t="s">
        <v>249</v>
      </c>
      <c r="C86" s="43">
        <v>334</v>
      </c>
      <c r="D86" s="43">
        <v>550</v>
      </c>
      <c r="E86" s="43" t="s">
        <v>250</v>
      </c>
      <c r="F86" s="43" t="s">
        <v>125</v>
      </c>
      <c r="G86" s="43">
        <v>3</v>
      </c>
      <c r="H86" s="93" t="s">
        <v>20</v>
      </c>
      <c r="I86" s="93" t="s">
        <v>175</v>
      </c>
      <c r="J86" s="73">
        <v>45905</v>
      </c>
      <c r="K86" s="43"/>
      <c r="L86" s="204" t="s">
        <v>138</v>
      </c>
      <c r="M86" s="63">
        <v>46097</v>
      </c>
      <c r="N86" s="43"/>
      <c r="O86" s="43"/>
      <c r="P86" s="166"/>
      <c r="Q86" s="43"/>
      <c r="R86" s="43"/>
      <c r="S86" s="43"/>
      <c r="T86" s="166"/>
      <c r="U86" s="93"/>
    </row>
    <row r="87" spans="1:22" ht="21.75" customHeight="1">
      <c r="A87" s="43">
        <v>67</v>
      </c>
      <c r="B87" s="43">
        <v>813160</v>
      </c>
      <c r="C87" s="43">
        <v>280</v>
      </c>
      <c r="D87" s="43">
        <v>400</v>
      </c>
      <c r="E87" s="93" t="s">
        <v>183</v>
      </c>
      <c r="F87" s="93" t="s">
        <v>7</v>
      </c>
      <c r="G87" s="43">
        <v>1</v>
      </c>
      <c r="H87" s="93" t="s">
        <v>6</v>
      </c>
      <c r="I87" s="93" t="s">
        <v>42</v>
      </c>
      <c r="J87" s="73">
        <v>45915</v>
      </c>
      <c r="K87" s="90">
        <v>45884</v>
      </c>
      <c r="L87" s="204" t="s">
        <v>133</v>
      </c>
      <c r="M87" s="63">
        <v>46100</v>
      </c>
      <c r="N87" s="49"/>
      <c r="O87" s="93"/>
      <c r="P87" s="93"/>
      <c r="Q87" s="93"/>
      <c r="R87" s="93"/>
      <c r="S87" s="93"/>
      <c r="T87" s="65" t="s">
        <v>205</v>
      </c>
      <c r="U87" s="93"/>
      <c r="V87" s="92"/>
    </row>
    <row r="88" spans="1:22" ht="23.25" customHeight="1">
      <c r="A88" s="43">
        <v>1</v>
      </c>
      <c r="B88" s="43" t="s">
        <v>78</v>
      </c>
      <c r="C88" s="43">
        <v>120</v>
      </c>
      <c r="D88" s="43">
        <v>220</v>
      </c>
      <c r="E88" s="43" t="s">
        <v>174</v>
      </c>
      <c r="F88" s="43" t="s">
        <v>7</v>
      </c>
      <c r="G88" s="43">
        <v>2</v>
      </c>
      <c r="H88" s="93" t="s">
        <v>10</v>
      </c>
      <c r="I88" s="163" t="s">
        <v>55</v>
      </c>
      <c r="J88" s="263">
        <v>45938</v>
      </c>
      <c r="K88" s="44"/>
      <c r="L88" s="204" t="s">
        <v>133</v>
      </c>
      <c r="M88" s="63">
        <v>46100</v>
      </c>
      <c r="N88" s="44"/>
      <c r="O88" s="168"/>
      <c r="P88" s="168"/>
      <c r="Q88" s="168"/>
      <c r="R88" s="168"/>
      <c r="S88" s="168"/>
      <c r="T88" s="93" t="s">
        <v>157</v>
      </c>
      <c r="U88" s="173"/>
    </row>
    <row r="89" spans="1:22" ht="23.25" customHeight="1">
      <c r="A89" s="43">
        <v>129</v>
      </c>
      <c r="B89" s="43" t="s">
        <v>229</v>
      </c>
      <c r="C89" s="43">
        <v>150</v>
      </c>
      <c r="D89" s="43">
        <v>225</v>
      </c>
      <c r="E89" s="43" t="s">
        <v>230</v>
      </c>
      <c r="F89" s="93" t="s">
        <v>7</v>
      </c>
      <c r="G89" s="43">
        <v>2</v>
      </c>
      <c r="H89" s="93" t="s">
        <v>9</v>
      </c>
      <c r="I89" s="163" t="s">
        <v>55</v>
      </c>
      <c r="J89" s="44">
        <v>45940</v>
      </c>
      <c r="K89" s="49"/>
      <c r="L89" s="204"/>
      <c r="M89" s="63">
        <v>46101</v>
      </c>
      <c r="N89" s="49"/>
      <c r="O89" s="93"/>
      <c r="P89" s="93"/>
      <c r="Q89" s="93"/>
      <c r="R89" s="93"/>
      <c r="S89" s="93"/>
      <c r="T89" s="49"/>
      <c r="U89" s="93"/>
    </row>
    <row r="90" spans="1:22" ht="23.25" customHeight="1">
      <c r="A90" s="43">
        <v>3</v>
      </c>
      <c r="B90" s="43" t="s">
        <v>265</v>
      </c>
      <c r="C90" s="43">
        <v>175</v>
      </c>
      <c r="D90" s="43">
        <v>220</v>
      </c>
      <c r="E90" s="43" t="s">
        <v>266</v>
      </c>
      <c r="F90" s="93" t="s">
        <v>7</v>
      </c>
      <c r="G90" s="43">
        <v>2</v>
      </c>
      <c r="H90" s="93" t="s">
        <v>6</v>
      </c>
      <c r="I90" s="93" t="s">
        <v>55</v>
      </c>
      <c r="J90" s="44">
        <v>45947</v>
      </c>
      <c r="K90" s="49"/>
      <c r="L90" s="204"/>
      <c r="M90" s="63">
        <v>46101</v>
      </c>
      <c r="N90" s="49"/>
      <c r="O90" s="93"/>
      <c r="P90" s="93"/>
      <c r="Q90" s="93"/>
      <c r="R90" s="93"/>
      <c r="S90" s="93"/>
      <c r="T90" s="166" t="s">
        <v>267</v>
      </c>
      <c r="U90" s="93"/>
    </row>
    <row r="91" spans="1:22" ht="23.25" customHeight="1">
      <c r="A91" s="43">
        <v>5</v>
      </c>
      <c r="B91" s="43">
        <v>813242</v>
      </c>
      <c r="C91" s="43">
        <v>125</v>
      </c>
      <c r="D91" s="43">
        <v>400</v>
      </c>
      <c r="E91" s="43" t="s">
        <v>256</v>
      </c>
      <c r="F91" s="93" t="s">
        <v>7</v>
      </c>
      <c r="G91" s="43">
        <v>1</v>
      </c>
      <c r="H91" s="93" t="s">
        <v>18</v>
      </c>
      <c r="I91" s="93" t="s">
        <v>42</v>
      </c>
      <c r="J91" s="78">
        <v>45950</v>
      </c>
      <c r="K91" s="49"/>
      <c r="L91" s="204"/>
      <c r="M91" s="63">
        <v>46111</v>
      </c>
      <c r="N91" s="49"/>
      <c r="O91" s="93"/>
      <c r="P91" s="93"/>
      <c r="Q91" s="93"/>
      <c r="R91" s="93"/>
      <c r="S91" s="93"/>
      <c r="T91" s="93" t="s">
        <v>257</v>
      </c>
      <c r="U91" s="93"/>
    </row>
    <row r="92" spans="1:22" ht="21.75" customHeight="1">
      <c r="A92" s="43">
        <v>66</v>
      </c>
      <c r="B92" s="43" t="s">
        <v>324</v>
      </c>
      <c r="C92" s="43">
        <v>150</v>
      </c>
      <c r="D92" s="43">
        <v>380</v>
      </c>
      <c r="E92" s="43" t="s">
        <v>231</v>
      </c>
      <c r="F92" s="93" t="s">
        <v>7</v>
      </c>
      <c r="G92" s="43">
        <v>6</v>
      </c>
      <c r="H92" s="93" t="s">
        <v>9</v>
      </c>
      <c r="I92" s="43" t="s">
        <v>55</v>
      </c>
      <c r="J92" s="44">
        <v>45950</v>
      </c>
      <c r="K92" s="49"/>
      <c r="L92" s="204"/>
      <c r="M92" s="63">
        <v>46132</v>
      </c>
      <c r="N92" s="49"/>
      <c r="O92" s="93"/>
      <c r="P92" s="93"/>
      <c r="Q92" s="93"/>
      <c r="R92" s="93"/>
      <c r="S92" s="93"/>
      <c r="T92" s="93"/>
      <c r="U92" s="93"/>
    </row>
    <row r="93" spans="1:22" ht="23.25" customHeight="1">
      <c r="A93" s="43">
        <v>12</v>
      </c>
      <c r="B93" s="43">
        <v>813089</v>
      </c>
      <c r="C93" s="43">
        <v>300</v>
      </c>
      <c r="D93" s="43">
        <v>420</v>
      </c>
      <c r="E93" s="43" t="s">
        <v>140</v>
      </c>
      <c r="F93" s="43" t="s">
        <v>7</v>
      </c>
      <c r="G93" s="43">
        <v>1</v>
      </c>
      <c r="H93" s="93" t="s">
        <v>6</v>
      </c>
      <c r="I93" s="43" t="s">
        <v>55</v>
      </c>
      <c r="J93" s="44">
        <v>45960</v>
      </c>
      <c r="K93" s="49"/>
      <c r="L93" s="204"/>
      <c r="M93" s="63">
        <v>46142</v>
      </c>
      <c r="N93" s="49"/>
      <c r="O93" s="93"/>
      <c r="P93" s="93"/>
      <c r="Q93" s="93"/>
      <c r="R93" s="93"/>
      <c r="S93" s="93"/>
      <c r="T93" s="93"/>
      <c r="U93" s="93"/>
    </row>
    <row r="94" spans="1:22" ht="31.5" customHeight="1">
      <c r="A94" s="43">
        <v>68</v>
      </c>
      <c r="B94" s="43" t="s">
        <v>325</v>
      </c>
      <c r="C94" s="43">
        <v>150</v>
      </c>
      <c r="D94" s="43">
        <v>380</v>
      </c>
      <c r="E94" s="43" t="s">
        <v>231</v>
      </c>
      <c r="F94" s="93" t="s">
        <v>7</v>
      </c>
      <c r="G94" s="43">
        <v>6</v>
      </c>
      <c r="H94" s="93" t="s">
        <v>9</v>
      </c>
      <c r="I94" s="43" t="s">
        <v>55</v>
      </c>
      <c r="J94" s="44">
        <v>45960</v>
      </c>
      <c r="K94" s="49"/>
      <c r="L94" s="204"/>
      <c r="M94" s="94">
        <v>46154</v>
      </c>
      <c r="N94" s="49"/>
      <c r="O94" s="93"/>
      <c r="P94" s="93"/>
      <c r="Q94" s="93"/>
      <c r="R94" s="93"/>
      <c r="S94" s="93"/>
      <c r="T94" s="93"/>
      <c r="U94" s="93"/>
    </row>
    <row r="95" spans="1:22" ht="40.5" customHeight="1">
      <c r="A95" s="43">
        <v>10</v>
      </c>
      <c r="B95" s="43" t="s">
        <v>235</v>
      </c>
      <c r="C95" s="43">
        <v>150</v>
      </c>
      <c r="D95" s="43">
        <v>230</v>
      </c>
      <c r="E95" s="43" t="s">
        <v>236</v>
      </c>
      <c r="F95" s="43" t="s">
        <v>7</v>
      </c>
      <c r="G95" s="93">
        <v>2</v>
      </c>
      <c r="H95" s="93" t="s">
        <v>6</v>
      </c>
      <c r="I95" s="93" t="s">
        <v>42</v>
      </c>
      <c r="J95" s="44">
        <v>45975</v>
      </c>
      <c r="K95" s="49"/>
      <c r="L95" s="204"/>
      <c r="M95" s="94">
        <v>46157</v>
      </c>
      <c r="N95" s="49"/>
      <c r="O95" s="93"/>
      <c r="P95" s="93"/>
      <c r="Q95" s="93"/>
      <c r="R95" s="93"/>
      <c r="S95" s="93"/>
      <c r="T95" s="49" t="s">
        <v>242</v>
      </c>
      <c r="U95" s="93"/>
      <c r="V95" s="92"/>
    </row>
    <row r="96" spans="1:22" ht="25.5" customHeight="1">
      <c r="A96" s="43">
        <v>15</v>
      </c>
      <c r="B96" s="43">
        <v>813219</v>
      </c>
      <c r="C96" s="43">
        <v>180</v>
      </c>
      <c r="D96" s="43">
        <v>330</v>
      </c>
      <c r="E96" s="43" t="s">
        <v>269</v>
      </c>
      <c r="F96" s="93" t="s">
        <v>7</v>
      </c>
      <c r="G96" s="43">
        <v>1</v>
      </c>
      <c r="H96" s="93" t="s">
        <v>10</v>
      </c>
      <c r="I96" s="93" t="s">
        <v>175</v>
      </c>
      <c r="J96" s="44">
        <v>45976</v>
      </c>
      <c r="K96" s="49"/>
      <c r="L96" s="204" t="s">
        <v>133</v>
      </c>
      <c r="M96" s="94">
        <v>46157</v>
      </c>
      <c r="N96" s="49"/>
      <c r="O96" s="93"/>
      <c r="P96" s="93"/>
      <c r="Q96" s="93"/>
      <c r="R96" s="93"/>
      <c r="S96" s="93"/>
      <c r="T96" s="93"/>
      <c r="U96" s="93"/>
    </row>
    <row r="97" spans="1:22" ht="20.25" customHeight="1">
      <c r="A97" s="43">
        <v>70</v>
      </c>
      <c r="B97" s="43" t="s">
        <v>326</v>
      </c>
      <c r="C97" s="43">
        <v>150</v>
      </c>
      <c r="D97" s="43">
        <v>380</v>
      </c>
      <c r="E97" s="43" t="s">
        <v>231</v>
      </c>
      <c r="F97" s="93" t="s">
        <v>7</v>
      </c>
      <c r="G97" s="43">
        <v>6</v>
      </c>
      <c r="H97" s="93" t="s">
        <v>9</v>
      </c>
      <c r="I97" s="43" t="s">
        <v>55</v>
      </c>
      <c r="J97" s="44">
        <v>45981</v>
      </c>
      <c r="K97" s="49"/>
      <c r="L97" s="204"/>
      <c r="M97" s="166">
        <v>46157</v>
      </c>
      <c r="N97" s="49"/>
      <c r="O97" s="93"/>
      <c r="P97" s="93"/>
      <c r="Q97" s="93"/>
      <c r="R97" s="93"/>
      <c r="S97" s="93"/>
      <c r="T97" s="93"/>
      <c r="U97" s="93"/>
    </row>
    <row r="98" spans="1:22" ht="31.5" customHeight="1">
      <c r="A98" s="43">
        <v>52</v>
      </c>
      <c r="B98" s="43">
        <v>850737</v>
      </c>
      <c r="C98" s="43">
        <v>180</v>
      </c>
      <c r="D98" s="43">
        <v>220</v>
      </c>
      <c r="E98" s="43" t="s">
        <v>273</v>
      </c>
      <c r="F98" s="43" t="s">
        <v>125</v>
      </c>
      <c r="G98" s="43">
        <v>1</v>
      </c>
      <c r="H98" s="93" t="s">
        <v>20</v>
      </c>
      <c r="I98" s="85" t="s">
        <v>175</v>
      </c>
      <c r="J98" s="44">
        <v>45987</v>
      </c>
      <c r="K98" s="49"/>
      <c r="L98" s="204"/>
      <c r="M98" s="94">
        <v>46162</v>
      </c>
      <c r="N98" s="49"/>
      <c r="O98" s="93"/>
      <c r="P98" s="93"/>
      <c r="Q98" s="93"/>
      <c r="R98" s="93"/>
      <c r="S98" s="93"/>
      <c r="T98" s="93"/>
      <c r="U98" s="93"/>
    </row>
    <row r="99" spans="1:22" ht="23.25" customHeight="1">
      <c r="A99" s="43">
        <v>41</v>
      </c>
      <c r="B99" s="54">
        <v>813183</v>
      </c>
      <c r="C99" s="54">
        <v>250</v>
      </c>
      <c r="D99" s="54">
        <v>220</v>
      </c>
      <c r="E99" s="43" t="s">
        <v>218</v>
      </c>
      <c r="F99" s="174" t="s">
        <v>7</v>
      </c>
      <c r="G99" s="54">
        <v>1</v>
      </c>
      <c r="H99" s="93" t="s">
        <v>9</v>
      </c>
      <c r="I99" s="177" t="s">
        <v>55</v>
      </c>
      <c r="J99" s="44">
        <v>45989</v>
      </c>
      <c r="K99" s="49"/>
      <c r="L99" s="204"/>
      <c r="M99" s="94">
        <v>46162</v>
      </c>
      <c r="N99" s="49"/>
      <c r="O99" s="93"/>
      <c r="P99" s="93"/>
      <c r="Q99" s="93"/>
      <c r="R99" s="93"/>
      <c r="S99" s="93"/>
      <c r="T99" s="93" t="s">
        <v>219</v>
      </c>
      <c r="U99" s="93"/>
    </row>
    <row r="100" spans="1:22" ht="23.25" customHeight="1">
      <c r="A100" s="43">
        <v>17</v>
      </c>
      <c r="B100" s="43">
        <v>813202</v>
      </c>
      <c r="C100" s="43">
        <v>175</v>
      </c>
      <c r="D100" s="43">
        <v>138</v>
      </c>
      <c r="E100" s="43" t="s">
        <v>268</v>
      </c>
      <c r="F100" s="93" t="s">
        <v>7</v>
      </c>
      <c r="G100" s="43">
        <v>1</v>
      </c>
      <c r="H100" s="93" t="s">
        <v>6</v>
      </c>
      <c r="I100" s="177" t="s">
        <v>42</v>
      </c>
      <c r="J100" s="44">
        <v>45991</v>
      </c>
      <c r="K100" s="49"/>
      <c r="L100" s="204"/>
      <c r="M100" s="63">
        <v>46177</v>
      </c>
      <c r="N100" s="49"/>
      <c r="O100" s="93"/>
      <c r="P100" s="93"/>
      <c r="Q100" s="93"/>
      <c r="R100" s="93"/>
      <c r="S100" s="93"/>
      <c r="T100" s="93"/>
      <c r="U100" s="93"/>
    </row>
    <row r="101" spans="1:22" ht="23.25" customHeight="1">
      <c r="A101" s="43">
        <v>71</v>
      </c>
      <c r="B101" s="43" t="s">
        <v>290</v>
      </c>
      <c r="C101" s="43">
        <v>40</v>
      </c>
      <c r="D101" s="43">
        <v>132</v>
      </c>
      <c r="E101" s="43" t="s">
        <v>231</v>
      </c>
      <c r="F101" s="93" t="s">
        <v>7</v>
      </c>
      <c r="G101" s="43">
        <v>1</v>
      </c>
      <c r="H101" s="93" t="s">
        <v>9</v>
      </c>
      <c r="I101" s="85" t="s">
        <v>55</v>
      </c>
      <c r="J101" s="44">
        <v>45996</v>
      </c>
      <c r="K101" s="49"/>
      <c r="L101" s="204" t="s">
        <v>133</v>
      </c>
      <c r="M101" s="94">
        <v>46177</v>
      </c>
      <c r="N101" s="49"/>
      <c r="O101" s="93"/>
      <c r="P101" s="93"/>
      <c r="Q101" s="93"/>
      <c r="R101" s="93"/>
      <c r="S101" s="93"/>
      <c r="T101" s="93"/>
      <c r="U101" s="93"/>
    </row>
    <row r="102" spans="1:22" ht="23.25" customHeight="1">
      <c r="A102" s="43">
        <v>18</v>
      </c>
      <c r="B102" s="43">
        <v>813193</v>
      </c>
      <c r="C102" s="43">
        <v>83</v>
      </c>
      <c r="D102" s="43">
        <v>110</v>
      </c>
      <c r="E102" s="49" t="s">
        <v>228</v>
      </c>
      <c r="F102" s="93" t="s">
        <v>7</v>
      </c>
      <c r="G102" s="43">
        <v>1</v>
      </c>
      <c r="H102" s="93" t="s">
        <v>10</v>
      </c>
      <c r="I102" s="163" t="s">
        <v>175</v>
      </c>
      <c r="J102" s="179">
        <v>46000</v>
      </c>
      <c r="K102" s="49"/>
      <c r="L102" s="204"/>
      <c r="M102" s="94">
        <v>46183</v>
      </c>
      <c r="N102" s="49"/>
      <c r="O102" s="93"/>
      <c r="P102" s="93"/>
      <c r="Q102" s="93"/>
      <c r="R102" s="93"/>
      <c r="S102" s="93"/>
      <c r="T102" s="93"/>
      <c r="U102" s="93"/>
    </row>
    <row r="103" spans="1:22" ht="23.25" customHeight="1">
      <c r="A103" s="43">
        <v>72</v>
      </c>
      <c r="B103" s="43" t="s">
        <v>327</v>
      </c>
      <c r="C103" s="43">
        <v>40</v>
      </c>
      <c r="D103" s="43">
        <v>132</v>
      </c>
      <c r="E103" s="43" t="s">
        <v>231</v>
      </c>
      <c r="F103" s="93" t="s">
        <v>7</v>
      </c>
      <c r="G103" s="43">
        <v>1</v>
      </c>
      <c r="H103" s="93" t="s">
        <v>9</v>
      </c>
      <c r="I103" s="43" t="s">
        <v>55</v>
      </c>
      <c r="J103" s="44">
        <v>46001</v>
      </c>
      <c r="K103" s="49"/>
      <c r="L103" s="204"/>
      <c r="M103" s="166">
        <v>46183</v>
      </c>
      <c r="N103" s="49"/>
      <c r="O103" s="93"/>
      <c r="P103" s="93"/>
      <c r="Q103" s="93"/>
      <c r="R103" s="93"/>
      <c r="S103" s="93"/>
      <c r="T103" s="93"/>
      <c r="U103" s="93"/>
    </row>
    <row r="104" spans="1:22" ht="23.25" customHeight="1">
      <c r="A104" s="43">
        <v>69</v>
      </c>
      <c r="B104" s="43">
        <v>813143</v>
      </c>
      <c r="C104" s="43">
        <v>60</v>
      </c>
      <c r="D104" s="43">
        <v>220</v>
      </c>
      <c r="E104" s="43" t="s">
        <v>248</v>
      </c>
      <c r="F104" s="93" t="s">
        <v>7</v>
      </c>
      <c r="G104" s="43">
        <v>1</v>
      </c>
      <c r="H104" s="93" t="s">
        <v>6</v>
      </c>
      <c r="I104" s="93" t="s">
        <v>42</v>
      </c>
      <c r="J104" s="44">
        <v>46006</v>
      </c>
      <c r="K104" s="49"/>
      <c r="L104" s="204"/>
      <c r="M104" s="166">
        <v>46188</v>
      </c>
      <c r="N104" s="49"/>
      <c r="O104" s="93"/>
      <c r="P104" s="93"/>
      <c r="Q104" s="93"/>
      <c r="R104" s="93"/>
      <c r="S104" s="93"/>
      <c r="T104" s="93"/>
      <c r="U104" s="93"/>
      <c r="V104" s="92"/>
    </row>
    <row r="105" spans="1:22" ht="23.25" customHeight="1">
      <c r="A105" s="43">
        <v>56</v>
      </c>
      <c r="B105" s="43">
        <v>850620</v>
      </c>
      <c r="C105" s="43">
        <v>150</v>
      </c>
      <c r="D105" s="43">
        <v>220</v>
      </c>
      <c r="E105" s="49" t="s">
        <v>90</v>
      </c>
      <c r="F105" s="93" t="s">
        <v>125</v>
      </c>
      <c r="G105" s="43">
        <v>1</v>
      </c>
      <c r="H105" s="93" t="s">
        <v>16</v>
      </c>
      <c r="I105" s="163" t="s">
        <v>175</v>
      </c>
      <c r="J105" s="44">
        <v>46006</v>
      </c>
      <c r="K105" s="49"/>
      <c r="L105" s="204"/>
      <c r="M105" s="166">
        <v>46188</v>
      </c>
      <c r="N105" s="49"/>
      <c r="O105" s="93"/>
      <c r="P105" s="93"/>
      <c r="Q105" s="93"/>
      <c r="R105" s="93"/>
      <c r="S105" s="93"/>
      <c r="T105" s="93"/>
      <c r="U105" s="93"/>
    </row>
    <row r="106" spans="1:22" ht="23.25" customHeight="1">
      <c r="A106" s="43">
        <v>16</v>
      </c>
      <c r="B106" s="43">
        <v>813218</v>
      </c>
      <c r="C106" s="43">
        <v>295</v>
      </c>
      <c r="D106" s="43">
        <v>220</v>
      </c>
      <c r="E106" s="43" t="s">
        <v>247</v>
      </c>
      <c r="F106" s="93" t="s">
        <v>7</v>
      </c>
      <c r="G106" s="43">
        <v>1</v>
      </c>
      <c r="H106" s="93" t="s">
        <v>9</v>
      </c>
      <c r="I106" s="93" t="s">
        <v>55</v>
      </c>
      <c r="J106" s="44">
        <v>46006</v>
      </c>
      <c r="K106" s="136"/>
      <c r="L106" s="204"/>
      <c r="M106" s="166">
        <v>46189</v>
      </c>
      <c r="N106" s="49"/>
      <c r="O106" s="93"/>
      <c r="P106" s="93"/>
      <c r="Q106" s="93"/>
      <c r="R106" s="93"/>
      <c r="S106" s="93"/>
      <c r="T106" s="93"/>
      <c r="U106" s="93"/>
    </row>
    <row r="107" spans="1:22" ht="23.25" customHeight="1">
      <c r="A107" s="43">
        <v>73</v>
      </c>
      <c r="B107" s="43" t="s">
        <v>368</v>
      </c>
      <c r="C107" s="43">
        <v>40</v>
      </c>
      <c r="D107" s="43">
        <v>132</v>
      </c>
      <c r="E107" s="43" t="s">
        <v>231</v>
      </c>
      <c r="F107" s="93" t="s">
        <v>7</v>
      </c>
      <c r="G107" s="43">
        <v>1</v>
      </c>
      <c r="H107" s="93" t="s">
        <v>9</v>
      </c>
      <c r="I107" s="43" t="s">
        <v>55</v>
      </c>
      <c r="J107" s="44">
        <v>46006</v>
      </c>
      <c r="K107" s="49"/>
      <c r="L107" s="204" t="s">
        <v>138</v>
      </c>
      <c r="M107" s="63">
        <v>46199</v>
      </c>
      <c r="N107" s="49"/>
      <c r="O107" s="93"/>
      <c r="P107" s="93"/>
      <c r="Q107" s="93"/>
      <c r="R107" s="93"/>
      <c r="S107" s="93"/>
      <c r="T107" s="93"/>
      <c r="U107" s="93"/>
    </row>
    <row r="108" spans="1:22" ht="23.25" customHeight="1">
      <c r="A108" s="43">
        <v>86</v>
      </c>
      <c r="B108" s="43">
        <v>850783</v>
      </c>
      <c r="C108" s="43">
        <v>334</v>
      </c>
      <c r="D108" s="43">
        <v>550</v>
      </c>
      <c r="E108" s="43" t="s">
        <v>406</v>
      </c>
      <c r="F108" s="93" t="s">
        <v>125</v>
      </c>
      <c r="G108" s="43">
        <v>1</v>
      </c>
      <c r="H108" s="93" t="s">
        <v>16</v>
      </c>
      <c r="I108" s="43" t="s">
        <v>175</v>
      </c>
      <c r="J108" s="44">
        <v>46032</v>
      </c>
      <c r="K108" s="49"/>
      <c r="L108" s="204"/>
      <c r="M108" s="63">
        <v>46199</v>
      </c>
      <c r="N108" s="49"/>
      <c r="O108" s="93"/>
      <c r="P108" s="93"/>
      <c r="Q108" s="93"/>
      <c r="R108" s="93"/>
      <c r="S108" s="93"/>
      <c r="T108" s="93" t="s">
        <v>409</v>
      </c>
      <c r="U108" s="93"/>
    </row>
    <row r="109" spans="1:22" ht="23.25" customHeight="1">
      <c r="A109" s="43">
        <v>44</v>
      </c>
      <c r="B109" s="43" t="s">
        <v>274</v>
      </c>
      <c r="C109" s="43">
        <v>250</v>
      </c>
      <c r="D109" s="43">
        <v>330</v>
      </c>
      <c r="E109" s="43" t="s">
        <v>275</v>
      </c>
      <c r="F109" s="43" t="s">
        <v>7</v>
      </c>
      <c r="G109" s="43">
        <v>2</v>
      </c>
      <c r="H109" s="93" t="s">
        <v>10</v>
      </c>
      <c r="I109" s="43" t="s">
        <v>55</v>
      </c>
      <c r="J109" s="44">
        <v>46037</v>
      </c>
      <c r="K109" s="49"/>
      <c r="L109" s="204"/>
      <c r="M109" s="94">
        <v>46199</v>
      </c>
      <c r="N109" s="49"/>
      <c r="O109" s="93"/>
      <c r="P109" s="93"/>
      <c r="Q109" s="93"/>
      <c r="R109" s="93"/>
      <c r="S109" s="93"/>
      <c r="T109" s="93"/>
      <c r="U109" s="93"/>
    </row>
    <row r="110" spans="1:22" ht="23.25" customHeight="1">
      <c r="A110" s="43">
        <v>74</v>
      </c>
      <c r="B110" s="43" t="s">
        <v>536</v>
      </c>
      <c r="C110" s="43">
        <v>100</v>
      </c>
      <c r="D110" s="43">
        <v>400</v>
      </c>
      <c r="E110" s="43" t="s">
        <v>114</v>
      </c>
      <c r="F110" s="93" t="s">
        <v>7</v>
      </c>
      <c r="G110" s="43">
        <v>2</v>
      </c>
      <c r="H110" s="93" t="s">
        <v>18</v>
      </c>
      <c r="I110" s="43" t="s">
        <v>42</v>
      </c>
      <c r="J110" s="44">
        <v>46037</v>
      </c>
      <c r="K110" s="49"/>
      <c r="L110" s="52"/>
      <c r="M110" s="166">
        <v>46205</v>
      </c>
      <c r="N110" s="49"/>
      <c r="O110" s="93"/>
      <c r="P110" s="93"/>
      <c r="Q110" s="93"/>
      <c r="R110" s="93"/>
      <c r="S110" s="93"/>
      <c r="T110" s="93" t="s">
        <v>447</v>
      </c>
      <c r="U110" s="93"/>
    </row>
    <row r="111" spans="1:22" ht="30" customHeight="1">
      <c r="A111" s="43">
        <v>75</v>
      </c>
      <c r="B111" s="43" t="s">
        <v>369</v>
      </c>
      <c r="C111" s="43">
        <v>80</v>
      </c>
      <c r="D111" s="43">
        <v>380</v>
      </c>
      <c r="E111" s="43" t="s">
        <v>231</v>
      </c>
      <c r="F111" s="93" t="s">
        <v>7</v>
      </c>
      <c r="G111" s="43">
        <v>1</v>
      </c>
      <c r="H111" s="93" t="s">
        <v>9</v>
      </c>
      <c r="I111" s="93" t="s">
        <v>55</v>
      </c>
      <c r="J111" s="44">
        <v>46037</v>
      </c>
      <c r="K111" s="44"/>
      <c r="L111" s="49"/>
      <c r="M111" s="94">
        <v>46212</v>
      </c>
      <c r="N111" s="49"/>
      <c r="O111" s="93"/>
      <c r="P111" s="93"/>
      <c r="Q111" s="93"/>
      <c r="R111" s="93"/>
      <c r="S111" s="93"/>
      <c r="T111" s="93"/>
      <c r="U111" s="93"/>
    </row>
    <row r="112" spans="1:22" ht="30" customHeight="1">
      <c r="A112" s="43">
        <v>58</v>
      </c>
      <c r="B112" s="43">
        <v>850621</v>
      </c>
      <c r="C112" s="43">
        <v>180</v>
      </c>
      <c r="D112" s="43">
        <v>220</v>
      </c>
      <c r="E112" s="49" t="s">
        <v>91</v>
      </c>
      <c r="F112" s="93" t="s">
        <v>125</v>
      </c>
      <c r="G112" s="43">
        <v>1</v>
      </c>
      <c r="H112" s="93" t="s">
        <v>16</v>
      </c>
      <c r="I112" s="93" t="s">
        <v>175</v>
      </c>
      <c r="J112" s="44">
        <v>46038</v>
      </c>
      <c r="K112" s="44"/>
      <c r="L112" s="43"/>
      <c r="M112" s="94">
        <v>46212</v>
      </c>
      <c r="N112" s="49"/>
      <c r="O112" s="93"/>
      <c r="P112" s="93"/>
      <c r="Q112" s="93"/>
      <c r="R112" s="93"/>
      <c r="S112" s="93"/>
      <c r="T112" s="93"/>
      <c r="U112" s="93"/>
    </row>
    <row r="113" spans="1:21" ht="30" customHeight="1">
      <c r="A113" s="43">
        <v>84</v>
      </c>
      <c r="B113" s="43" t="s">
        <v>402</v>
      </c>
      <c r="C113" s="43">
        <v>250</v>
      </c>
      <c r="D113" s="43">
        <v>275</v>
      </c>
      <c r="E113" s="43" t="s">
        <v>404</v>
      </c>
      <c r="F113" s="43" t="s">
        <v>7</v>
      </c>
      <c r="G113" s="43">
        <v>2</v>
      </c>
      <c r="H113" s="93" t="s">
        <v>8</v>
      </c>
      <c r="I113" s="93" t="s">
        <v>42</v>
      </c>
      <c r="J113" s="44">
        <v>46038</v>
      </c>
      <c r="K113" s="44"/>
      <c r="L113" s="52"/>
      <c r="M113" s="63">
        <v>46228</v>
      </c>
      <c r="N113" s="49"/>
      <c r="O113" s="93"/>
      <c r="P113" s="93"/>
      <c r="Q113" s="93"/>
      <c r="R113" s="93"/>
      <c r="S113" s="93"/>
      <c r="T113" s="93"/>
      <c r="U113" s="93"/>
    </row>
    <row r="114" spans="1:21" ht="30" customHeight="1">
      <c r="A114" s="43">
        <v>77</v>
      </c>
      <c r="B114" s="43" t="s">
        <v>370</v>
      </c>
      <c r="C114" s="43">
        <v>80</v>
      </c>
      <c r="D114" s="43">
        <v>380</v>
      </c>
      <c r="E114" s="43" t="s">
        <v>231</v>
      </c>
      <c r="F114" s="93" t="s">
        <v>7</v>
      </c>
      <c r="G114" s="43">
        <v>1</v>
      </c>
      <c r="H114" s="93" t="s">
        <v>9</v>
      </c>
      <c r="I114" s="93" t="s">
        <v>55</v>
      </c>
      <c r="J114" s="44">
        <v>46042</v>
      </c>
      <c r="K114" s="44"/>
      <c r="L114" s="52"/>
      <c r="M114" s="63">
        <v>46233</v>
      </c>
      <c r="N114" s="49"/>
      <c r="O114" s="93"/>
      <c r="P114" s="93"/>
      <c r="Q114" s="93"/>
      <c r="R114" s="93"/>
      <c r="S114" s="93"/>
      <c r="T114" s="93"/>
      <c r="U114" s="93"/>
    </row>
    <row r="115" spans="1:21" ht="30" customHeight="1">
      <c r="A115" s="43">
        <v>46</v>
      </c>
      <c r="B115" s="43">
        <v>813203</v>
      </c>
      <c r="C115" s="43">
        <v>160</v>
      </c>
      <c r="D115" s="43">
        <v>400</v>
      </c>
      <c r="E115" s="43" t="s">
        <v>255</v>
      </c>
      <c r="F115" s="93" t="s">
        <v>7</v>
      </c>
      <c r="G115" s="43">
        <v>1</v>
      </c>
      <c r="H115" s="93" t="s">
        <v>18</v>
      </c>
      <c r="I115" s="93" t="s">
        <v>55</v>
      </c>
      <c r="J115" s="44">
        <v>46047</v>
      </c>
      <c r="K115" s="44"/>
      <c r="L115" s="43"/>
      <c r="M115" s="166">
        <v>46241</v>
      </c>
      <c r="N115" s="49"/>
      <c r="O115" s="93"/>
      <c r="P115" s="93"/>
      <c r="Q115" s="93"/>
      <c r="R115" s="93"/>
      <c r="S115" s="93"/>
      <c r="T115" s="93" t="s">
        <v>363</v>
      </c>
      <c r="U115" s="93"/>
    </row>
    <row r="116" spans="1:21" ht="30" customHeight="1">
      <c r="A116" s="43">
        <v>87</v>
      </c>
      <c r="B116" s="43">
        <v>813281</v>
      </c>
      <c r="C116" s="43">
        <v>250</v>
      </c>
      <c r="D116" s="43">
        <v>400</v>
      </c>
      <c r="E116" s="43" t="s">
        <v>405</v>
      </c>
      <c r="F116" s="93" t="s">
        <v>7</v>
      </c>
      <c r="G116" s="43">
        <v>1</v>
      </c>
      <c r="H116" s="93" t="s">
        <v>6</v>
      </c>
      <c r="I116" s="93" t="s">
        <v>42</v>
      </c>
      <c r="J116" s="44">
        <v>46047</v>
      </c>
      <c r="K116" s="44"/>
      <c r="L116" s="49"/>
      <c r="M116" s="166">
        <v>46280</v>
      </c>
      <c r="N116" s="49"/>
      <c r="O116" s="93"/>
      <c r="P116" s="93"/>
      <c r="Q116" s="93"/>
      <c r="R116" s="93"/>
      <c r="S116" s="93"/>
      <c r="T116" s="93" t="s">
        <v>408</v>
      </c>
      <c r="U116" s="93"/>
    </row>
    <row r="117" spans="1:21" ht="30" customHeight="1">
      <c r="A117" s="43">
        <v>78</v>
      </c>
      <c r="B117" s="43" t="s">
        <v>371</v>
      </c>
      <c r="C117" s="43">
        <v>80</v>
      </c>
      <c r="D117" s="43">
        <v>380</v>
      </c>
      <c r="E117" s="43" t="s">
        <v>231</v>
      </c>
      <c r="F117" s="93" t="s">
        <v>7</v>
      </c>
      <c r="G117" s="43">
        <v>1</v>
      </c>
      <c r="H117" s="93" t="s">
        <v>9</v>
      </c>
      <c r="I117" s="93" t="s">
        <v>55</v>
      </c>
      <c r="J117" s="44">
        <v>46049</v>
      </c>
      <c r="K117" s="44"/>
      <c r="L117" s="43"/>
      <c r="M117" s="166">
        <v>46280</v>
      </c>
      <c r="N117" s="49"/>
      <c r="O117" s="93"/>
      <c r="P117" s="93"/>
      <c r="Q117" s="93"/>
      <c r="R117" s="93"/>
      <c r="S117" s="93"/>
      <c r="T117" s="93"/>
      <c r="U117" s="93"/>
    </row>
    <row r="118" spans="1:21" ht="30" customHeight="1">
      <c r="A118" s="54">
        <v>33</v>
      </c>
      <c r="B118" s="54">
        <v>813223</v>
      </c>
      <c r="C118" s="54">
        <v>450</v>
      </c>
      <c r="D118" s="54">
        <v>400</v>
      </c>
      <c r="E118" s="54" t="s">
        <v>270</v>
      </c>
      <c r="F118" s="174" t="s">
        <v>7</v>
      </c>
      <c r="G118" s="54">
        <v>1</v>
      </c>
      <c r="H118" s="93" t="s">
        <v>8</v>
      </c>
      <c r="I118" s="174" t="s">
        <v>42</v>
      </c>
      <c r="J118" s="72">
        <v>46052</v>
      </c>
      <c r="K118" s="44"/>
      <c r="L118" s="43"/>
      <c r="M118" s="166">
        <v>46295</v>
      </c>
      <c r="N118" s="49"/>
      <c r="O118" s="93"/>
      <c r="P118" s="93"/>
      <c r="Q118" s="93"/>
      <c r="R118" s="93"/>
      <c r="S118" s="93"/>
      <c r="T118" s="93"/>
      <c r="U118" s="93"/>
    </row>
    <row r="119" spans="1:21" ht="30" customHeight="1">
      <c r="A119" s="43">
        <v>80</v>
      </c>
      <c r="B119" s="43" t="s">
        <v>372</v>
      </c>
      <c r="C119" s="43">
        <v>100</v>
      </c>
      <c r="D119" s="43">
        <v>380</v>
      </c>
      <c r="E119" s="43" t="s">
        <v>231</v>
      </c>
      <c r="F119" s="93" t="s">
        <v>7</v>
      </c>
      <c r="G119" s="43">
        <v>1</v>
      </c>
      <c r="H119" s="93" t="s">
        <v>9</v>
      </c>
      <c r="I119" s="93" t="s">
        <v>55</v>
      </c>
      <c r="J119" s="44">
        <v>46063</v>
      </c>
      <c r="K119" s="44"/>
      <c r="L119" s="44" t="s">
        <v>132</v>
      </c>
      <c r="M119" s="63" t="s">
        <v>118</v>
      </c>
      <c r="N119" s="49"/>
      <c r="O119" s="93"/>
      <c r="P119" s="93"/>
      <c r="Q119" s="93"/>
      <c r="R119" s="93"/>
      <c r="S119" s="93"/>
      <c r="T119" s="93"/>
      <c r="U119" s="93"/>
    </row>
    <row r="120" spans="1:21" ht="30" customHeight="1">
      <c r="A120" s="43">
        <v>35</v>
      </c>
      <c r="B120" s="43" t="s">
        <v>533</v>
      </c>
      <c r="C120" s="43" t="s">
        <v>264</v>
      </c>
      <c r="D120" s="43">
        <v>240</v>
      </c>
      <c r="E120" s="43" t="s">
        <v>261</v>
      </c>
      <c r="F120" s="93" t="s">
        <v>7</v>
      </c>
      <c r="G120" s="43">
        <v>2</v>
      </c>
      <c r="H120" s="93" t="s">
        <v>18</v>
      </c>
      <c r="I120" s="93" t="s">
        <v>42</v>
      </c>
      <c r="J120" s="44">
        <v>46065</v>
      </c>
      <c r="K120" s="44"/>
      <c r="L120" s="44" t="s">
        <v>132</v>
      </c>
      <c r="M120" s="63"/>
      <c r="N120" s="49"/>
      <c r="O120" s="93"/>
      <c r="P120" s="93"/>
      <c r="Q120" s="93"/>
      <c r="R120" s="93"/>
      <c r="S120" s="93"/>
      <c r="T120" s="166"/>
      <c r="U120" s="93"/>
    </row>
    <row r="121" spans="1:21" ht="23.25" customHeight="1">
      <c r="A121" s="43">
        <v>60</v>
      </c>
      <c r="B121" s="43" t="s">
        <v>366</v>
      </c>
      <c r="C121" s="43">
        <v>20</v>
      </c>
      <c r="D121" s="43">
        <v>220</v>
      </c>
      <c r="E121" s="43" t="s">
        <v>365</v>
      </c>
      <c r="F121" s="93" t="s">
        <v>7</v>
      </c>
      <c r="G121" s="43">
        <v>2</v>
      </c>
      <c r="H121" s="93" t="s">
        <v>18</v>
      </c>
      <c r="I121" s="93" t="s">
        <v>42</v>
      </c>
      <c r="J121" s="44">
        <v>46067</v>
      </c>
      <c r="K121" s="44"/>
      <c r="L121" s="204" t="s">
        <v>133</v>
      </c>
      <c r="M121" s="63"/>
      <c r="N121" s="49"/>
      <c r="O121" s="93"/>
      <c r="P121" s="93"/>
      <c r="Q121" s="93"/>
      <c r="R121" s="93"/>
      <c r="S121" s="93"/>
      <c r="T121" s="93"/>
      <c r="U121" s="93"/>
    </row>
    <row r="122" spans="1:21" ht="23.25" customHeight="1">
      <c r="A122" s="43">
        <v>64</v>
      </c>
      <c r="B122" s="43" t="s">
        <v>377</v>
      </c>
      <c r="C122" s="43">
        <v>350</v>
      </c>
      <c r="D122" s="43">
        <v>230</v>
      </c>
      <c r="E122" s="43" t="s">
        <v>367</v>
      </c>
      <c r="F122" s="93" t="s">
        <v>7</v>
      </c>
      <c r="G122" s="43">
        <v>2</v>
      </c>
      <c r="H122" s="93" t="s">
        <v>129</v>
      </c>
      <c r="I122" s="93" t="s">
        <v>175</v>
      </c>
      <c r="J122" s="44">
        <v>46067</v>
      </c>
      <c r="K122" s="44"/>
      <c r="L122" s="44" t="s">
        <v>138</v>
      </c>
      <c r="M122" s="63"/>
      <c r="N122" s="49"/>
      <c r="O122" s="93"/>
      <c r="P122" s="93"/>
      <c r="Q122" s="93"/>
      <c r="R122" s="93"/>
      <c r="S122" s="93"/>
      <c r="T122" s="93"/>
      <c r="U122" s="93"/>
    </row>
    <row r="123" spans="1:21" ht="23.25" customHeight="1">
      <c r="A123" s="43">
        <v>91</v>
      </c>
      <c r="B123" s="43" t="s">
        <v>415</v>
      </c>
      <c r="C123" s="43">
        <v>500</v>
      </c>
      <c r="D123" s="43">
        <v>750</v>
      </c>
      <c r="E123" s="43" t="s">
        <v>416</v>
      </c>
      <c r="F123" s="93" t="s">
        <v>125</v>
      </c>
      <c r="G123" s="43">
        <v>6</v>
      </c>
      <c r="H123" s="93" t="s">
        <v>6</v>
      </c>
      <c r="I123" s="93" t="s">
        <v>55</v>
      </c>
      <c r="J123" s="44">
        <v>46067</v>
      </c>
      <c r="K123" s="44"/>
      <c r="L123" s="52"/>
      <c r="M123" s="63"/>
      <c r="N123" s="49"/>
      <c r="O123" s="93"/>
      <c r="P123" s="93"/>
      <c r="Q123" s="93"/>
      <c r="R123" s="93"/>
      <c r="S123" s="93"/>
      <c r="T123" s="93"/>
      <c r="U123" s="93"/>
    </row>
    <row r="124" spans="1:21" ht="23.25" customHeight="1">
      <c r="A124" s="43">
        <v>93</v>
      </c>
      <c r="B124" s="43">
        <v>813301</v>
      </c>
      <c r="C124" s="43">
        <v>240</v>
      </c>
      <c r="D124" s="43">
        <v>220</v>
      </c>
      <c r="E124" s="43" t="s">
        <v>417</v>
      </c>
      <c r="F124" s="93" t="s">
        <v>125</v>
      </c>
      <c r="G124" s="43">
        <v>1</v>
      </c>
      <c r="H124" s="93" t="s">
        <v>8</v>
      </c>
      <c r="I124" s="93" t="s">
        <v>175</v>
      </c>
      <c r="J124" s="44">
        <v>46067</v>
      </c>
      <c r="K124" s="44"/>
      <c r="L124" s="204" t="s">
        <v>138</v>
      </c>
      <c r="M124" s="63"/>
      <c r="N124" s="49"/>
      <c r="O124" s="93"/>
      <c r="P124" s="93"/>
      <c r="Q124" s="93"/>
      <c r="R124" s="93"/>
      <c r="S124" s="93"/>
      <c r="T124" s="93" t="s">
        <v>418</v>
      </c>
      <c r="U124" s="93"/>
    </row>
    <row r="125" spans="1:21" ht="23.25" customHeight="1">
      <c r="A125" s="43">
        <v>62</v>
      </c>
      <c r="B125" s="43" t="s">
        <v>414</v>
      </c>
      <c r="C125" s="43">
        <v>250</v>
      </c>
      <c r="D125" s="43">
        <v>220</v>
      </c>
      <c r="E125" s="43" t="s">
        <v>364</v>
      </c>
      <c r="F125" s="93" t="s">
        <v>7</v>
      </c>
      <c r="G125" s="43">
        <v>2</v>
      </c>
      <c r="H125" s="93" t="s">
        <v>20</v>
      </c>
      <c r="I125" s="93" t="s">
        <v>175</v>
      </c>
      <c r="J125" s="44">
        <v>46068</v>
      </c>
      <c r="K125" s="44"/>
      <c r="L125" s="204" t="s">
        <v>138</v>
      </c>
      <c r="M125" s="63"/>
      <c r="N125" s="49"/>
      <c r="O125" s="93"/>
      <c r="P125" s="93"/>
      <c r="Q125" s="93"/>
      <c r="R125" s="93"/>
      <c r="S125" s="93"/>
      <c r="T125" s="93"/>
      <c r="U125" s="93"/>
    </row>
    <row r="126" spans="1:21" ht="23.25" customHeight="1">
      <c r="A126" s="43">
        <v>81</v>
      </c>
      <c r="B126" s="43" t="s">
        <v>373</v>
      </c>
      <c r="C126" s="43">
        <v>100</v>
      </c>
      <c r="D126" s="43">
        <v>380</v>
      </c>
      <c r="E126" s="43" t="s">
        <v>231</v>
      </c>
      <c r="F126" s="93" t="s">
        <v>7</v>
      </c>
      <c r="G126" s="43">
        <v>1</v>
      </c>
      <c r="H126" s="93" t="s">
        <v>9</v>
      </c>
      <c r="I126" s="93" t="s">
        <v>55</v>
      </c>
      <c r="J126" s="44">
        <v>46068</v>
      </c>
      <c r="K126" s="44"/>
      <c r="L126" s="204"/>
      <c r="M126" s="63"/>
      <c r="N126" s="49"/>
      <c r="O126" s="93"/>
      <c r="P126" s="93"/>
      <c r="Q126" s="93"/>
      <c r="R126" s="93"/>
      <c r="S126" s="93"/>
      <c r="T126" s="93"/>
      <c r="U126" s="93"/>
    </row>
    <row r="127" spans="1:21" ht="23.25" customHeight="1">
      <c r="A127" s="43">
        <v>83</v>
      </c>
      <c r="B127" s="43" t="s">
        <v>374</v>
      </c>
      <c r="C127" s="43">
        <v>100</v>
      </c>
      <c r="D127" s="43">
        <v>380</v>
      </c>
      <c r="E127" s="43" t="s">
        <v>231</v>
      </c>
      <c r="F127" s="93" t="s">
        <v>7</v>
      </c>
      <c r="G127" s="43">
        <v>1</v>
      </c>
      <c r="H127" s="93" t="s">
        <v>9</v>
      </c>
      <c r="I127" s="93" t="s">
        <v>55</v>
      </c>
      <c r="J127" s="44">
        <v>46073</v>
      </c>
      <c r="K127" s="44"/>
      <c r="L127" s="204"/>
      <c r="M127" s="63"/>
      <c r="N127" s="49"/>
      <c r="O127" s="93"/>
      <c r="P127" s="93"/>
      <c r="Q127" s="93"/>
      <c r="R127" s="93"/>
      <c r="S127" s="93"/>
      <c r="T127" s="93"/>
      <c r="U127" s="93"/>
    </row>
    <row r="128" spans="1:21" ht="23.25" customHeight="1">
      <c r="A128" s="43">
        <v>89</v>
      </c>
      <c r="B128" s="43">
        <v>813282</v>
      </c>
      <c r="C128" s="43">
        <v>125</v>
      </c>
      <c r="D128" s="43">
        <v>400</v>
      </c>
      <c r="E128" s="43" t="s">
        <v>407</v>
      </c>
      <c r="F128" s="93" t="s">
        <v>7</v>
      </c>
      <c r="G128" s="43">
        <v>1</v>
      </c>
      <c r="H128" s="93" t="s">
        <v>6</v>
      </c>
      <c r="I128" s="93" t="s">
        <v>42</v>
      </c>
      <c r="J128" s="44">
        <v>46080</v>
      </c>
      <c r="K128" s="44"/>
      <c r="L128" s="204"/>
      <c r="M128" s="63"/>
      <c r="N128" s="49"/>
      <c r="O128" s="93"/>
      <c r="P128" s="93"/>
      <c r="Q128" s="93"/>
      <c r="R128" s="93"/>
      <c r="S128" s="93"/>
      <c r="T128" s="93" t="s">
        <v>257</v>
      </c>
      <c r="U128" s="93"/>
    </row>
    <row r="129" spans="1:21" ht="23.25" customHeight="1">
      <c r="A129" s="43">
        <v>99</v>
      </c>
      <c r="B129" s="43" t="s">
        <v>423</v>
      </c>
      <c r="C129" s="43">
        <v>200</v>
      </c>
      <c r="D129" s="43">
        <v>400</v>
      </c>
      <c r="E129" s="43" t="s">
        <v>467</v>
      </c>
      <c r="F129" s="93" t="s">
        <v>7</v>
      </c>
      <c r="G129" s="43">
        <v>3</v>
      </c>
      <c r="H129" s="93" t="s">
        <v>6</v>
      </c>
      <c r="I129" s="93" t="s">
        <v>55</v>
      </c>
      <c r="J129" s="44">
        <v>46094</v>
      </c>
      <c r="K129" s="44"/>
      <c r="L129" s="204"/>
      <c r="M129" s="63"/>
      <c r="N129" s="49"/>
      <c r="O129" s="93"/>
      <c r="P129" s="93"/>
      <c r="Q129" s="93"/>
      <c r="R129" s="93"/>
      <c r="S129" s="93"/>
      <c r="T129" s="93" t="s">
        <v>428</v>
      </c>
      <c r="U129" s="93"/>
    </row>
    <row r="130" spans="1:21" ht="28.5" customHeight="1">
      <c r="A130" s="43">
        <v>149</v>
      </c>
      <c r="B130" s="43" t="s">
        <v>600</v>
      </c>
      <c r="C130" s="43" t="s">
        <v>425</v>
      </c>
      <c r="D130" s="43">
        <v>400</v>
      </c>
      <c r="E130" s="43" t="s">
        <v>601</v>
      </c>
      <c r="F130" s="93" t="s">
        <v>7</v>
      </c>
      <c r="G130" s="43">
        <v>2</v>
      </c>
      <c r="H130" s="93" t="s">
        <v>9</v>
      </c>
      <c r="I130" s="93" t="s">
        <v>55</v>
      </c>
      <c r="J130" s="44">
        <v>46094</v>
      </c>
      <c r="K130" s="44"/>
      <c r="L130" s="204"/>
      <c r="M130" s="63"/>
      <c r="N130" s="49"/>
      <c r="O130" s="93"/>
      <c r="P130" s="93"/>
      <c r="Q130" s="93"/>
      <c r="R130" s="93"/>
      <c r="S130" s="93"/>
      <c r="T130" s="93" t="s">
        <v>480</v>
      </c>
      <c r="U130" s="93"/>
    </row>
    <row r="131" spans="1:21" ht="30" customHeight="1">
      <c r="A131" s="43">
        <v>76</v>
      </c>
      <c r="B131" s="43" t="s">
        <v>399</v>
      </c>
      <c r="C131" s="43">
        <v>250</v>
      </c>
      <c r="D131" s="43">
        <v>132</v>
      </c>
      <c r="E131" s="43" t="s">
        <v>367</v>
      </c>
      <c r="F131" s="93" t="s">
        <v>7</v>
      </c>
      <c r="G131" s="43">
        <v>3</v>
      </c>
      <c r="H131" s="93" t="s">
        <v>18</v>
      </c>
      <c r="I131" s="93" t="s">
        <v>175</v>
      </c>
      <c r="J131" s="44">
        <v>46096</v>
      </c>
      <c r="K131" s="44"/>
      <c r="L131" s="204" t="s">
        <v>138</v>
      </c>
      <c r="M131" s="63"/>
      <c r="N131" s="49"/>
      <c r="O131" s="93"/>
      <c r="P131" s="93"/>
      <c r="Q131" s="93"/>
      <c r="R131" s="93"/>
      <c r="S131" s="93"/>
      <c r="T131" s="93"/>
      <c r="U131" s="93"/>
    </row>
    <row r="132" spans="1:21" ht="30" customHeight="1">
      <c r="A132" s="54">
        <v>28</v>
      </c>
      <c r="B132" s="54">
        <v>813139</v>
      </c>
      <c r="C132" s="54">
        <v>133</v>
      </c>
      <c r="D132" s="54">
        <v>230</v>
      </c>
      <c r="E132" s="93" t="s">
        <v>189</v>
      </c>
      <c r="F132" s="174" t="s">
        <v>7</v>
      </c>
      <c r="G132" s="54">
        <v>1</v>
      </c>
      <c r="H132" s="93" t="s">
        <v>8</v>
      </c>
      <c r="I132" s="174" t="s">
        <v>55</v>
      </c>
      <c r="J132" s="72">
        <v>46101</v>
      </c>
      <c r="K132" s="52"/>
      <c r="L132" s="204"/>
      <c r="M132" s="63"/>
      <c r="N132" s="49"/>
      <c r="O132" s="93"/>
      <c r="P132" s="93"/>
      <c r="Q132" s="93"/>
      <c r="R132" s="93"/>
      <c r="S132" s="93"/>
      <c r="T132" s="93"/>
      <c r="U132" s="93"/>
    </row>
    <row r="133" spans="1:21" ht="30" customHeight="1">
      <c r="A133" s="43">
        <v>38</v>
      </c>
      <c r="B133" s="43" t="s">
        <v>531</v>
      </c>
      <c r="C133" s="43">
        <v>300</v>
      </c>
      <c r="D133" s="43">
        <v>230</v>
      </c>
      <c r="E133" s="43" t="s">
        <v>532</v>
      </c>
      <c r="F133" s="93" t="s">
        <v>7</v>
      </c>
      <c r="G133" s="43">
        <v>2</v>
      </c>
      <c r="H133" s="93" t="s">
        <v>9</v>
      </c>
      <c r="I133" s="93" t="s">
        <v>42</v>
      </c>
      <c r="J133" s="44">
        <v>46109</v>
      </c>
      <c r="K133" s="44"/>
      <c r="L133" s="204"/>
      <c r="M133" s="63"/>
      <c r="N133" s="49"/>
      <c r="O133" s="93"/>
      <c r="P133" s="93"/>
      <c r="Q133" s="93"/>
      <c r="R133" s="93"/>
      <c r="S133" s="93"/>
      <c r="T133" s="93"/>
      <c r="U133" s="93"/>
    </row>
    <row r="134" spans="1:21" ht="23.25" customHeight="1">
      <c r="A134" s="43">
        <v>50</v>
      </c>
      <c r="B134" s="43" t="s">
        <v>271</v>
      </c>
      <c r="C134" s="43">
        <v>180</v>
      </c>
      <c r="D134" s="43">
        <v>345</v>
      </c>
      <c r="E134" s="43" t="s">
        <v>272</v>
      </c>
      <c r="F134" s="43" t="s">
        <v>7</v>
      </c>
      <c r="G134" s="43">
        <v>2</v>
      </c>
      <c r="H134" s="93" t="s">
        <v>6</v>
      </c>
      <c r="I134" s="93" t="s">
        <v>42</v>
      </c>
      <c r="J134" s="44">
        <v>46111</v>
      </c>
      <c r="K134" s="49"/>
      <c r="L134" s="204"/>
      <c r="M134" s="63"/>
      <c r="N134" s="49"/>
      <c r="O134" s="93"/>
      <c r="P134" s="93"/>
      <c r="Q134" s="93"/>
      <c r="R134" s="93"/>
      <c r="S134" s="93"/>
      <c r="T134" s="93"/>
      <c r="U134" s="93"/>
    </row>
    <row r="135" spans="1:21" ht="23.25" customHeight="1">
      <c r="A135" s="43">
        <v>160</v>
      </c>
      <c r="B135" s="43">
        <v>823028</v>
      </c>
      <c r="C135" s="54">
        <v>165</v>
      </c>
      <c r="D135" s="54">
        <v>330</v>
      </c>
      <c r="E135" s="43" t="s">
        <v>173</v>
      </c>
      <c r="F135" s="174" t="s">
        <v>7</v>
      </c>
      <c r="G135" s="54">
        <v>1</v>
      </c>
      <c r="H135" s="93" t="s">
        <v>129</v>
      </c>
      <c r="I135" s="93" t="s">
        <v>55</v>
      </c>
      <c r="J135" s="44">
        <v>46111</v>
      </c>
      <c r="K135" s="43"/>
      <c r="L135" s="204"/>
      <c r="M135" s="63"/>
      <c r="N135" s="43"/>
      <c r="O135" s="43"/>
      <c r="P135" s="43"/>
      <c r="Q135" s="43"/>
      <c r="R135" s="43"/>
      <c r="S135" s="43"/>
      <c r="T135" s="43"/>
      <c r="U135" s="43"/>
    </row>
    <row r="136" spans="1:21" ht="23.25" customHeight="1">
      <c r="A136" s="43">
        <v>161</v>
      </c>
      <c r="B136" s="43">
        <v>813339</v>
      </c>
      <c r="C136" s="43">
        <v>150</v>
      </c>
      <c r="D136" s="43">
        <v>400</v>
      </c>
      <c r="E136" s="43" t="s">
        <v>163</v>
      </c>
      <c r="F136" s="43" t="s">
        <v>7</v>
      </c>
      <c r="G136" s="43">
        <v>1</v>
      </c>
      <c r="H136" s="93" t="s">
        <v>9</v>
      </c>
      <c r="I136" s="43" t="s">
        <v>55</v>
      </c>
      <c r="J136" s="44">
        <v>46117</v>
      </c>
      <c r="K136" s="43"/>
      <c r="L136" s="204"/>
      <c r="M136" s="63"/>
      <c r="N136" s="43"/>
      <c r="O136" s="43"/>
      <c r="P136" s="43"/>
      <c r="Q136" s="43"/>
      <c r="R136" s="43"/>
      <c r="S136" s="43"/>
      <c r="T136" s="43"/>
      <c r="U136" s="43"/>
    </row>
    <row r="137" spans="1:21" ht="23.25" customHeight="1">
      <c r="A137" s="43">
        <v>153</v>
      </c>
      <c r="B137" s="43">
        <v>813321</v>
      </c>
      <c r="C137" s="43">
        <v>175</v>
      </c>
      <c r="D137" s="43">
        <v>110</v>
      </c>
      <c r="E137" s="43" t="s">
        <v>436</v>
      </c>
      <c r="F137" s="93" t="s">
        <v>7</v>
      </c>
      <c r="G137" s="43">
        <v>1</v>
      </c>
      <c r="H137" s="93" t="s">
        <v>10</v>
      </c>
      <c r="I137" s="93" t="s">
        <v>42</v>
      </c>
      <c r="J137" s="44">
        <v>46119</v>
      </c>
      <c r="K137" s="44"/>
      <c r="L137" s="204" t="s">
        <v>138</v>
      </c>
      <c r="M137" s="63"/>
      <c r="N137" s="49"/>
      <c r="O137" s="93"/>
      <c r="P137" s="93"/>
      <c r="Q137" s="93"/>
      <c r="R137" s="93"/>
      <c r="S137" s="93"/>
      <c r="T137" s="93"/>
      <c r="U137" s="93"/>
    </row>
    <row r="138" spans="1:21" ht="23.25" customHeight="1">
      <c r="A138" s="43">
        <v>11</v>
      </c>
      <c r="B138" s="43">
        <v>813137</v>
      </c>
      <c r="C138" s="43">
        <v>80</v>
      </c>
      <c r="D138" s="43">
        <v>230</v>
      </c>
      <c r="E138" s="43" t="s">
        <v>189</v>
      </c>
      <c r="F138" s="93" t="s">
        <v>7</v>
      </c>
      <c r="G138" s="43">
        <v>1</v>
      </c>
      <c r="H138" s="93" t="s">
        <v>10</v>
      </c>
      <c r="I138" s="93" t="s">
        <v>55</v>
      </c>
      <c r="J138" s="44">
        <v>46122</v>
      </c>
      <c r="K138" s="134"/>
      <c r="L138" s="204"/>
      <c r="M138" s="63"/>
      <c r="N138" s="49"/>
      <c r="O138" s="93"/>
      <c r="P138" s="93"/>
      <c r="Q138" s="93"/>
      <c r="R138" s="93"/>
      <c r="S138" s="93"/>
      <c r="T138" s="93" t="s">
        <v>468</v>
      </c>
      <c r="U138" s="93"/>
    </row>
    <row r="139" spans="1:21" ht="23.25" customHeight="1">
      <c r="A139" s="43">
        <v>100</v>
      </c>
      <c r="B139" s="43" t="s">
        <v>526</v>
      </c>
      <c r="C139" s="43">
        <v>200</v>
      </c>
      <c r="D139" s="43">
        <v>400</v>
      </c>
      <c r="E139" s="43" t="s">
        <v>163</v>
      </c>
      <c r="F139" s="93" t="s">
        <v>7</v>
      </c>
      <c r="G139" s="43">
        <v>3</v>
      </c>
      <c r="H139" s="93" t="s">
        <v>6</v>
      </c>
      <c r="I139" s="93" t="s">
        <v>55</v>
      </c>
      <c r="J139" s="44">
        <v>46127</v>
      </c>
      <c r="K139" s="49"/>
      <c r="L139" s="204"/>
      <c r="M139" s="44"/>
      <c r="N139" s="49"/>
      <c r="O139" s="93"/>
      <c r="P139" s="93"/>
      <c r="Q139" s="93"/>
      <c r="R139" s="93"/>
      <c r="S139" s="93"/>
      <c r="T139" s="93" t="s">
        <v>428</v>
      </c>
      <c r="U139" s="93"/>
    </row>
    <row r="140" spans="1:21" ht="30" customHeight="1">
      <c r="A140" s="43">
        <v>173</v>
      </c>
      <c r="B140" s="43" t="s">
        <v>523</v>
      </c>
      <c r="C140" s="43">
        <v>80</v>
      </c>
      <c r="D140" s="43">
        <v>132</v>
      </c>
      <c r="E140" s="43" t="s">
        <v>524</v>
      </c>
      <c r="F140" s="93" t="s">
        <v>7</v>
      </c>
      <c r="G140" s="43">
        <v>1</v>
      </c>
      <c r="H140" s="93" t="s">
        <v>9</v>
      </c>
      <c r="I140" s="93" t="s">
        <v>55</v>
      </c>
      <c r="J140" s="44">
        <v>46127</v>
      </c>
      <c r="K140" s="49"/>
      <c r="L140" s="204"/>
      <c r="M140" s="43"/>
      <c r="N140" s="49"/>
      <c r="O140" s="93"/>
      <c r="P140" s="93"/>
      <c r="Q140" s="93"/>
      <c r="R140" s="93"/>
      <c r="S140" s="93"/>
      <c r="T140" s="93"/>
      <c r="U140" s="93"/>
    </row>
    <row r="141" spans="1:21" ht="30.75" customHeight="1">
      <c r="A141" s="43">
        <v>174</v>
      </c>
      <c r="B141" s="43" t="s">
        <v>523</v>
      </c>
      <c r="C141" s="43">
        <v>80</v>
      </c>
      <c r="D141" s="43">
        <v>132</v>
      </c>
      <c r="E141" s="43" t="s">
        <v>525</v>
      </c>
      <c r="F141" s="93" t="s">
        <v>7</v>
      </c>
      <c r="G141" s="43">
        <v>1</v>
      </c>
      <c r="H141" s="93" t="s">
        <v>9</v>
      </c>
      <c r="I141" s="93" t="s">
        <v>55</v>
      </c>
      <c r="J141" s="44">
        <v>46127</v>
      </c>
      <c r="K141" s="49"/>
      <c r="L141" s="204" t="s">
        <v>138</v>
      </c>
      <c r="M141" s="44"/>
      <c r="N141" s="49"/>
      <c r="O141" s="93"/>
      <c r="P141" s="93"/>
      <c r="Q141" s="93"/>
      <c r="R141" s="93"/>
      <c r="S141" s="93"/>
      <c r="T141" s="93"/>
      <c r="U141" s="93"/>
    </row>
    <row r="142" spans="1:21" ht="21.75" customHeight="1">
      <c r="A142" s="43">
        <v>101</v>
      </c>
      <c r="B142" s="43" t="s">
        <v>527</v>
      </c>
      <c r="C142" s="43">
        <v>200</v>
      </c>
      <c r="D142" s="43">
        <v>400</v>
      </c>
      <c r="E142" s="43" t="s">
        <v>163</v>
      </c>
      <c r="F142" s="93" t="s">
        <v>7</v>
      </c>
      <c r="G142" s="43">
        <v>3</v>
      </c>
      <c r="H142" s="93" t="s">
        <v>6</v>
      </c>
      <c r="I142" s="93" t="s">
        <v>55</v>
      </c>
      <c r="J142" s="44">
        <v>46137</v>
      </c>
      <c r="K142" s="93"/>
      <c r="L142" s="204" t="s">
        <v>293</v>
      </c>
      <c r="M142" s="63"/>
      <c r="N142" s="93"/>
      <c r="O142" s="93"/>
      <c r="P142" s="93"/>
      <c r="Q142" s="93"/>
      <c r="R142" s="93"/>
      <c r="S142" s="93"/>
      <c r="T142" s="93" t="s">
        <v>428</v>
      </c>
      <c r="U142" s="93"/>
    </row>
    <row r="143" spans="1:21" ht="30" customHeight="1">
      <c r="A143" s="43">
        <v>8</v>
      </c>
      <c r="B143" s="43" t="s">
        <v>534</v>
      </c>
      <c r="C143" s="43">
        <v>100</v>
      </c>
      <c r="D143" s="43">
        <v>230</v>
      </c>
      <c r="E143" s="43" t="s">
        <v>261</v>
      </c>
      <c r="F143" s="93" t="s">
        <v>7</v>
      </c>
      <c r="G143" s="43">
        <v>2</v>
      </c>
      <c r="H143" s="93" t="s">
        <v>18</v>
      </c>
      <c r="I143" s="93" t="s">
        <v>42</v>
      </c>
      <c r="J143" s="44">
        <v>46140</v>
      </c>
      <c r="K143" s="49"/>
      <c r="L143" s="204" t="s">
        <v>138</v>
      </c>
      <c r="M143" s="63"/>
      <c r="N143" s="49"/>
      <c r="O143" s="93"/>
      <c r="P143" s="93"/>
      <c r="Q143" s="93"/>
      <c r="R143" s="93"/>
      <c r="S143" s="93"/>
      <c r="T143" s="93"/>
      <c r="U143" s="93"/>
    </row>
    <row r="144" spans="1:21" ht="30" customHeight="1">
      <c r="A144" s="43">
        <v>170</v>
      </c>
      <c r="B144" s="43" t="s">
        <v>501</v>
      </c>
      <c r="C144" s="43">
        <v>250</v>
      </c>
      <c r="D144" s="43">
        <v>225</v>
      </c>
      <c r="E144" s="43" t="s">
        <v>502</v>
      </c>
      <c r="F144" s="93" t="s">
        <v>7</v>
      </c>
      <c r="G144" s="43">
        <v>2</v>
      </c>
      <c r="H144" s="93" t="s">
        <v>20</v>
      </c>
      <c r="I144" s="93" t="s">
        <v>175</v>
      </c>
      <c r="J144" s="44">
        <v>46142</v>
      </c>
      <c r="K144" s="43"/>
      <c r="L144" s="204"/>
      <c r="M144" s="63"/>
      <c r="N144" s="43"/>
      <c r="O144" s="43"/>
      <c r="P144" s="43"/>
      <c r="Q144" s="43"/>
      <c r="R144" s="43"/>
      <c r="S144" s="43"/>
      <c r="T144" s="43" t="s">
        <v>522</v>
      </c>
      <c r="U144" s="43"/>
    </row>
    <row r="145" spans="1:4094 4101:5114 5121:9214 9221:10234 10241:14334 14341:15354 15361:16384" ht="41.25" customHeight="1">
      <c r="A145" s="43">
        <v>102</v>
      </c>
      <c r="B145" s="43" t="s">
        <v>424</v>
      </c>
      <c r="C145" s="43">
        <v>200</v>
      </c>
      <c r="D145" s="43">
        <v>400</v>
      </c>
      <c r="E145" s="43" t="s">
        <v>163</v>
      </c>
      <c r="F145" s="93" t="s">
        <v>7</v>
      </c>
      <c r="G145" s="43">
        <v>6</v>
      </c>
      <c r="H145" s="93" t="s">
        <v>6</v>
      </c>
      <c r="I145" s="93" t="s">
        <v>55</v>
      </c>
      <c r="J145" s="44">
        <v>46152</v>
      </c>
      <c r="K145" s="49"/>
      <c r="L145" s="204"/>
      <c r="M145" s="63"/>
      <c r="N145" s="49"/>
      <c r="O145" s="93"/>
      <c r="P145" s="93"/>
      <c r="Q145" s="93"/>
      <c r="R145" s="93"/>
      <c r="S145" s="93"/>
      <c r="T145" s="93" t="s">
        <v>428</v>
      </c>
      <c r="U145" s="93"/>
    </row>
    <row r="146" spans="1:4094 4101:5114 5121:9214 9221:10234 10241:14334 14341:15354 15361:16384" ht="23.25" customHeight="1">
      <c r="A146" s="233">
        <v>140</v>
      </c>
      <c r="B146" s="233">
        <v>813141</v>
      </c>
      <c r="C146" s="233">
        <v>66</v>
      </c>
      <c r="D146" s="233">
        <v>230</v>
      </c>
      <c r="E146" s="43" t="s">
        <v>189</v>
      </c>
      <c r="F146" s="234" t="s">
        <v>7</v>
      </c>
      <c r="G146" s="233">
        <v>1</v>
      </c>
      <c r="H146" s="93" t="s">
        <v>8</v>
      </c>
      <c r="I146" s="93" t="s">
        <v>55</v>
      </c>
      <c r="J146" s="73">
        <v>46153</v>
      </c>
      <c r="K146" s="44"/>
      <c r="L146" s="204" t="s">
        <v>138</v>
      </c>
      <c r="M146" s="63"/>
      <c r="N146" s="49"/>
      <c r="O146" s="93"/>
      <c r="P146" s="93"/>
      <c r="Q146" s="93"/>
      <c r="R146" s="93"/>
      <c r="S146" s="93"/>
      <c r="T146" s="93"/>
      <c r="U146" s="93"/>
    </row>
    <row r="147" spans="1:4094 4101:5114 5121:9214 9221:10234 10241:14334 14341:15354 15361:16384" ht="23.25" customHeight="1">
      <c r="A147" s="43">
        <v>154</v>
      </c>
      <c r="B147" s="43">
        <v>813322</v>
      </c>
      <c r="C147" s="43">
        <v>200</v>
      </c>
      <c r="D147" s="43">
        <v>400</v>
      </c>
      <c r="E147" s="43" t="s">
        <v>435</v>
      </c>
      <c r="F147" s="93" t="s">
        <v>7</v>
      </c>
      <c r="G147" s="43">
        <v>1</v>
      </c>
      <c r="H147" s="93" t="s">
        <v>18</v>
      </c>
      <c r="I147" s="93" t="s">
        <v>42</v>
      </c>
      <c r="J147" s="44">
        <v>46157</v>
      </c>
      <c r="K147" s="44"/>
      <c r="L147" s="204"/>
      <c r="M147" s="63"/>
      <c r="N147" s="49"/>
      <c r="O147" s="93"/>
      <c r="P147" s="93"/>
      <c r="Q147" s="93"/>
      <c r="R147" s="93"/>
      <c r="S147" s="93"/>
      <c r="T147" s="93"/>
      <c r="U147" s="93"/>
    </row>
    <row r="148" spans="1:4094 4101:5114 5121:9214 9221:10234 10241:14334 14341:15354 15361:16384" ht="30" customHeight="1">
      <c r="A148" s="43">
        <v>95</v>
      </c>
      <c r="B148" s="43">
        <v>813320</v>
      </c>
      <c r="C148" s="43" t="s">
        <v>422</v>
      </c>
      <c r="D148" s="43" t="s">
        <v>421</v>
      </c>
      <c r="E148" s="43" t="s">
        <v>419</v>
      </c>
      <c r="F148" s="93" t="s">
        <v>7</v>
      </c>
      <c r="G148" s="43">
        <v>1</v>
      </c>
      <c r="H148" s="93" t="s">
        <v>9</v>
      </c>
      <c r="I148" s="93" t="s">
        <v>55</v>
      </c>
      <c r="J148" s="44">
        <v>46157</v>
      </c>
      <c r="K148" s="44"/>
      <c r="L148" s="204" t="s">
        <v>138</v>
      </c>
      <c r="M148" s="44"/>
      <c r="N148" s="49"/>
      <c r="O148" s="93"/>
      <c r="P148" s="93"/>
      <c r="Q148" s="93"/>
      <c r="R148" s="93"/>
      <c r="S148" s="93"/>
      <c r="T148" s="93" t="s">
        <v>420</v>
      </c>
      <c r="U148" s="93"/>
      <c r="V148" s="92"/>
    </row>
    <row r="149" spans="1:4094 4101:5114 5121:9214 9221:10234 10241:14334 14341:15354 15361:16384" ht="15.75">
      <c r="A149" s="43">
        <v>164</v>
      </c>
      <c r="B149" s="43" t="s">
        <v>497</v>
      </c>
      <c r="C149" s="43">
        <v>315</v>
      </c>
      <c r="D149" s="43">
        <v>275</v>
      </c>
      <c r="E149" s="43" t="s">
        <v>498</v>
      </c>
      <c r="F149" s="93" t="s">
        <v>7</v>
      </c>
      <c r="G149" s="43">
        <v>3</v>
      </c>
      <c r="H149" s="93" t="s">
        <v>519</v>
      </c>
      <c r="I149" s="93" t="s">
        <v>55</v>
      </c>
      <c r="J149" s="44">
        <v>46157</v>
      </c>
      <c r="K149" s="43"/>
      <c r="L149" s="204"/>
      <c r="M149" s="63"/>
      <c r="N149" s="43"/>
      <c r="O149" s="43"/>
      <c r="P149" s="43"/>
      <c r="Q149" s="43"/>
      <c r="R149" s="43"/>
      <c r="S149" s="43"/>
      <c r="T149" s="43"/>
      <c r="U149" s="43"/>
      <c r="V149" s="80"/>
    </row>
    <row r="150" spans="1:4094 4101:5114 5121:9214 9221:10234 10241:14334 14341:15354 15361:16384" ht="41.25" customHeight="1">
      <c r="A150" s="43">
        <v>171</v>
      </c>
      <c r="B150" s="43">
        <v>813360</v>
      </c>
      <c r="C150" s="43">
        <v>550</v>
      </c>
      <c r="D150" s="43">
        <v>500</v>
      </c>
      <c r="E150" s="43" t="s">
        <v>544</v>
      </c>
      <c r="F150" s="93" t="s">
        <v>125</v>
      </c>
      <c r="G150" s="43">
        <v>1</v>
      </c>
      <c r="H150" s="93" t="s">
        <v>8</v>
      </c>
      <c r="I150" s="93" t="s">
        <v>175</v>
      </c>
      <c r="J150" s="44">
        <v>46167</v>
      </c>
      <c r="K150" s="43"/>
      <c r="L150" s="204"/>
      <c r="M150" s="63"/>
      <c r="N150" s="43"/>
      <c r="O150" s="43"/>
      <c r="P150" s="43"/>
      <c r="Q150" s="43"/>
      <c r="R150" s="43"/>
      <c r="S150" s="43"/>
      <c r="T150" s="43"/>
      <c r="U150" s="43"/>
    </row>
    <row r="151" spans="1:4094 4101:5114 5121:9214 9221:10234 10241:14334 14341:15354 15361:16384" ht="23.25" customHeight="1">
      <c r="A151" s="233">
        <v>13</v>
      </c>
      <c r="B151" s="233">
        <v>813138</v>
      </c>
      <c r="C151" s="233">
        <v>66.7</v>
      </c>
      <c r="D151" s="233">
        <v>230</v>
      </c>
      <c r="E151" s="43" t="s">
        <v>189</v>
      </c>
      <c r="F151" s="234" t="s">
        <v>7</v>
      </c>
      <c r="G151" s="233">
        <v>1</v>
      </c>
      <c r="H151" s="93" t="s">
        <v>10</v>
      </c>
      <c r="I151" s="93" t="s">
        <v>55</v>
      </c>
      <c r="J151" s="133">
        <v>46172</v>
      </c>
      <c r="K151" s="134" t="s">
        <v>157</v>
      </c>
      <c r="L151" s="204"/>
      <c r="M151" s="63"/>
      <c r="N151" s="49"/>
      <c r="O151" s="93"/>
      <c r="P151" s="93"/>
      <c r="Q151" s="93"/>
      <c r="R151" s="93"/>
      <c r="S151" s="93"/>
      <c r="T151" s="93"/>
      <c r="U151" s="93"/>
    </row>
    <row r="152" spans="1:4094 4101:5114 5121:9214 9221:10234 10241:14334 14341:15354 15361:16384" ht="32.25" customHeight="1">
      <c r="A152" s="43">
        <v>152</v>
      </c>
      <c r="B152" s="43" t="s">
        <v>611</v>
      </c>
      <c r="C152" s="43" t="s">
        <v>264</v>
      </c>
      <c r="D152" s="43">
        <v>220</v>
      </c>
      <c r="E152" s="43" t="s">
        <v>427</v>
      </c>
      <c r="F152" s="93" t="s">
        <v>7</v>
      </c>
      <c r="G152" s="43">
        <v>1</v>
      </c>
      <c r="H152" s="93" t="s">
        <v>9</v>
      </c>
      <c r="I152" s="93" t="s">
        <v>55</v>
      </c>
      <c r="J152" s="44">
        <v>46172</v>
      </c>
      <c r="K152" s="49"/>
      <c r="L152" s="204"/>
      <c r="M152" s="63"/>
      <c r="N152" s="49"/>
      <c r="O152" s="93"/>
      <c r="P152" s="93"/>
      <c r="Q152" s="93"/>
      <c r="R152" s="93"/>
      <c r="S152" s="93"/>
      <c r="T152" s="93"/>
      <c r="U152" s="93"/>
    </row>
    <row r="153" spans="1:4094 4101:5114 5121:9214 9221:10234 10241:14334 14341:15354 15361:16384" ht="30.75" customHeight="1">
      <c r="A153" s="43">
        <v>162</v>
      </c>
      <c r="B153" s="43" t="s">
        <v>494</v>
      </c>
      <c r="C153" s="43">
        <v>120</v>
      </c>
      <c r="D153" s="43">
        <v>275</v>
      </c>
      <c r="E153" s="43" t="s">
        <v>495</v>
      </c>
      <c r="F153" s="93" t="s">
        <v>7</v>
      </c>
      <c r="G153" s="43">
        <v>2</v>
      </c>
      <c r="H153" s="93" t="s">
        <v>6</v>
      </c>
      <c r="I153" s="93" t="s">
        <v>42</v>
      </c>
      <c r="J153" s="44">
        <v>46172</v>
      </c>
      <c r="K153" s="43"/>
      <c r="L153" s="204"/>
      <c r="M153" s="63"/>
      <c r="N153" s="43"/>
      <c r="O153" s="43"/>
      <c r="P153" s="43"/>
      <c r="Q153" s="43"/>
      <c r="R153" s="43"/>
      <c r="S153" s="43"/>
      <c r="T153" s="43"/>
      <c r="U153" s="43"/>
    </row>
    <row r="154" spans="1:4094 4101:5114 5121:9214 9221:10234 10241:14334 14341:15354 15361:16384" ht="23.25" customHeight="1">
      <c r="A154" s="43">
        <v>158</v>
      </c>
      <c r="B154" s="43" t="s">
        <v>520</v>
      </c>
      <c r="C154" s="43">
        <v>160</v>
      </c>
      <c r="D154" s="43">
        <v>400</v>
      </c>
      <c r="E154" s="43" t="s">
        <v>474</v>
      </c>
      <c r="F154" s="93" t="s">
        <v>7</v>
      </c>
      <c r="G154" s="43">
        <v>2</v>
      </c>
      <c r="H154" s="93" t="s">
        <v>9</v>
      </c>
      <c r="I154" s="93" t="s">
        <v>42</v>
      </c>
      <c r="J154" s="44">
        <v>46188</v>
      </c>
      <c r="K154" s="49"/>
      <c r="L154" s="204" t="s">
        <v>133</v>
      </c>
      <c r="M154" s="63"/>
      <c r="N154" s="49"/>
      <c r="O154" s="93"/>
      <c r="P154" s="93"/>
      <c r="Q154" s="93"/>
      <c r="R154" s="93"/>
      <c r="S154" s="93"/>
      <c r="T154" s="93" t="s">
        <v>476</v>
      </c>
      <c r="U154" s="43"/>
      <c r="V154" s="248"/>
    </row>
    <row r="155" spans="1:4094 4101:5114 5121:9214 9221:10234 10241:14334 14341:15354 15361:16384" ht="23.25" customHeight="1">
      <c r="A155" s="43">
        <v>19</v>
      </c>
      <c r="B155" s="43">
        <v>813136</v>
      </c>
      <c r="C155" s="43">
        <v>160</v>
      </c>
      <c r="D155" s="43">
        <v>230</v>
      </c>
      <c r="E155" s="93" t="s">
        <v>189</v>
      </c>
      <c r="F155" s="93" t="s">
        <v>7</v>
      </c>
      <c r="G155" s="43">
        <v>1</v>
      </c>
      <c r="H155" s="93" t="s">
        <v>10</v>
      </c>
      <c r="I155" s="93" t="s">
        <v>55</v>
      </c>
      <c r="J155" s="44">
        <v>46188</v>
      </c>
      <c r="K155" s="134"/>
      <c r="L155" s="204"/>
      <c r="M155" s="63"/>
      <c r="N155" s="49"/>
      <c r="O155" s="93"/>
      <c r="P155" s="93"/>
      <c r="Q155" s="93"/>
      <c r="R155" s="93"/>
      <c r="S155" s="93"/>
      <c r="T155" s="93"/>
      <c r="U155" s="93"/>
    </row>
    <row r="156" spans="1:4094 4101:5114 5121:9214 9221:10234 10241:14334 14341:15354 15361:16384" ht="23.25" customHeight="1">
      <c r="A156" s="43">
        <v>155</v>
      </c>
      <c r="B156" s="43">
        <v>813323</v>
      </c>
      <c r="C156" s="43">
        <v>300</v>
      </c>
      <c r="D156" s="43">
        <v>400</v>
      </c>
      <c r="E156" s="43" t="s">
        <v>435</v>
      </c>
      <c r="F156" s="93" t="s">
        <v>7</v>
      </c>
      <c r="G156" s="43">
        <v>1</v>
      </c>
      <c r="H156" s="93" t="s">
        <v>18</v>
      </c>
      <c r="I156" s="93" t="s">
        <v>42</v>
      </c>
      <c r="J156" s="44">
        <v>46188</v>
      </c>
      <c r="K156" s="44"/>
      <c r="L156" s="204"/>
      <c r="M156" s="63"/>
      <c r="N156" s="49"/>
      <c r="O156" s="93"/>
      <c r="P156" s="93"/>
      <c r="Q156" s="93"/>
      <c r="R156" s="93"/>
      <c r="S156" s="93"/>
      <c r="T156" s="93"/>
      <c r="U156" s="93"/>
    </row>
    <row r="157" spans="1:4094 4101:5114 5121:9214 9221:10234 10241:14334 14341:15354 15361:16384" ht="23.25" customHeight="1">
      <c r="A157" s="99">
        <v>163</v>
      </c>
      <c r="B157" s="99">
        <v>813328</v>
      </c>
      <c r="C157" s="99">
        <v>250</v>
      </c>
      <c r="D157" s="99">
        <v>275</v>
      </c>
      <c r="E157" s="99" t="s">
        <v>496</v>
      </c>
      <c r="F157" s="99" t="s">
        <v>7</v>
      </c>
      <c r="G157" s="99">
        <v>1</v>
      </c>
      <c r="H157" s="93" t="s">
        <v>20</v>
      </c>
      <c r="I157" s="93" t="s">
        <v>55</v>
      </c>
      <c r="J157" s="236">
        <v>46188</v>
      </c>
      <c r="K157" s="99"/>
      <c r="L157" s="204" t="s">
        <v>138</v>
      </c>
      <c r="M157" s="63"/>
      <c r="N157" s="99"/>
      <c r="O157" s="99"/>
      <c r="P157" s="99"/>
      <c r="Q157" s="99"/>
      <c r="R157" s="99"/>
      <c r="S157" s="99"/>
      <c r="T157" s="99"/>
      <c r="U157" s="99"/>
    </row>
    <row r="158" spans="1:4094 4101:5114 5121:9214 9221:10234 10241:14334 14341:15354 15361:16384" ht="23.25" customHeight="1">
      <c r="A158" s="43">
        <v>178</v>
      </c>
      <c r="B158" s="43" t="s">
        <v>556</v>
      </c>
      <c r="C158" s="43">
        <v>700</v>
      </c>
      <c r="D158" s="43">
        <v>750</v>
      </c>
      <c r="E158" s="43" t="s">
        <v>557</v>
      </c>
      <c r="F158" s="43" t="s">
        <v>125</v>
      </c>
      <c r="G158" s="43">
        <v>6</v>
      </c>
      <c r="H158" s="93" t="s">
        <v>6</v>
      </c>
      <c r="I158" s="93" t="s">
        <v>55</v>
      </c>
      <c r="J158" s="44">
        <v>46188</v>
      </c>
      <c r="K158" s="43"/>
      <c r="L158" s="204" t="s">
        <v>138</v>
      </c>
      <c r="M158" s="63"/>
      <c r="N158" s="43"/>
      <c r="O158" s="43"/>
      <c r="P158" s="43"/>
      <c r="Q158" s="43"/>
      <c r="R158" s="43"/>
      <c r="S158" s="43"/>
      <c r="T158" s="43"/>
      <c r="U158" s="43"/>
      <c r="W158" s="80"/>
      <c r="X158" s="80"/>
      <c r="Y158" s="80"/>
      <c r="AA158" s="80"/>
      <c r="AB158" s="178"/>
      <c r="AC158" s="80"/>
      <c r="AD158" s="92"/>
      <c r="AE158" s="53"/>
      <c r="AF158" s="53"/>
      <c r="AG158" s="66"/>
      <c r="AH158" s="53"/>
      <c r="AO158" s="80"/>
      <c r="AP158" s="80"/>
      <c r="AQ158" s="80"/>
      <c r="AR158" s="80"/>
      <c r="AS158" s="80"/>
      <c r="AU158" s="80"/>
      <c r="AV158" s="178"/>
      <c r="AW158" s="80"/>
      <c r="AX158" s="92"/>
      <c r="AY158" s="53"/>
      <c r="AZ158" s="53"/>
      <c r="BA158" s="66"/>
      <c r="BB158" s="53"/>
      <c r="BI158" s="80"/>
      <c r="BJ158" s="80"/>
      <c r="BK158" s="80"/>
      <c r="BL158" s="80"/>
      <c r="BM158" s="80"/>
      <c r="BO158" s="80"/>
      <c r="BP158" s="178"/>
      <c r="BQ158" s="80"/>
      <c r="BR158" s="92"/>
      <c r="BS158" s="53"/>
      <c r="BT158" s="53"/>
      <c r="BU158" s="66"/>
      <c r="BV158" s="53"/>
      <c r="CC158" s="80"/>
      <c r="CD158" s="80"/>
      <c r="CE158" s="80"/>
      <c r="CF158" s="80"/>
      <c r="CG158" s="80"/>
      <c r="CI158" s="80"/>
      <c r="CJ158" s="178"/>
      <c r="CK158" s="80"/>
      <c r="CL158" s="92"/>
      <c r="CM158" s="53"/>
      <c r="CN158" s="53"/>
      <c r="CO158" s="66"/>
      <c r="CP158" s="53"/>
      <c r="CW158" s="80"/>
      <c r="CX158" s="80"/>
      <c r="CY158" s="80"/>
      <c r="CZ158" s="80"/>
      <c r="DA158" s="80"/>
      <c r="DC158" s="80"/>
      <c r="DD158" s="178"/>
      <c r="DE158" s="80"/>
      <c r="DF158" s="92"/>
      <c r="DG158" s="53"/>
      <c r="DH158" s="53"/>
      <c r="DI158" s="66"/>
      <c r="DJ158" s="53"/>
      <c r="DQ158" s="80"/>
      <c r="DR158" s="80"/>
      <c r="DS158" s="80"/>
      <c r="DT158" s="80"/>
      <c r="DU158" s="80"/>
      <c r="DW158" s="80"/>
      <c r="DX158" s="178"/>
      <c r="DY158" s="80"/>
      <c r="DZ158" s="92"/>
      <c r="EA158" s="53"/>
      <c r="EB158" s="53"/>
      <c r="EC158" s="66"/>
      <c r="ED158" s="53"/>
      <c r="EK158" s="80"/>
      <c r="EL158" s="80"/>
      <c r="EM158" s="80"/>
      <c r="EN158" s="80"/>
      <c r="EO158" s="80"/>
      <c r="EQ158" s="80"/>
      <c r="ER158" s="178"/>
      <c r="ES158" s="80"/>
      <c r="ET158" s="92"/>
      <c r="EU158" s="53"/>
      <c r="EV158" s="53"/>
      <c r="EW158" s="66"/>
      <c r="EX158" s="53"/>
      <c r="FE158" s="80"/>
      <c r="FF158" s="80"/>
      <c r="FG158" s="80"/>
      <c r="FH158" s="80"/>
      <c r="FI158" s="80"/>
      <c r="FK158" s="80"/>
      <c r="FL158" s="178"/>
      <c r="FM158" s="80"/>
      <c r="FN158" s="92"/>
      <c r="FO158" s="53"/>
      <c r="FP158" s="53"/>
      <c r="FQ158" s="66"/>
      <c r="FR158" s="53"/>
      <c r="FY158" s="80"/>
      <c r="FZ158" s="80"/>
      <c r="GA158" s="80"/>
      <c r="GB158" s="80"/>
      <c r="GC158" s="80"/>
      <c r="GE158" s="80"/>
      <c r="GF158" s="178"/>
      <c r="GG158" s="80"/>
      <c r="GH158" s="92"/>
      <c r="GI158" s="53"/>
      <c r="GJ158" s="53"/>
      <c r="GK158" s="66"/>
      <c r="GL158" s="53"/>
      <c r="GS158" s="80"/>
      <c r="GT158" s="80"/>
      <c r="GU158" s="80"/>
      <c r="GV158" s="80"/>
      <c r="GW158" s="80"/>
      <c r="GY158" s="80"/>
      <c r="GZ158" s="178"/>
      <c r="HA158" s="80"/>
      <c r="HB158" s="92"/>
      <c r="HC158" s="53"/>
      <c r="HD158" s="53"/>
      <c r="HE158" s="66"/>
      <c r="HF158" s="53"/>
      <c r="HM158" s="80"/>
      <c r="HN158" s="80"/>
      <c r="HO158" s="80"/>
      <c r="HP158" s="80"/>
      <c r="HQ158" s="80"/>
      <c r="HS158" s="80"/>
      <c r="HT158" s="178"/>
      <c r="HU158" s="80"/>
      <c r="HV158" s="92"/>
      <c r="HW158" s="53"/>
      <c r="HX158" s="53"/>
      <c r="HY158" s="66"/>
      <c r="HZ158" s="53"/>
      <c r="IG158" s="80"/>
      <c r="IH158" s="80"/>
      <c r="II158" s="80"/>
      <c r="IJ158" s="80"/>
      <c r="IK158" s="80"/>
      <c r="IM158" s="80"/>
      <c r="IN158" s="178"/>
      <c r="IO158" s="80"/>
      <c r="IP158" s="92"/>
      <c r="IQ158" s="53"/>
      <c r="IR158" s="53"/>
      <c r="IS158" s="66"/>
      <c r="IT158" s="53"/>
      <c r="JA158" s="80"/>
      <c r="JB158" s="80"/>
      <c r="JC158" s="80"/>
      <c r="JD158" s="80"/>
      <c r="JE158" s="80"/>
      <c r="JG158" s="80"/>
      <c r="JH158" s="178"/>
      <c r="JI158" s="80"/>
      <c r="JJ158" s="92"/>
      <c r="JK158" s="53"/>
      <c r="JL158" s="53"/>
      <c r="JM158" s="66"/>
      <c r="JN158" s="53"/>
      <c r="JU158" s="80"/>
      <c r="JV158" s="80"/>
      <c r="JW158" s="80"/>
      <c r="JX158" s="80"/>
      <c r="JY158" s="80"/>
      <c r="KA158" s="80"/>
      <c r="KB158" s="178"/>
      <c r="KC158" s="80"/>
      <c r="KD158" s="92"/>
      <c r="KE158" s="53"/>
      <c r="KF158" s="53"/>
      <c r="KG158" s="66"/>
      <c r="KH158" s="53"/>
      <c r="KO158" s="80"/>
      <c r="KP158" s="80"/>
      <c r="KQ158" s="80"/>
      <c r="KR158" s="80"/>
      <c r="KS158" s="80"/>
      <c r="KU158" s="80"/>
      <c r="KV158" s="178"/>
      <c r="KW158" s="80"/>
      <c r="KX158" s="92"/>
      <c r="KY158" s="53"/>
      <c r="KZ158" s="53"/>
      <c r="LA158" s="66"/>
      <c r="LB158" s="53"/>
      <c r="LI158" s="80"/>
      <c r="LJ158" s="80"/>
      <c r="LK158" s="80"/>
      <c r="LL158" s="80"/>
      <c r="LM158" s="80"/>
      <c r="LO158" s="80"/>
      <c r="LP158" s="178"/>
      <c r="LQ158" s="80"/>
      <c r="LR158" s="92"/>
      <c r="LS158" s="53"/>
      <c r="LT158" s="53"/>
      <c r="LU158" s="66"/>
      <c r="LV158" s="53"/>
      <c r="MC158" s="80"/>
      <c r="MD158" s="80"/>
      <c r="ME158" s="80"/>
      <c r="MF158" s="80"/>
      <c r="MG158" s="80"/>
      <c r="MI158" s="80"/>
      <c r="MJ158" s="178"/>
      <c r="MK158" s="80"/>
      <c r="ML158" s="92"/>
      <c r="MM158" s="53"/>
      <c r="MN158" s="53"/>
      <c r="MO158" s="66"/>
      <c r="MP158" s="53"/>
      <c r="MW158" s="80"/>
      <c r="MX158" s="80"/>
      <c r="MY158" s="80"/>
      <c r="MZ158" s="80"/>
      <c r="NA158" s="80"/>
      <c r="NC158" s="80"/>
      <c r="ND158" s="178"/>
      <c r="NE158" s="80"/>
      <c r="NF158" s="92"/>
      <c r="NG158" s="53"/>
      <c r="NH158" s="53"/>
      <c r="NI158" s="66"/>
      <c r="NJ158" s="53"/>
      <c r="NQ158" s="80"/>
      <c r="NR158" s="80"/>
      <c r="NS158" s="80"/>
      <c r="NT158" s="80"/>
      <c r="NU158" s="80"/>
      <c r="NW158" s="80"/>
      <c r="NX158" s="178"/>
      <c r="NY158" s="80"/>
      <c r="NZ158" s="92"/>
      <c r="OA158" s="53"/>
      <c r="OB158" s="53"/>
      <c r="OC158" s="66"/>
      <c r="OD158" s="53"/>
      <c r="OK158" s="80"/>
      <c r="OL158" s="80"/>
      <c r="OM158" s="80"/>
      <c r="ON158" s="80"/>
      <c r="OO158" s="80"/>
      <c r="OQ158" s="80"/>
      <c r="OR158" s="178"/>
      <c r="OS158" s="80"/>
      <c r="OT158" s="92"/>
      <c r="OU158" s="53"/>
      <c r="OV158" s="53"/>
      <c r="OW158" s="66"/>
      <c r="OX158" s="53"/>
      <c r="PE158" s="80"/>
      <c r="PF158" s="80"/>
      <c r="PG158" s="80"/>
      <c r="PH158" s="80"/>
      <c r="PI158" s="80"/>
      <c r="PK158" s="80"/>
      <c r="PL158" s="178"/>
      <c r="PM158" s="80"/>
      <c r="PN158" s="92"/>
      <c r="PO158" s="53"/>
      <c r="PP158" s="53"/>
      <c r="PQ158" s="66"/>
      <c r="PR158" s="53"/>
      <c r="PY158" s="80"/>
      <c r="PZ158" s="80"/>
      <c r="QA158" s="80"/>
      <c r="QB158" s="80"/>
      <c r="QC158" s="80"/>
      <c r="QE158" s="80"/>
      <c r="QF158" s="178"/>
      <c r="QG158" s="80"/>
      <c r="QH158" s="92"/>
      <c r="QI158" s="53"/>
      <c r="QJ158" s="53"/>
      <c r="QK158" s="66"/>
      <c r="QL158" s="53"/>
      <c r="QS158" s="80"/>
      <c r="QT158" s="80"/>
      <c r="QU158" s="80"/>
      <c r="QV158" s="80"/>
      <c r="QW158" s="80"/>
      <c r="QY158" s="80"/>
      <c r="QZ158" s="178"/>
      <c r="RA158" s="80"/>
      <c r="RB158" s="92"/>
      <c r="RC158" s="53"/>
      <c r="RD158" s="53"/>
      <c r="RE158" s="66"/>
      <c r="RF158" s="53"/>
      <c r="RM158" s="80"/>
      <c r="RN158" s="80"/>
      <c r="RO158" s="80"/>
      <c r="RP158" s="80"/>
      <c r="RQ158" s="80"/>
      <c r="RS158" s="80"/>
      <c r="RT158" s="178"/>
      <c r="RU158" s="80"/>
      <c r="RV158" s="92"/>
      <c r="RW158" s="53"/>
      <c r="RX158" s="53"/>
      <c r="RY158" s="66"/>
      <c r="RZ158" s="53"/>
      <c r="SG158" s="80"/>
      <c r="SH158" s="80"/>
      <c r="SI158" s="80"/>
      <c r="SJ158" s="80"/>
      <c r="SK158" s="80"/>
      <c r="SM158" s="80"/>
      <c r="SN158" s="178"/>
      <c r="SO158" s="80"/>
      <c r="SP158" s="92"/>
      <c r="SQ158" s="53"/>
      <c r="SR158" s="53"/>
      <c r="SS158" s="66"/>
      <c r="ST158" s="53"/>
      <c r="TA158" s="80"/>
      <c r="TB158" s="80"/>
      <c r="TC158" s="80"/>
      <c r="TD158" s="80"/>
      <c r="TE158" s="80"/>
      <c r="TG158" s="80"/>
      <c r="TH158" s="178"/>
      <c r="TI158" s="80"/>
      <c r="TJ158" s="92"/>
      <c r="TK158" s="53"/>
      <c r="TL158" s="53"/>
      <c r="TM158" s="66"/>
      <c r="TN158" s="53"/>
      <c r="TU158" s="80"/>
      <c r="TV158" s="80"/>
      <c r="TW158" s="80"/>
      <c r="TX158" s="80"/>
      <c r="TY158" s="80"/>
      <c r="UA158" s="80"/>
      <c r="UB158" s="178"/>
      <c r="UC158" s="80"/>
      <c r="UD158" s="92"/>
      <c r="UE158" s="53"/>
      <c r="UF158" s="53"/>
      <c r="UG158" s="66"/>
      <c r="UH158" s="53"/>
      <c r="UO158" s="80"/>
      <c r="UP158" s="80"/>
      <c r="UQ158" s="80"/>
      <c r="UR158" s="80"/>
      <c r="US158" s="80"/>
      <c r="UU158" s="80"/>
      <c r="UV158" s="178"/>
      <c r="UW158" s="80"/>
      <c r="UX158" s="92"/>
      <c r="UY158" s="53"/>
      <c r="UZ158" s="53"/>
      <c r="VA158" s="66"/>
      <c r="VB158" s="53"/>
      <c r="VI158" s="80"/>
      <c r="VJ158" s="80"/>
      <c r="VK158" s="80"/>
      <c r="VL158" s="80"/>
      <c r="VM158" s="80"/>
      <c r="VO158" s="80"/>
      <c r="VP158" s="178"/>
      <c r="VQ158" s="80"/>
      <c r="VR158" s="92"/>
      <c r="VS158" s="53"/>
      <c r="VT158" s="53"/>
      <c r="VU158" s="66"/>
      <c r="VV158" s="53"/>
      <c r="WC158" s="80"/>
      <c r="WD158" s="80"/>
      <c r="WE158" s="80"/>
      <c r="WF158" s="80"/>
      <c r="WG158" s="80"/>
      <c r="WI158" s="80"/>
      <c r="WJ158" s="178"/>
      <c r="WK158" s="80"/>
      <c r="WL158" s="92"/>
      <c r="WM158" s="53"/>
      <c r="WN158" s="53"/>
      <c r="WO158" s="66"/>
      <c r="WP158" s="53"/>
      <c r="WW158" s="80"/>
      <c r="WX158" s="80"/>
      <c r="WY158" s="80"/>
      <c r="WZ158" s="80"/>
      <c r="XA158" s="80"/>
      <c r="XC158" s="80"/>
      <c r="XD158" s="178"/>
      <c r="XE158" s="80"/>
      <c r="XF158" s="92"/>
      <c r="XG158" s="53"/>
      <c r="XH158" s="53"/>
      <c r="XI158" s="66"/>
      <c r="XJ158" s="53"/>
      <c r="XQ158" s="80"/>
      <c r="XR158" s="80"/>
      <c r="XS158" s="80"/>
      <c r="XT158" s="80"/>
      <c r="XU158" s="80"/>
      <c r="XW158" s="80"/>
      <c r="XX158" s="178"/>
      <c r="XY158" s="80"/>
      <c r="XZ158" s="92"/>
      <c r="YA158" s="53"/>
      <c r="YB158" s="53"/>
      <c r="YC158" s="66"/>
      <c r="YD158" s="53"/>
      <c r="YK158" s="80"/>
      <c r="YL158" s="80"/>
      <c r="YM158" s="80"/>
      <c r="YN158" s="80"/>
      <c r="YO158" s="80"/>
      <c r="YQ158" s="80"/>
      <c r="YR158" s="178"/>
      <c r="YS158" s="80"/>
      <c r="YT158" s="92"/>
      <c r="YU158" s="53"/>
      <c r="YV158" s="53"/>
      <c r="YW158" s="66"/>
      <c r="YX158" s="53"/>
      <c r="ZE158" s="80"/>
      <c r="ZF158" s="80"/>
      <c r="ZG158" s="80"/>
      <c r="ZH158" s="80"/>
      <c r="ZI158" s="80"/>
      <c r="ZK158" s="80"/>
      <c r="ZL158" s="178"/>
      <c r="ZM158" s="80"/>
      <c r="ZN158" s="92"/>
      <c r="ZO158" s="53"/>
      <c r="ZP158" s="53"/>
      <c r="ZQ158" s="66"/>
      <c r="ZR158" s="53"/>
      <c r="ZY158" s="80"/>
      <c r="ZZ158" s="80"/>
      <c r="AAA158" s="80"/>
      <c r="AAB158" s="80"/>
      <c r="AAC158" s="80"/>
      <c r="AAE158" s="80"/>
      <c r="AAF158" s="178"/>
      <c r="AAG158" s="80"/>
      <c r="AAH158" s="92"/>
      <c r="AAI158" s="53"/>
      <c r="AAJ158" s="53"/>
      <c r="AAK158" s="66"/>
      <c r="AAL158" s="53"/>
      <c r="AAS158" s="80"/>
      <c r="AAT158" s="80"/>
      <c r="AAU158" s="80"/>
      <c r="AAV158" s="80"/>
      <c r="AAW158" s="80"/>
      <c r="AAY158" s="80"/>
      <c r="AAZ158" s="178"/>
      <c r="ABA158" s="80"/>
      <c r="ABB158" s="92"/>
      <c r="ABC158" s="53"/>
      <c r="ABD158" s="53"/>
      <c r="ABE158" s="66"/>
      <c r="ABF158" s="53"/>
      <c r="ABM158" s="80"/>
      <c r="ABN158" s="80"/>
      <c r="ABO158" s="80"/>
      <c r="ABP158" s="80"/>
      <c r="ABQ158" s="80"/>
      <c r="ABS158" s="80"/>
      <c r="ABT158" s="178"/>
      <c r="ABU158" s="80"/>
      <c r="ABV158" s="92"/>
      <c r="ABW158" s="53"/>
      <c r="ABX158" s="53"/>
      <c r="ABY158" s="66"/>
      <c r="ABZ158" s="53"/>
      <c r="ACG158" s="80"/>
      <c r="ACH158" s="80"/>
      <c r="ACI158" s="80"/>
      <c r="ACJ158" s="80"/>
      <c r="ACK158" s="80"/>
      <c r="ACM158" s="80"/>
      <c r="ACN158" s="178"/>
      <c r="ACO158" s="80"/>
      <c r="ACP158" s="92"/>
      <c r="ACQ158" s="53"/>
      <c r="ACR158" s="53"/>
      <c r="ACS158" s="66"/>
      <c r="ACT158" s="53"/>
      <c r="ADA158" s="80"/>
      <c r="ADB158" s="80"/>
      <c r="ADC158" s="80"/>
      <c r="ADD158" s="80"/>
      <c r="ADE158" s="80"/>
      <c r="ADG158" s="80"/>
      <c r="ADH158" s="178"/>
      <c r="ADI158" s="80"/>
      <c r="ADJ158" s="92"/>
      <c r="ADK158" s="53"/>
      <c r="ADL158" s="53"/>
      <c r="ADM158" s="66"/>
      <c r="ADN158" s="53"/>
      <c r="ADU158" s="80"/>
      <c r="ADV158" s="80"/>
      <c r="ADW158" s="80"/>
      <c r="ADX158" s="80"/>
      <c r="ADY158" s="80"/>
      <c r="AEA158" s="80"/>
      <c r="AEB158" s="178"/>
      <c r="AEC158" s="80"/>
      <c r="AED158" s="92"/>
      <c r="AEE158" s="53"/>
      <c r="AEF158" s="53"/>
      <c r="AEG158" s="66"/>
      <c r="AEH158" s="53"/>
      <c r="AEO158" s="80"/>
      <c r="AEP158" s="80"/>
      <c r="AEQ158" s="80"/>
      <c r="AER158" s="80"/>
      <c r="AES158" s="80"/>
      <c r="AEU158" s="80"/>
      <c r="AEV158" s="178"/>
      <c r="AEW158" s="80"/>
      <c r="AEX158" s="92"/>
      <c r="AEY158" s="53"/>
      <c r="AEZ158" s="53"/>
      <c r="AFA158" s="66"/>
      <c r="AFB158" s="53"/>
      <c r="AFI158" s="80"/>
      <c r="AFJ158" s="80"/>
      <c r="AFK158" s="80"/>
      <c r="AFL158" s="80"/>
      <c r="AFM158" s="80"/>
      <c r="AFO158" s="80"/>
      <c r="AFP158" s="178"/>
      <c r="AFQ158" s="80"/>
      <c r="AFR158" s="92"/>
      <c r="AFS158" s="53"/>
      <c r="AFT158" s="53"/>
      <c r="AFU158" s="66"/>
      <c r="AFV158" s="53"/>
      <c r="AGC158" s="80"/>
      <c r="AGD158" s="80"/>
      <c r="AGE158" s="80"/>
      <c r="AGF158" s="80"/>
      <c r="AGG158" s="80"/>
      <c r="AGI158" s="80"/>
      <c r="AGJ158" s="178"/>
      <c r="AGK158" s="80"/>
      <c r="AGL158" s="92"/>
      <c r="AGM158" s="53"/>
      <c r="AGN158" s="53"/>
      <c r="AGO158" s="66"/>
      <c r="AGP158" s="53"/>
      <c r="AGW158" s="80"/>
      <c r="AGX158" s="80"/>
      <c r="AGY158" s="80"/>
      <c r="AGZ158" s="80"/>
      <c r="AHA158" s="80"/>
      <c r="AHC158" s="80"/>
      <c r="AHD158" s="178"/>
      <c r="AHE158" s="80"/>
      <c r="AHF158" s="92"/>
      <c r="AHG158" s="53"/>
      <c r="AHH158" s="53"/>
      <c r="AHI158" s="66"/>
      <c r="AHJ158" s="53"/>
      <c r="AHQ158" s="80"/>
      <c r="AHR158" s="80"/>
      <c r="AHS158" s="80"/>
      <c r="AHT158" s="80"/>
      <c r="AHU158" s="80"/>
      <c r="AHW158" s="80"/>
      <c r="AHX158" s="178"/>
      <c r="AHY158" s="80"/>
      <c r="AHZ158" s="92"/>
      <c r="AIA158" s="53"/>
      <c r="AIB158" s="53"/>
      <c r="AIC158" s="66"/>
      <c r="AID158" s="53"/>
      <c r="AIK158" s="80"/>
      <c r="AIL158" s="80"/>
      <c r="AIM158" s="80"/>
      <c r="AIN158" s="80"/>
      <c r="AIO158" s="80"/>
      <c r="AIQ158" s="80"/>
      <c r="AIR158" s="178"/>
      <c r="AIS158" s="80"/>
      <c r="AIT158" s="92"/>
      <c r="AIU158" s="53"/>
      <c r="AIV158" s="53"/>
      <c r="AIW158" s="66"/>
      <c r="AIX158" s="53"/>
      <c r="AJE158" s="80"/>
      <c r="AJF158" s="80"/>
      <c r="AJG158" s="80"/>
      <c r="AJH158" s="80"/>
      <c r="AJI158" s="80"/>
      <c r="AJK158" s="80"/>
      <c r="AJL158" s="178"/>
      <c r="AJM158" s="80"/>
      <c r="AJN158" s="92"/>
      <c r="AJO158" s="53"/>
      <c r="AJP158" s="53"/>
      <c r="AJQ158" s="66"/>
      <c r="AJR158" s="53"/>
      <c r="AJY158" s="80"/>
      <c r="AJZ158" s="80"/>
      <c r="AKA158" s="80"/>
      <c r="AKB158" s="80"/>
      <c r="AKC158" s="80"/>
      <c r="AKE158" s="80"/>
      <c r="AKF158" s="178"/>
      <c r="AKG158" s="80"/>
      <c r="AKH158" s="92"/>
      <c r="AKI158" s="53"/>
      <c r="AKJ158" s="53"/>
      <c r="AKK158" s="66"/>
      <c r="AKL158" s="53"/>
      <c r="AKS158" s="80"/>
      <c r="AKT158" s="80"/>
      <c r="AKU158" s="80"/>
      <c r="AKV158" s="80"/>
      <c r="AKW158" s="80"/>
      <c r="AKY158" s="80"/>
      <c r="AKZ158" s="178"/>
      <c r="ALA158" s="80"/>
      <c r="ALB158" s="92"/>
      <c r="ALC158" s="53"/>
      <c r="ALD158" s="53"/>
      <c r="ALE158" s="66"/>
      <c r="ALF158" s="53"/>
      <c r="ALM158" s="80"/>
      <c r="ALN158" s="80"/>
      <c r="ALO158" s="80"/>
      <c r="ALP158" s="80"/>
      <c r="ALQ158" s="80"/>
      <c r="ALS158" s="80"/>
      <c r="ALT158" s="178"/>
      <c r="ALU158" s="80"/>
      <c r="ALV158" s="92"/>
      <c r="ALW158" s="53"/>
      <c r="ALX158" s="53"/>
      <c r="ALY158" s="66"/>
      <c r="ALZ158" s="53"/>
      <c r="AMG158" s="80"/>
      <c r="AMH158" s="80"/>
      <c r="AMI158" s="80"/>
      <c r="AMJ158" s="80"/>
      <c r="AMK158" s="80"/>
      <c r="AMM158" s="80"/>
      <c r="AMN158" s="178"/>
      <c r="AMO158" s="80"/>
      <c r="AMP158" s="92"/>
      <c r="AMQ158" s="53"/>
      <c r="AMR158" s="53"/>
      <c r="AMS158" s="66"/>
      <c r="AMT158" s="53"/>
      <c r="ANA158" s="80"/>
      <c r="ANB158" s="80"/>
      <c r="ANC158" s="80"/>
      <c r="AND158" s="80"/>
      <c r="ANE158" s="80"/>
      <c r="ANG158" s="80"/>
      <c r="ANH158" s="178"/>
      <c r="ANI158" s="80"/>
      <c r="ANJ158" s="92"/>
      <c r="ANK158" s="53"/>
      <c r="ANL158" s="53"/>
      <c r="ANM158" s="66"/>
      <c r="ANN158" s="53"/>
      <c r="ANU158" s="80"/>
      <c r="ANV158" s="80"/>
      <c r="ANW158" s="80"/>
      <c r="ANX158" s="80"/>
      <c r="ANY158" s="80"/>
      <c r="AOA158" s="80"/>
      <c r="AOB158" s="178"/>
      <c r="AOC158" s="80"/>
      <c r="AOD158" s="92"/>
      <c r="AOE158" s="53"/>
      <c r="AOF158" s="53"/>
      <c r="AOG158" s="66"/>
      <c r="AOH158" s="53"/>
      <c r="AOO158" s="80"/>
      <c r="AOP158" s="80"/>
      <c r="AOQ158" s="80"/>
      <c r="AOR158" s="80"/>
      <c r="AOS158" s="80"/>
      <c r="AOU158" s="80"/>
      <c r="AOV158" s="178"/>
      <c r="AOW158" s="80"/>
      <c r="AOX158" s="92"/>
      <c r="AOY158" s="53"/>
      <c r="AOZ158" s="53"/>
      <c r="APA158" s="66"/>
      <c r="APB158" s="53"/>
      <c r="API158" s="80"/>
      <c r="APJ158" s="80"/>
      <c r="APK158" s="80"/>
      <c r="APL158" s="80"/>
      <c r="APM158" s="80"/>
      <c r="APO158" s="80"/>
      <c r="APP158" s="178"/>
      <c r="APQ158" s="80"/>
      <c r="APR158" s="92"/>
      <c r="APS158" s="53"/>
      <c r="APT158" s="53"/>
      <c r="APU158" s="66"/>
      <c r="APV158" s="53"/>
      <c r="AQC158" s="80"/>
      <c r="AQD158" s="80"/>
      <c r="AQE158" s="80"/>
      <c r="AQF158" s="80"/>
      <c r="AQG158" s="80"/>
      <c r="AQI158" s="80"/>
      <c r="AQJ158" s="178"/>
      <c r="AQK158" s="80"/>
      <c r="AQL158" s="92"/>
      <c r="AQM158" s="53"/>
      <c r="AQN158" s="53"/>
      <c r="AQO158" s="66"/>
      <c r="AQP158" s="53"/>
      <c r="AQW158" s="80"/>
      <c r="AQX158" s="80"/>
      <c r="AQY158" s="80"/>
      <c r="AQZ158" s="80"/>
      <c r="ARA158" s="80"/>
      <c r="ARC158" s="80"/>
      <c r="ARD158" s="178"/>
      <c r="ARE158" s="80"/>
      <c r="ARF158" s="92"/>
      <c r="ARG158" s="53"/>
      <c r="ARH158" s="53"/>
      <c r="ARI158" s="66"/>
      <c r="ARJ158" s="53"/>
      <c r="ARQ158" s="80"/>
      <c r="ARR158" s="80"/>
      <c r="ARS158" s="80"/>
      <c r="ART158" s="80"/>
      <c r="ARU158" s="80"/>
      <c r="ARW158" s="80"/>
      <c r="ARX158" s="178"/>
      <c r="ARY158" s="80"/>
      <c r="ARZ158" s="92"/>
      <c r="ASA158" s="53"/>
      <c r="ASB158" s="53"/>
      <c r="ASC158" s="66"/>
      <c r="ASD158" s="53"/>
      <c r="ASK158" s="80"/>
      <c r="ASL158" s="80"/>
      <c r="ASM158" s="80"/>
      <c r="ASN158" s="80"/>
      <c r="ASO158" s="80"/>
      <c r="ASQ158" s="80"/>
      <c r="ASR158" s="178"/>
      <c r="ASS158" s="80"/>
      <c r="AST158" s="92"/>
      <c r="ASU158" s="53"/>
      <c r="ASV158" s="53"/>
      <c r="ASW158" s="66"/>
      <c r="ASX158" s="53"/>
      <c r="ATE158" s="80"/>
      <c r="ATF158" s="80"/>
      <c r="ATG158" s="80"/>
      <c r="ATH158" s="80"/>
      <c r="ATI158" s="80"/>
      <c r="ATK158" s="80"/>
      <c r="ATL158" s="178"/>
      <c r="ATM158" s="80"/>
      <c r="ATN158" s="92"/>
      <c r="ATO158" s="53"/>
      <c r="ATP158" s="53"/>
      <c r="ATQ158" s="66"/>
      <c r="ATR158" s="53"/>
      <c r="ATY158" s="80"/>
      <c r="ATZ158" s="80"/>
      <c r="AUA158" s="80"/>
      <c r="AUB158" s="80"/>
      <c r="AUC158" s="80"/>
      <c r="AUE158" s="80"/>
      <c r="AUF158" s="178"/>
      <c r="AUG158" s="80"/>
      <c r="AUH158" s="92"/>
      <c r="AUI158" s="53"/>
      <c r="AUJ158" s="53"/>
      <c r="AUK158" s="66"/>
      <c r="AUL158" s="53"/>
      <c r="AUS158" s="80"/>
      <c r="AUT158" s="80"/>
      <c r="AUU158" s="80"/>
      <c r="AUV158" s="80"/>
      <c r="AUW158" s="80"/>
      <c r="AUY158" s="80"/>
      <c r="AUZ158" s="178"/>
      <c r="AVA158" s="80"/>
      <c r="AVB158" s="92"/>
      <c r="AVC158" s="53"/>
      <c r="AVD158" s="53"/>
      <c r="AVE158" s="66"/>
      <c r="AVF158" s="53"/>
      <c r="AVM158" s="80"/>
      <c r="AVN158" s="80"/>
      <c r="AVO158" s="80"/>
      <c r="AVP158" s="80"/>
      <c r="AVQ158" s="80"/>
      <c r="AVS158" s="80"/>
      <c r="AVT158" s="178"/>
      <c r="AVU158" s="80"/>
      <c r="AVV158" s="92"/>
      <c r="AVW158" s="53"/>
      <c r="AVX158" s="53"/>
      <c r="AVY158" s="66"/>
      <c r="AVZ158" s="53"/>
      <c r="AWG158" s="80"/>
      <c r="AWH158" s="80"/>
      <c r="AWI158" s="80"/>
      <c r="AWJ158" s="80"/>
      <c r="AWK158" s="80"/>
      <c r="AWM158" s="80"/>
      <c r="AWN158" s="178"/>
      <c r="AWO158" s="80"/>
      <c r="AWP158" s="92"/>
      <c r="AWQ158" s="53"/>
      <c r="AWR158" s="53"/>
      <c r="AWS158" s="66"/>
      <c r="AWT158" s="53"/>
      <c r="AXA158" s="80"/>
      <c r="AXB158" s="80"/>
      <c r="AXC158" s="80"/>
      <c r="AXD158" s="80"/>
      <c r="AXE158" s="80"/>
      <c r="AXG158" s="80"/>
      <c r="AXH158" s="178"/>
      <c r="AXI158" s="80"/>
      <c r="AXJ158" s="92"/>
      <c r="AXK158" s="53"/>
      <c r="AXL158" s="53"/>
      <c r="AXM158" s="66"/>
      <c r="AXN158" s="53"/>
      <c r="AXU158" s="80"/>
      <c r="AXV158" s="80"/>
      <c r="AXW158" s="80"/>
      <c r="AXX158" s="80"/>
      <c r="AXY158" s="80"/>
      <c r="AYA158" s="80"/>
      <c r="AYB158" s="178"/>
      <c r="AYC158" s="80"/>
      <c r="AYD158" s="92"/>
      <c r="AYE158" s="53"/>
      <c r="AYF158" s="53"/>
      <c r="AYG158" s="66"/>
      <c r="AYH158" s="53"/>
      <c r="AYO158" s="80"/>
      <c r="AYP158" s="80"/>
      <c r="AYQ158" s="80"/>
      <c r="AYR158" s="80"/>
      <c r="AYS158" s="80"/>
      <c r="AYU158" s="80"/>
      <c r="AYV158" s="178"/>
      <c r="AYW158" s="80"/>
      <c r="AYX158" s="92"/>
      <c r="AYY158" s="53"/>
      <c r="AYZ158" s="53"/>
      <c r="AZA158" s="66"/>
      <c r="AZB158" s="53"/>
      <c r="AZI158" s="80"/>
      <c r="AZJ158" s="80"/>
      <c r="AZK158" s="80"/>
      <c r="AZL158" s="80"/>
      <c r="AZM158" s="80"/>
      <c r="AZO158" s="80"/>
      <c r="AZP158" s="178"/>
      <c r="AZQ158" s="80"/>
      <c r="AZR158" s="92"/>
      <c r="AZS158" s="53"/>
      <c r="AZT158" s="53"/>
      <c r="AZU158" s="66"/>
      <c r="AZV158" s="53"/>
      <c r="BAC158" s="80"/>
      <c r="BAD158" s="80"/>
      <c r="BAE158" s="80"/>
      <c r="BAF158" s="80"/>
      <c r="BAG158" s="80"/>
      <c r="BAI158" s="80"/>
      <c r="BAJ158" s="178"/>
      <c r="BAK158" s="80"/>
      <c r="BAL158" s="92"/>
      <c r="BAM158" s="53"/>
      <c r="BAN158" s="53"/>
      <c r="BAO158" s="66"/>
      <c r="BAP158" s="53"/>
      <c r="BAW158" s="80"/>
      <c r="BAX158" s="80"/>
      <c r="BAY158" s="80"/>
      <c r="BAZ158" s="80"/>
      <c r="BBA158" s="80"/>
      <c r="BBC158" s="80"/>
      <c r="BBD158" s="178"/>
      <c r="BBE158" s="80"/>
      <c r="BBF158" s="92"/>
      <c r="BBG158" s="53"/>
      <c r="BBH158" s="53"/>
      <c r="BBI158" s="66"/>
      <c r="BBJ158" s="53"/>
      <c r="BBQ158" s="80"/>
      <c r="BBR158" s="80"/>
      <c r="BBS158" s="80"/>
      <c r="BBT158" s="80"/>
      <c r="BBU158" s="80"/>
      <c r="BBW158" s="80"/>
      <c r="BBX158" s="178"/>
      <c r="BBY158" s="80"/>
      <c r="BBZ158" s="92"/>
      <c r="BCA158" s="53"/>
      <c r="BCB158" s="53"/>
      <c r="BCC158" s="66"/>
      <c r="BCD158" s="53"/>
      <c r="BCK158" s="80"/>
      <c r="BCL158" s="80"/>
      <c r="BCM158" s="80"/>
      <c r="BCN158" s="80"/>
      <c r="BCO158" s="80"/>
      <c r="BCQ158" s="80"/>
      <c r="BCR158" s="178"/>
      <c r="BCS158" s="80"/>
      <c r="BCT158" s="92"/>
      <c r="BCU158" s="53"/>
      <c r="BCV158" s="53"/>
      <c r="BCW158" s="66"/>
      <c r="BCX158" s="53"/>
      <c r="BDE158" s="80"/>
      <c r="BDF158" s="80"/>
      <c r="BDG158" s="80"/>
      <c r="BDH158" s="80"/>
      <c r="BDI158" s="80"/>
      <c r="BDK158" s="80"/>
      <c r="BDL158" s="178"/>
      <c r="BDM158" s="80"/>
      <c r="BDN158" s="92"/>
      <c r="BDO158" s="53"/>
      <c r="BDP158" s="53"/>
      <c r="BDQ158" s="66"/>
      <c r="BDR158" s="53"/>
      <c r="BDY158" s="80"/>
      <c r="BDZ158" s="80"/>
      <c r="BEA158" s="80"/>
      <c r="BEB158" s="80"/>
      <c r="BEC158" s="80"/>
      <c r="BEE158" s="80"/>
      <c r="BEF158" s="178"/>
      <c r="BEG158" s="80"/>
      <c r="BEH158" s="92"/>
      <c r="BEI158" s="53"/>
      <c r="BEJ158" s="53"/>
      <c r="BEK158" s="66"/>
      <c r="BEL158" s="53"/>
      <c r="BES158" s="80"/>
      <c r="BET158" s="80"/>
      <c r="BEU158" s="80"/>
      <c r="BEV158" s="80"/>
      <c r="BEW158" s="80"/>
      <c r="BEY158" s="80"/>
      <c r="BEZ158" s="178"/>
      <c r="BFA158" s="80"/>
      <c r="BFB158" s="92"/>
      <c r="BFC158" s="53"/>
      <c r="BFD158" s="53"/>
      <c r="BFE158" s="66"/>
      <c r="BFF158" s="53"/>
      <c r="BFM158" s="80"/>
      <c r="BFN158" s="80"/>
      <c r="BFO158" s="80"/>
      <c r="BFP158" s="80"/>
      <c r="BFQ158" s="80"/>
      <c r="BFS158" s="80"/>
      <c r="BFT158" s="178"/>
      <c r="BFU158" s="80"/>
      <c r="BFV158" s="92"/>
      <c r="BFW158" s="53"/>
      <c r="BFX158" s="53"/>
      <c r="BFY158" s="66"/>
      <c r="BFZ158" s="53"/>
      <c r="BGG158" s="80"/>
      <c r="BGH158" s="80"/>
      <c r="BGI158" s="80"/>
      <c r="BGJ158" s="80"/>
      <c r="BGK158" s="80"/>
      <c r="BGM158" s="80"/>
      <c r="BGN158" s="178"/>
      <c r="BGO158" s="80"/>
      <c r="BGP158" s="92"/>
      <c r="BGQ158" s="53"/>
      <c r="BGR158" s="53"/>
      <c r="BGS158" s="66"/>
      <c r="BGT158" s="53"/>
      <c r="BHA158" s="80"/>
      <c r="BHB158" s="80"/>
      <c r="BHC158" s="80"/>
      <c r="BHD158" s="80"/>
      <c r="BHE158" s="80"/>
      <c r="BHG158" s="80"/>
      <c r="BHH158" s="178"/>
      <c r="BHI158" s="80"/>
      <c r="BHJ158" s="92"/>
      <c r="BHK158" s="53"/>
      <c r="BHL158" s="53"/>
      <c r="BHM158" s="66"/>
      <c r="BHN158" s="53"/>
      <c r="BHU158" s="80"/>
      <c r="BHV158" s="80"/>
      <c r="BHW158" s="80"/>
      <c r="BHX158" s="80"/>
      <c r="BHY158" s="80"/>
      <c r="BIA158" s="80"/>
      <c r="BIB158" s="178"/>
      <c r="BIC158" s="80"/>
      <c r="BID158" s="92"/>
      <c r="BIE158" s="53"/>
      <c r="BIF158" s="53"/>
      <c r="BIG158" s="66"/>
      <c r="BIH158" s="53"/>
      <c r="BIO158" s="80"/>
      <c r="BIP158" s="80"/>
      <c r="BIQ158" s="80"/>
      <c r="BIR158" s="80"/>
      <c r="BIS158" s="80"/>
      <c r="BIU158" s="80"/>
      <c r="BIV158" s="178"/>
      <c r="BIW158" s="80"/>
      <c r="BIX158" s="92"/>
      <c r="BIY158" s="53"/>
      <c r="BIZ158" s="53"/>
      <c r="BJA158" s="66"/>
      <c r="BJB158" s="53"/>
      <c r="BJI158" s="80"/>
      <c r="BJJ158" s="80"/>
      <c r="BJK158" s="80"/>
      <c r="BJL158" s="80"/>
      <c r="BJM158" s="80"/>
      <c r="BJO158" s="80"/>
      <c r="BJP158" s="178"/>
      <c r="BJQ158" s="80"/>
      <c r="BJR158" s="92"/>
      <c r="BJS158" s="53"/>
      <c r="BJT158" s="53"/>
      <c r="BJU158" s="66"/>
      <c r="BJV158" s="53"/>
      <c r="BKC158" s="80"/>
      <c r="BKD158" s="80"/>
      <c r="BKE158" s="80"/>
      <c r="BKF158" s="80"/>
      <c r="BKG158" s="80"/>
      <c r="BKI158" s="80"/>
      <c r="BKJ158" s="178"/>
      <c r="BKK158" s="80"/>
      <c r="BKL158" s="92"/>
      <c r="BKM158" s="53"/>
      <c r="BKN158" s="53"/>
      <c r="BKO158" s="66"/>
      <c r="BKP158" s="53"/>
      <c r="BKW158" s="80"/>
      <c r="BKX158" s="80"/>
      <c r="BKY158" s="80"/>
      <c r="BKZ158" s="80"/>
      <c r="BLA158" s="80"/>
      <c r="BLC158" s="80"/>
      <c r="BLD158" s="178"/>
      <c r="BLE158" s="80"/>
      <c r="BLF158" s="92"/>
      <c r="BLG158" s="53"/>
      <c r="BLH158" s="53"/>
      <c r="BLI158" s="66"/>
      <c r="BLJ158" s="53"/>
      <c r="BLQ158" s="80"/>
      <c r="BLR158" s="80"/>
      <c r="BLS158" s="80"/>
      <c r="BLT158" s="80"/>
      <c r="BLU158" s="80"/>
      <c r="BLW158" s="80"/>
      <c r="BLX158" s="178"/>
      <c r="BLY158" s="80"/>
      <c r="BLZ158" s="92"/>
      <c r="BMA158" s="53"/>
      <c r="BMB158" s="53"/>
      <c r="BMC158" s="66"/>
      <c r="BMD158" s="53"/>
      <c r="BMK158" s="80"/>
      <c r="BML158" s="80"/>
      <c r="BMM158" s="80"/>
      <c r="BMN158" s="80"/>
      <c r="BMO158" s="80"/>
      <c r="BMQ158" s="80"/>
      <c r="BMR158" s="178"/>
      <c r="BMS158" s="80"/>
      <c r="BMT158" s="92"/>
      <c r="BMU158" s="53"/>
      <c r="BMV158" s="53"/>
      <c r="BMW158" s="66"/>
      <c r="BMX158" s="53"/>
      <c r="BNE158" s="80"/>
      <c r="BNF158" s="80"/>
      <c r="BNG158" s="80"/>
      <c r="BNH158" s="80"/>
      <c r="BNI158" s="80"/>
      <c r="BNK158" s="80"/>
      <c r="BNL158" s="178"/>
      <c r="BNM158" s="80"/>
      <c r="BNN158" s="92"/>
      <c r="BNO158" s="53"/>
      <c r="BNP158" s="53"/>
      <c r="BNQ158" s="66"/>
      <c r="BNR158" s="53"/>
      <c r="BNY158" s="80"/>
      <c r="BNZ158" s="80"/>
      <c r="BOA158" s="80"/>
      <c r="BOB158" s="80"/>
      <c r="BOC158" s="80"/>
      <c r="BOE158" s="80"/>
      <c r="BOF158" s="178"/>
      <c r="BOG158" s="80"/>
      <c r="BOH158" s="92"/>
      <c r="BOI158" s="53"/>
      <c r="BOJ158" s="53"/>
      <c r="BOK158" s="66"/>
      <c r="BOL158" s="53"/>
      <c r="BOS158" s="80"/>
      <c r="BOT158" s="80"/>
      <c r="BOU158" s="80"/>
      <c r="BOV158" s="80"/>
      <c r="BOW158" s="80"/>
      <c r="BOY158" s="80"/>
      <c r="BOZ158" s="178"/>
      <c r="BPA158" s="80"/>
      <c r="BPB158" s="92"/>
      <c r="BPC158" s="53"/>
      <c r="BPD158" s="53"/>
      <c r="BPE158" s="66"/>
      <c r="BPF158" s="53"/>
      <c r="BPM158" s="80"/>
      <c r="BPN158" s="80"/>
      <c r="BPO158" s="80"/>
      <c r="BPP158" s="80"/>
      <c r="BPQ158" s="80"/>
      <c r="BPS158" s="80"/>
      <c r="BPT158" s="178"/>
      <c r="BPU158" s="80"/>
      <c r="BPV158" s="92"/>
      <c r="BPW158" s="53"/>
      <c r="BPX158" s="53"/>
      <c r="BPY158" s="66"/>
      <c r="BPZ158" s="53"/>
      <c r="BQG158" s="80"/>
      <c r="BQH158" s="80"/>
      <c r="BQI158" s="80"/>
      <c r="BQJ158" s="80"/>
      <c r="BQK158" s="80"/>
      <c r="BQM158" s="80"/>
      <c r="BQN158" s="178"/>
      <c r="BQO158" s="80"/>
      <c r="BQP158" s="92"/>
      <c r="BQQ158" s="53"/>
      <c r="BQR158" s="53"/>
      <c r="BQS158" s="66"/>
      <c r="BQT158" s="53"/>
      <c r="BRA158" s="80"/>
      <c r="BRB158" s="80"/>
      <c r="BRC158" s="80"/>
      <c r="BRD158" s="80"/>
      <c r="BRE158" s="80"/>
      <c r="BRG158" s="80"/>
      <c r="BRH158" s="178"/>
      <c r="BRI158" s="80"/>
      <c r="BRJ158" s="92"/>
      <c r="BRK158" s="53"/>
      <c r="BRL158" s="53"/>
      <c r="BRM158" s="66"/>
      <c r="BRN158" s="53"/>
      <c r="BRU158" s="80"/>
      <c r="BRV158" s="80"/>
      <c r="BRW158" s="80"/>
      <c r="BRX158" s="80"/>
      <c r="BRY158" s="80"/>
      <c r="BSA158" s="80"/>
      <c r="BSB158" s="178"/>
      <c r="BSC158" s="80"/>
      <c r="BSD158" s="92"/>
      <c r="BSE158" s="53"/>
      <c r="BSF158" s="53"/>
      <c r="BSG158" s="66"/>
      <c r="BSH158" s="53"/>
      <c r="BSO158" s="80"/>
      <c r="BSP158" s="80"/>
      <c r="BSQ158" s="80"/>
      <c r="BSR158" s="80"/>
      <c r="BSS158" s="80"/>
      <c r="BSU158" s="80"/>
      <c r="BSV158" s="178"/>
      <c r="BSW158" s="80"/>
      <c r="BSX158" s="92"/>
      <c r="BSY158" s="53"/>
      <c r="BSZ158" s="53"/>
      <c r="BTA158" s="66"/>
      <c r="BTB158" s="53"/>
      <c r="BTI158" s="80"/>
      <c r="BTJ158" s="80"/>
      <c r="BTK158" s="80"/>
      <c r="BTL158" s="80"/>
      <c r="BTM158" s="80"/>
      <c r="BTO158" s="80"/>
      <c r="BTP158" s="178"/>
      <c r="BTQ158" s="80"/>
      <c r="BTR158" s="92"/>
      <c r="BTS158" s="53"/>
      <c r="BTT158" s="53"/>
      <c r="BTU158" s="66"/>
      <c r="BTV158" s="53"/>
      <c r="BUC158" s="80"/>
      <c r="BUD158" s="80"/>
      <c r="BUE158" s="80"/>
      <c r="BUF158" s="80"/>
      <c r="BUG158" s="80"/>
      <c r="BUI158" s="80"/>
      <c r="BUJ158" s="178"/>
      <c r="BUK158" s="80"/>
      <c r="BUL158" s="92"/>
      <c r="BUM158" s="53"/>
      <c r="BUN158" s="53"/>
      <c r="BUO158" s="66"/>
      <c r="BUP158" s="53"/>
      <c r="BUW158" s="80"/>
      <c r="BUX158" s="80"/>
      <c r="BUY158" s="80"/>
      <c r="BUZ158" s="80"/>
      <c r="BVA158" s="80"/>
      <c r="BVC158" s="80"/>
      <c r="BVD158" s="178"/>
      <c r="BVE158" s="80"/>
      <c r="BVF158" s="92"/>
      <c r="BVG158" s="53"/>
      <c r="BVH158" s="53"/>
      <c r="BVI158" s="66"/>
      <c r="BVJ158" s="53"/>
      <c r="BVQ158" s="80"/>
      <c r="BVR158" s="80"/>
      <c r="BVS158" s="80"/>
      <c r="BVT158" s="80"/>
      <c r="BVU158" s="80"/>
      <c r="BVW158" s="80"/>
      <c r="BVX158" s="178"/>
      <c r="BVY158" s="80"/>
      <c r="BVZ158" s="92"/>
      <c r="BWA158" s="53"/>
      <c r="BWB158" s="53"/>
      <c r="BWC158" s="66"/>
      <c r="BWD158" s="53"/>
      <c r="BWK158" s="80"/>
      <c r="BWL158" s="80"/>
      <c r="BWM158" s="80"/>
      <c r="BWN158" s="80"/>
      <c r="BWO158" s="80"/>
      <c r="BWQ158" s="80"/>
      <c r="BWR158" s="178"/>
      <c r="BWS158" s="80"/>
      <c r="BWT158" s="92"/>
      <c r="BWU158" s="53"/>
      <c r="BWV158" s="53"/>
      <c r="BWW158" s="66"/>
      <c r="BWX158" s="53"/>
      <c r="BXE158" s="80"/>
      <c r="BXF158" s="80"/>
      <c r="BXG158" s="80"/>
      <c r="BXH158" s="80"/>
      <c r="BXI158" s="80"/>
      <c r="BXK158" s="80"/>
      <c r="BXL158" s="178"/>
      <c r="BXM158" s="80"/>
      <c r="BXN158" s="92"/>
      <c r="BXO158" s="53"/>
      <c r="BXP158" s="53"/>
      <c r="BXQ158" s="66"/>
      <c r="BXR158" s="53"/>
      <c r="BXY158" s="80"/>
      <c r="BXZ158" s="80"/>
      <c r="BYA158" s="80"/>
      <c r="BYB158" s="80"/>
      <c r="BYC158" s="80"/>
      <c r="BYE158" s="80"/>
      <c r="BYF158" s="178"/>
      <c r="BYG158" s="80"/>
      <c r="BYH158" s="92"/>
      <c r="BYI158" s="53"/>
      <c r="BYJ158" s="53"/>
      <c r="BYK158" s="66"/>
      <c r="BYL158" s="53"/>
      <c r="BYS158" s="80"/>
      <c r="BYT158" s="80"/>
      <c r="BYU158" s="80"/>
      <c r="BYV158" s="80"/>
      <c r="BYW158" s="80"/>
      <c r="BYY158" s="80"/>
      <c r="BYZ158" s="178"/>
      <c r="BZA158" s="80"/>
      <c r="BZB158" s="92"/>
      <c r="BZC158" s="53"/>
      <c r="BZD158" s="53"/>
      <c r="BZE158" s="66"/>
      <c r="BZF158" s="53"/>
      <c r="BZM158" s="80"/>
      <c r="BZN158" s="80"/>
      <c r="BZO158" s="80"/>
      <c r="BZP158" s="80"/>
      <c r="BZQ158" s="80"/>
      <c r="BZS158" s="80"/>
      <c r="BZT158" s="178"/>
      <c r="BZU158" s="80"/>
      <c r="BZV158" s="92"/>
      <c r="BZW158" s="53"/>
      <c r="BZX158" s="53"/>
      <c r="BZY158" s="66"/>
      <c r="BZZ158" s="53"/>
      <c r="CAG158" s="80"/>
      <c r="CAH158" s="80"/>
      <c r="CAI158" s="80"/>
      <c r="CAJ158" s="80"/>
      <c r="CAK158" s="80"/>
      <c r="CAM158" s="80"/>
      <c r="CAN158" s="178"/>
      <c r="CAO158" s="80"/>
      <c r="CAP158" s="92"/>
      <c r="CAQ158" s="53"/>
      <c r="CAR158" s="53"/>
      <c r="CAS158" s="66"/>
      <c r="CAT158" s="53"/>
      <c r="CBA158" s="80"/>
      <c r="CBB158" s="80"/>
      <c r="CBC158" s="80"/>
      <c r="CBD158" s="80"/>
      <c r="CBE158" s="80"/>
      <c r="CBG158" s="80"/>
      <c r="CBH158" s="178"/>
      <c r="CBI158" s="80"/>
      <c r="CBJ158" s="92"/>
      <c r="CBK158" s="53"/>
      <c r="CBL158" s="53"/>
      <c r="CBM158" s="66"/>
      <c r="CBN158" s="53"/>
      <c r="CBU158" s="80"/>
      <c r="CBV158" s="80"/>
      <c r="CBW158" s="80"/>
      <c r="CBX158" s="80"/>
      <c r="CBY158" s="80"/>
      <c r="CCA158" s="80"/>
      <c r="CCB158" s="178"/>
      <c r="CCC158" s="80"/>
      <c r="CCD158" s="92"/>
      <c r="CCE158" s="53"/>
      <c r="CCF158" s="53"/>
      <c r="CCG158" s="66"/>
      <c r="CCH158" s="53"/>
      <c r="CCO158" s="80"/>
      <c r="CCP158" s="80"/>
      <c r="CCQ158" s="80"/>
      <c r="CCR158" s="80"/>
      <c r="CCS158" s="80"/>
      <c r="CCU158" s="80"/>
      <c r="CCV158" s="178"/>
      <c r="CCW158" s="80"/>
      <c r="CCX158" s="92"/>
      <c r="CCY158" s="53"/>
      <c r="CCZ158" s="53"/>
      <c r="CDA158" s="66"/>
      <c r="CDB158" s="53"/>
      <c r="CDI158" s="80"/>
      <c r="CDJ158" s="80"/>
      <c r="CDK158" s="80"/>
      <c r="CDL158" s="80"/>
      <c r="CDM158" s="80"/>
      <c r="CDO158" s="80"/>
      <c r="CDP158" s="178"/>
      <c r="CDQ158" s="80"/>
      <c r="CDR158" s="92"/>
      <c r="CDS158" s="53"/>
      <c r="CDT158" s="53"/>
      <c r="CDU158" s="66"/>
      <c r="CDV158" s="53"/>
      <c r="CEC158" s="80"/>
      <c r="CED158" s="80"/>
      <c r="CEE158" s="80"/>
      <c r="CEF158" s="80"/>
      <c r="CEG158" s="80"/>
      <c r="CEI158" s="80"/>
      <c r="CEJ158" s="178"/>
      <c r="CEK158" s="80"/>
      <c r="CEL158" s="92"/>
      <c r="CEM158" s="53"/>
      <c r="CEN158" s="53"/>
      <c r="CEO158" s="66"/>
      <c r="CEP158" s="53"/>
      <c r="CEW158" s="80"/>
      <c r="CEX158" s="80"/>
      <c r="CEY158" s="80"/>
      <c r="CEZ158" s="80"/>
      <c r="CFA158" s="80"/>
      <c r="CFC158" s="80"/>
      <c r="CFD158" s="178"/>
      <c r="CFE158" s="80"/>
      <c r="CFF158" s="92"/>
      <c r="CFG158" s="53"/>
      <c r="CFH158" s="53"/>
      <c r="CFI158" s="66"/>
      <c r="CFJ158" s="53"/>
      <c r="CFQ158" s="80"/>
      <c r="CFR158" s="80"/>
      <c r="CFS158" s="80"/>
      <c r="CFT158" s="80"/>
      <c r="CFU158" s="80"/>
      <c r="CFW158" s="80"/>
      <c r="CFX158" s="178"/>
      <c r="CFY158" s="80"/>
      <c r="CFZ158" s="92"/>
      <c r="CGA158" s="53"/>
      <c r="CGB158" s="53"/>
      <c r="CGC158" s="66"/>
      <c r="CGD158" s="53"/>
      <c r="CGK158" s="80"/>
      <c r="CGL158" s="80"/>
      <c r="CGM158" s="80"/>
      <c r="CGN158" s="80"/>
      <c r="CGO158" s="80"/>
      <c r="CGQ158" s="80"/>
      <c r="CGR158" s="178"/>
      <c r="CGS158" s="80"/>
      <c r="CGT158" s="92"/>
      <c r="CGU158" s="53"/>
      <c r="CGV158" s="53"/>
      <c r="CGW158" s="66"/>
      <c r="CGX158" s="53"/>
      <c r="CHE158" s="80"/>
      <c r="CHF158" s="80"/>
      <c r="CHG158" s="80"/>
      <c r="CHH158" s="80"/>
      <c r="CHI158" s="80"/>
      <c r="CHK158" s="80"/>
      <c r="CHL158" s="178"/>
      <c r="CHM158" s="80"/>
      <c r="CHN158" s="92"/>
      <c r="CHO158" s="53"/>
      <c r="CHP158" s="53"/>
      <c r="CHQ158" s="66"/>
      <c r="CHR158" s="53"/>
      <c r="CHY158" s="80"/>
      <c r="CHZ158" s="80"/>
      <c r="CIA158" s="80"/>
      <c r="CIB158" s="80"/>
      <c r="CIC158" s="80"/>
      <c r="CIE158" s="80"/>
      <c r="CIF158" s="178"/>
      <c r="CIG158" s="80"/>
      <c r="CIH158" s="92"/>
      <c r="CII158" s="53"/>
      <c r="CIJ158" s="53"/>
      <c r="CIK158" s="66"/>
      <c r="CIL158" s="53"/>
      <c r="CIS158" s="80"/>
      <c r="CIT158" s="80"/>
      <c r="CIU158" s="80"/>
      <c r="CIV158" s="80"/>
      <c r="CIW158" s="80"/>
      <c r="CIY158" s="80"/>
      <c r="CIZ158" s="178"/>
      <c r="CJA158" s="80"/>
      <c r="CJB158" s="92"/>
      <c r="CJC158" s="53"/>
      <c r="CJD158" s="53"/>
      <c r="CJE158" s="66"/>
      <c r="CJF158" s="53"/>
      <c r="CJM158" s="80"/>
      <c r="CJN158" s="80"/>
      <c r="CJO158" s="80"/>
      <c r="CJP158" s="80"/>
      <c r="CJQ158" s="80"/>
      <c r="CJS158" s="80"/>
      <c r="CJT158" s="178"/>
      <c r="CJU158" s="80"/>
      <c r="CJV158" s="92"/>
      <c r="CJW158" s="53"/>
      <c r="CJX158" s="53"/>
      <c r="CJY158" s="66"/>
      <c r="CJZ158" s="53"/>
      <c r="CKG158" s="80"/>
      <c r="CKH158" s="80"/>
      <c r="CKI158" s="80"/>
      <c r="CKJ158" s="80"/>
      <c r="CKK158" s="80"/>
      <c r="CKM158" s="80"/>
      <c r="CKN158" s="178"/>
      <c r="CKO158" s="80"/>
      <c r="CKP158" s="92"/>
      <c r="CKQ158" s="53"/>
      <c r="CKR158" s="53"/>
      <c r="CKS158" s="66"/>
      <c r="CKT158" s="53"/>
      <c r="CLA158" s="80"/>
      <c r="CLB158" s="80"/>
      <c r="CLC158" s="80"/>
      <c r="CLD158" s="80"/>
      <c r="CLE158" s="80"/>
      <c r="CLG158" s="80"/>
      <c r="CLH158" s="178"/>
      <c r="CLI158" s="80"/>
      <c r="CLJ158" s="92"/>
      <c r="CLK158" s="53"/>
      <c r="CLL158" s="53"/>
      <c r="CLM158" s="66"/>
      <c r="CLN158" s="53"/>
      <c r="CLU158" s="80"/>
      <c r="CLV158" s="80"/>
      <c r="CLW158" s="80"/>
      <c r="CLX158" s="80"/>
      <c r="CLY158" s="80"/>
      <c r="CMA158" s="80"/>
      <c r="CMB158" s="178"/>
      <c r="CMC158" s="80"/>
      <c r="CMD158" s="92"/>
      <c r="CME158" s="53"/>
      <c r="CMF158" s="53"/>
      <c r="CMG158" s="66"/>
      <c r="CMH158" s="53"/>
      <c r="CMO158" s="80"/>
      <c r="CMP158" s="80"/>
      <c r="CMQ158" s="80"/>
      <c r="CMR158" s="80"/>
      <c r="CMS158" s="80"/>
      <c r="CMU158" s="80"/>
      <c r="CMV158" s="178"/>
      <c r="CMW158" s="80"/>
      <c r="CMX158" s="92"/>
      <c r="CMY158" s="53"/>
      <c r="CMZ158" s="53"/>
      <c r="CNA158" s="66"/>
      <c r="CNB158" s="53"/>
      <c r="CNI158" s="80"/>
      <c r="CNJ158" s="80"/>
      <c r="CNK158" s="80"/>
      <c r="CNL158" s="80"/>
      <c r="CNM158" s="80"/>
      <c r="CNO158" s="80"/>
      <c r="CNP158" s="178"/>
      <c r="CNQ158" s="80"/>
      <c r="CNR158" s="92"/>
      <c r="CNS158" s="53"/>
      <c r="CNT158" s="53"/>
      <c r="CNU158" s="66"/>
      <c r="CNV158" s="53"/>
      <c r="COC158" s="80"/>
      <c r="COD158" s="80"/>
      <c r="COE158" s="80"/>
      <c r="COF158" s="80"/>
      <c r="COG158" s="80"/>
      <c r="COI158" s="80"/>
      <c r="COJ158" s="178"/>
      <c r="COK158" s="80"/>
      <c r="COL158" s="92"/>
      <c r="COM158" s="53"/>
      <c r="CON158" s="53"/>
      <c r="COO158" s="66"/>
      <c r="COP158" s="53"/>
      <c r="COW158" s="80"/>
      <c r="COX158" s="80"/>
      <c r="COY158" s="80"/>
      <c r="COZ158" s="80"/>
      <c r="CPA158" s="80"/>
      <c r="CPC158" s="80"/>
      <c r="CPD158" s="178"/>
      <c r="CPE158" s="80"/>
      <c r="CPF158" s="92"/>
      <c r="CPG158" s="53"/>
      <c r="CPH158" s="53"/>
      <c r="CPI158" s="66"/>
      <c r="CPJ158" s="53"/>
      <c r="CPQ158" s="80"/>
      <c r="CPR158" s="80"/>
      <c r="CPS158" s="80"/>
      <c r="CPT158" s="80"/>
      <c r="CPU158" s="80"/>
      <c r="CPW158" s="80"/>
      <c r="CPX158" s="178"/>
      <c r="CPY158" s="80"/>
      <c r="CPZ158" s="92"/>
      <c r="CQA158" s="53"/>
      <c r="CQB158" s="53"/>
      <c r="CQC158" s="66"/>
      <c r="CQD158" s="53"/>
      <c r="CQK158" s="80"/>
      <c r="CQL158" s="80"/>
      <c r="CQM158" s="80"/>
      <c r="CQN158" s="80"/>
      <c r="CQO158" s="80"/>
      <c r="CQQ158" s="80"/>
      <c r="CQR158" s="178"/>
      <c r="CQS158" s="80"/>
      <c r="CQT158" s="92"/>
      <c r="CQU158" s="53"/>
      <c r="CQV158" s="53"/>
      <c r="CQW158" s="66"/>
      <c r="CQX158" s="53"/>
      <c r="CRE158" s="80"/>
      <c r="CRF158" s="80"/>
      <c r="CRG158" s="80"/>
      <c r="CRH158" s="80"/>
      <c r="CRI158" s="80"/>
      <c r="CRK158" s="80"/>
      <c r="CRL158" s="178"/>
      <c r="CRM158" s="80"/>
      <c r="CRN158" s="92"/>
      <c r="CRO158" s="53"/>
      <c r="CRP158" s="53"/>
      <c r="CRQ158" s="66"/>
      <c r="CRR158" s="53"/>
      <c r="CRY158" s="80"/>
      <c r="CRZ158" s="80"/>
      <c r="CSA158" s="80"/>
      <c r="CSB158" s="80"/>
      <c r="CSC158" s="80"/>
      <c r="CSE158" s="80"/>
      <c r="CSF158" s="178"/>
      <c r="CSG158" s="80"/>
      <c r="CSH158" s="92"/>
      <c r="CSI158" s="53"/>
      <c r="CSJ158" s="53"/>
      <c r="CSK158" s="66"/>
      <c r="CSL158" s="53"/>
      <c r="CSS158" s="80"/>
      <c r="CST158" s="80"/>
      <c r="CSU158" s="80"/>
      <c r="CSV158" s="80"/>
      <c r="CSW158" s="80"/>
      <c r="CSY158" s="80"/>
      <c r="CSZ158" s="178"/>
      <c r="CTA158" s="80"/>
      <c r="CTB158" s="92"/>
      <c r="CTC158" s="53"/>
      <c r="CTD158" s="53"/>
      <c r="CTE158" s="66"/>
      <c r="CTF158" s="53"/>
      <c r="CTM158" s="80"/>
      <c r="CTN158" s="80"/>
      <c r="CTO158" s="80"/>
      <c r="CTP158" s="80"/>
      <c r="CTQ158" s="80"/>
      <c r="CTS158" s="80"/>
      <c r="CTT158" s="178"/>
      <c r="CTU158" s="80"/>
      <c r="CTV158" s="92"/>
      <c r="CTW158" s="53"/>
      <c r="CTX158" s="53"/>
      <c r="CTY158" s="66"/>
      <c r="CTZ158" s="53"/>
      <c r="CUG158" s="80"/>
      <c r="CUH158" s="80"/>
      <c r="CUI158" s="80"/>
      <c r="CUJ158" s="80"/>
      <c r="CUK158" s="80"/>
      <c r="CUM158" s="80"/>
      <c r="CUN158" s="178"/>
      <c r="CUO158" s="80"/>
      <c r="CUP158" s="92"/>
      <c r="CUQ158" s="53"/>
      <c r="CUR158" s="53"/>
      <c r="CUS158" s="66"/>
      <c r="CUT158" s="53"/>
      <c r="CVA158" s="80"/>
      <c r="CVB158" s="80"/>
      <c r="CVC158" s="80"/>
      <c r="CVD158" s="80"/>
      <c r="CVE158" s="80"/>
      <c r="CVG158" s="80"/>
      <c r="CVH158" s="178"/>
      <c r="CVI158" s="80"/>
      <c r="CVJ158" s="92"/>
      <c r="CVK158" s="53"/>
      <c r="CVL158" s="53"/>
      <c r="CVM158" s="66"/>
      <c r="CVN158" s="53"/>
      <c r="CVU158" s="80"/>
      <c r="CVV158" s="80"/>
      <c r="CVW158" s="80"/>
      <c r="CVX158" s="80"/>
      <c r="CVY158" s="80"/>
      <c r="CWA158" s="80"/>
      <c r="CWB158" s="178"/>
      <c r="CWC158" s="80"/>
      <c r="CWD158" s="92"/>
      <c r="CWE158" s="53"/>
      <c r="CWF158" s="53"/>
      <c r="CWG158" s="66"/>
      <c r="CWH158" s="53"/>
      <c r="CWO158" s="80"/>
      <c r="CWP158" s="80"/>
      <c r="CWQ158" s="80"/>
      <c r="CWR158" s="80"/>
      <c r="CWS158" s="80"/>
      <c r="CWU158" s="80"/>
      <c r="CWV158" s="178"/>
      <c r="CWW158" s="80"/>
      <c r="CWX158" s="92"/>
      <c r="CWY158" s="53"/>
      <c r="CWZ158" s="53"/>
      <c r="CXA158" s="66"/>
      <c r="CXB158" s="53"/>
      <c r="CXI158" s="80"/>
      <c r="CXJ158" s="80"/>
      <c r="CXK158" s="80"/>
      <c r="CXL158" s="80"/>
      <c r="CXM158" s="80"/>
      <c r="CXO158" s="80"/>
      <c r="CXP158" s="178"/>
      <c r="CXQ158" s="80"/>
      <c r="CXR158" s="92"/>
      <c r="CXS158" s="53"/>
      <c r="CXT158" s="53"/>
      <c r="CXU158" s="66"/>
      <c r="CXV158" s="53"/>
      <c r="CYC158" s="80"/>
      <c r="CYD158" s="80"/>
      <c r="CYE158" s="80"/>
      <c r="CYF158" s="80"/>
      <c r="CYG158" s="80"/>
      <c r="CYI158" s="80"/>
      <c r="CYJ158" s="178"/>
      <c r="CYK158" s="80"/>
      <c r="CYL158" s="92"/>
      <c r="CYM158" s="53"/>
      <c r="CYN158" s="53"/>
      <c r="CYO158" s="66"/>
      <c r="CYP158" s="53"/>
      <c r="CYW158" s="80"/>
      <c r="CYX158" s="80"/>
      <c r="CYY158" s="80"/>
      <c r="CYZ158" s="80"/>
      <c r="CZA158" s="80"/>
      <c r="CZC158" s="80"/>
      <c r="CZD158" s="178"/>
      <c r="CZE158" s="80"/>
      <c r="CZF158" s="92"/>
      <c r="CZG158" s="53"/>
      <c r="CZH158" s="53"/>
      <c r="CZI158" s="66"/>
      <c r="CZJ158" s="53"/>
      <c r="CZQ158" s="80"/>
      <c r="CZR158" s="80"/>
      <c r="CZS158" s="80"/>
      <c r="CZT158" s="80"/>
      <c r="CZU158" s="80"/>
      <c r="CZW158" s="80"/>
      <c r="CZX158" s="178"/>
      <c r="CZY158" s="80"/>
      <c r="CZZ158" s="92"/>
      <c r="DAA158" s="53"/>
      <c r="DAB158" s="53"/>
      <c r="DAC158" s="66"/>
      <c r="DAD158" s="53"/>
      <c r="DAK158" s="80"/>
      <c r="DAL158" s="80"/>
      <c r="DAM158" s="80"/>
      <c r="DAN158" s="80"/>
      <c r="DAO158" s="80"/>
      <c r="DAQ158" s="80"/>
      <c r="DAR158" s="178"/>
      <c r="DAS158" s="80"/>
      <c r="DAT158" s="92"/>
      <c r="DAU158" s="53"/>
      <c r="DAV158" s="53"/>
      <c r="DAW158" s="66"/>
      <c r="DAX158" s="53"/>
      <c r="DBE158" s="80"/>
      <c r="DBF158" s="80"/>
      <c r="DBG158" s="80"/>
      <c r="DBH158" s="80"/>
      <c r="DBI158" s="80"/>
      <c r="DBK158" s="80"/>
      <c r="DBL158" s="178"/>
      <c r="DBM158" s="80"/>
      <c r="DBN158" s="92"/>
      <c r="DBO158" s="53"/>
      <c r="DBP158" s="53"/>
      <c r="DBQ158" s="66"/>
      <c r="DBR158" s="53"/>
      <c r="DBY158" s="80"/>
      <c r="DBZ158" s="80"/>
      <c r="DCA158" s="80"/>
      <c r="DCB158" s="80"/>
      <c r="DCC158" s="80"/>
      <c r="DCE158" s="80"/>
      <c r="DCF158" s="178"/>
      <c r="DCG158" s="80"/>
      <c r="DCH158" s="92"/>
      <c r="DCI158" s="53"/>
      <c r="DCJ158" s="53"/>
      <c r="DCK158" s="66"/>
      <c r="DCL158" s="53"/>
      <c r="DCS158" s="80"/>
      <c r="DCT158" s="80"/>
      <c r="DCU158" s="80"/>
      <c r="DCV158" s="80"/>
      <c r="DCW158" s="80"/>
      <c r="DCY158" s="80"/>
      <c r="DCZ158" s="178"/>
      <c r="DDA158" s="80"/>
      <c r="DDB158" s="92"/>
      <c r="DDC158" s="53"/>
      <c r="DDD158" s="53"/>
      <c r="DDE158" s="66"/>
      <c r="DDF158" s="53"/>
      <c r="DDM158" s="80"/>
      <c r="DDN158" s="80"/>
      <c r="DDO158" s="80"/>
      <c r="DDP158" s="80"/>
      <c r="DDQ158" s="80"/>
      <c r="DDS158" s="80"/>
      <c r="DDT158" s="178"/>
      <c r="DDU158" s="80"/>
      <c r="DDV158" s="92"/>
      <c r="DDW158" s="53"/>
      <c r="DDX158" s="53"/>
      <c r="DDY158" s="66"/>
      <c r="DDZ158" s="53"/>
      <c r="DEG158" s="80"/>
      <c r="DEH158" s="80"/>
      <c r="DEI158" s="80"/>
      <c r="DEJ158" s="80"/>
      <c r="DEK158" s="80"/>
      <c r="DEM158" s="80"/>
      <c r="DEN158" s="178"/>
      <c r="DEO158" s="80"/>
      <c r="DEP158" s="92"/>
      <c r="DEQ158" s="53"/>
      <c r="DER158" s="53"/>
      <c r="DES158" s="66"/>
      <c r="DET158" s="53"/>
      <c r="DFA158" s="80"/>
      <c r="DFB158" s="80"/>
      <c r="DFC158" s="80"/>
      <c r="DFD158" s="80"/>
      <c r="DFE158" s="80"/>
      <c r="DFG158" s="80"/>
      <c r="DFH158" s="178"/>
      <c r="DFI158" s="80"/>
      <c r="DFJ158" s="92"/>
      <c r="DFK158" s="53"/>
      <c r="DFL158" s="53"/>
      <c r="DFM158" s="66"/>
      <c r="DFN158" s="53"/>
      <c r="DFU158" s="80"/>
      <c r="DFV158" s="80"/>
      <c r="DFW158" s="80"/>
      <c r="DFX158" s="80"/>
      <c r="DFY158" s="80"/>
      <c r="DGA158" s="80"/>
      <c r="DGB158" s="178"/>
      <c r="DGC158" s="80"/>
      <c r="DGD158" s="92"/>
      <c r="DGE158" s="53"/>
      <c r="DGF158" s="53"/>
      <c r="DGG158" s="66"/>
      <c r="DGH158" s="53"/>
      <c r="DGO158" s="80"/>
      <c r="DGP158" s="80"/>
      <c r="DGQ158" s="80"/>
      <c r="DGR158" s="80"/>
      <c r="DGS158" s="80"/>
      <c r="DGU158" s="80"/>
      <c r="DGV158" s="178"/>
      <c r="DGW158" s="80"/>
      <c r="DGX158" s="92"/>
      <c r="DGY158" s="53"/>
      <c r="DGZ158" s="53"/>
      <c r="DHA158" s="66"/>
      <c r="DHB158" s="53"/>
      <c r="DHI158" s="80"/>
      <c r="DHJ158" s="80"/>
      <c r="DHK158" s="80"/>
      <c r="DHL158" s="80"/>
      <c r="DHM158" s="80"/>
      <c r="DHO158" s="80"/>
      <c r="DHP158" s="178"/>
      <c r="DHQ158" s="80"/>
      <c r="DHR158" s="92"/>
      <c r="DHS158" s="53"/>
      <c r="DHT158" s="53"/>
      <c r="DHU158" s="66"/>
      <c r="DHV158" s="53"/>
      <c r="DIC158" s="80"/>
      <c r="DID158" s="80"/>
      <c r="DIE158" s="80"/>
      <c r="DIF158" s="80"/>
      <c r="DIG158" s="80"/>
      <c r="DII158" s="80"/>
      <c r="DIJ158" s="178"/>
      <c r="DIK158" s="80"/>
      <c r="DIL158" s="92"/>
      <c r="DIM158" s="53"/>
      <c r="DIN158" s="53"/>
      <c r="DIO158" s="66"/>
      <c r="DIP158" s="53"/>
      <c r="DIW158" s="80"/>
      <c r="DIX158" s="80"/>
      <c r="DIY158" s="80"/>
      <c r="DIZ158" s="80"/>
      <c r="DJA158" s="80"/>
      <c r="DJC158" s="80"/>
      <c r="DJD158" s="178"/>
      <c r="DJE158" s="80"/>
      <c r="DJF158" s="92"/>
      <c r="DJG158" s="53"/>
      <c r="DJH158" s="53"/>
      <c r="DJI158" s="66"/>
      <c r="DJJ158" s="53"/>
      <c r="DJQ158" s="80"/>
      <c r="DJR158" s="80"/>
      <c r="DJS158" s="80"/>
      <c r="DJT158" s="80"/>
      <c r="DJU158" s="80"/>
      <c r="DJW158" s="80"/>
      <c r="DJX158" s="178"/>
      <c r="DJY158" s="80"/>
      <c r="DJZ158" s="92"/>
      <c r="DKA158" s="53"/>
      <c r="DKB158" s="53"/>
      <c r="DKC158" s="66"/>
      <c r="DKD158" s="53"/>
      <c r="DKK158" s="80"/>
      <c r="DKL158" s="80"/>
      <c r="DKM158" s="80"/>
      <c r="DKN158" s="80"/>
      <c r="DKO158" s="80"/>
      <c r="DKQ158" s="80"/>
      <c r="DKR158" s="178"/>
      <c r="DKS158" s="80"/>
      <c r="DKT158" s="92"/>
      <c r="DKU158" s="53"/>
      <c r="DKV158" s="53"/>
      <c r="DKW158" s="66"/>
      <c r="DKX158" s="53"/>
      <c r="DLE158" s="80"/>
      <c r="DLF158" s="80"/>
      <c r="DLG158" s="80"/>
      <c r="DLH158" s="80"/>
      <c r="DLI158" s="80"/>
      <c r="DLK158" s="80"/>
      <c r="DLL158" s="178"/>
      <c r="DLM158" s="80"/>
      <c r="DLN158" s="92"/>
      <c r="DLO158" s="53"/>
      <c r="DLP158" s="53"/>
      <c r="DLQ158" s="66"/>
      <c r="DLR158" s="53"/>
      <c r="DLY158" s="80"/>
      <c r="DLZ158" s="80"/>
      <c r="DMA158" s="80"/>
      <c r="DMB158" s="80"/>
      <c r="DMC158" s="80"/>
      <c r="DME158" s="80"/>
      <c r="DMF158" s="178"/>
      <c r="DMG158" s="80"/>
      <c r="DMH158" s="92"/>
      <c r="DMI158" s="53"/>
      <c r="DMJ158" s="53"/>
      <c r="DMK158" s="66"/>
      <c r="DML158" s="53"/>
      <c r="DMS158" s="80"/>
      <c r="DMT158" s="80"/>
      <c r="DMU158" s="80"/>
      <c r="DMV158" s="80"/>
      <c r="DMW158" s="80"/>
      <c r="DMY158" s="80"/>
      <c r="DMZ158" s="178"/>
      <c r="DNA158" s="80"/>
      <c r="DNB158" s="92"/>
      <c r="DNC158" s="53"/>
      <c r="DND158" s="53"/>
      <c r="DNE158" s="66"/>
      <c r="DNF158" s="53"/>
      <c r="DNM158" s="80"/>
      <c r="DNN158" s="80"/>
      <c r="DNO158" s="80"/>
      <c r="DNP158" s="80"/>
      <c r="DNQ158" s="80"/>
      <c r="DNS158" s="80"/>
      <c r="DNT158" s="178"/>
      <c r="DNU158" s="80"/>
      <c r="DNV158" s="92"/>
      <c r="DNW158" s="53"/>
      <c r="DNX158" s="53"/>
      <c r="DNY158" s="66"/>
      <c r="DNZ158" s="53"/>
      <c r="DOG158" s="80"/>
      <c r="DOH158" s="80"/>
      <c r="DOI158" s="80"/>
      <c r="DOJ158" s="80"/>
      <c r="DOK158" s="80"/>
      <c r="DOM158" s="80"/>
      <c r="DON158" s="178"/>
      <c r="DOO158" s="80"/>
      <c r="DOP158" s="92"/>
      <c r="DOQ158" s="53"/>
      <c r="DOR158" s="53"/>
      <c r="DOS158" s="66"/>
      <c r="DOT158" s="53"/>
      <c r="DPA158" s="80"/>
      <c r="DPB158" s="80"/>
      <c r="DPC158" s="80"/>
      <c r="DPD158" s="80"/>
      <c r="DPE158" s="80"/>
      <c r="DPG158" s="80"/>
      <c r="DPH158" s="178"/>
      <c r="DPI158" s="80"/>
      <c r="DPJ158" s="92"/>
      <c r="DPK158" s="53"/>
      <c r="DPL158" s="53"/>
      <c r="DPM158" s="66"/>
      <c r="DPN158" s="53"/>
      <c r="DPU158" s="80"/>
      <c r="DPV158" s="80"/>
      <c r="DPW158" s="80"/>
      <c r="DPX158" s="80"/>
      <c r="DPY158" s="80"/>
      <c r="DQA158" s="80"/>
      <c r="DQB158" s="178"/>
      <c r="DQC158" s="80"/>
      <c r="DQD158" s="92"/>
      <c r="DQE158" s="53"/>
      <c r="DQF158" s="53"/>
      <c r="DQG158" s="66"/>
      <c r="DQH158" s="53"/>
      <c r="DQO158" s="80"/>
      <c r="DQP158" s="80"/>
      <c r="DQQ158" s="80"/>
      <c r="DQR158" s="80"/>
      <c r="DQS158" s="80"/>
      <c r="DQU158" s="80"/>
      <c r="DQV158" s="178"/>
      <c r="DQW158" s="80"/>
      <c r="DQX158" s="92"/>
      <c r="DQY158" s="53"/>
      <c r="DQZ158" s="53"/>
      <c r="DRA158" s="66"/>
      <c r="DRB158" s="53"/>
      <c r="DRI158" s="80"/>
      <c r="DRJ158" s="80"/>
      <c r="DRK158" s="80"/>
      <c r="DRL158" s="80"/>
      <c r="DRM158" s="80"/>
      <c r="DRO158" s="80"/>
      <c r="DRP158" s="178"/>
      <c r="DRQ158" s="80"/>
      <c r="DRR158" s="92"/>
      <c r="DRS158" s="53"/>
      <c r="DRT158" s="53"/>
      <c r="DRU158" s="66"/>
      <c r="DRV158" s="53"/>
      <c r="DSC158" s="80"/>
      <c r="DSD158" s="80"/>
      <c r="DSE158" s="80"/>
      <c r="DSF158" s="80"/>
      <c r="DSG158" s="80"/>
      <c r="DSI158" s="80"/>
      <c r="DSJ158" s="178"/>
      <c r="DSK158" s="80"/>
      <c r="DSL158" s="92"/>
      <c r="DSM158" s="53"/>
      <c r="DSN158" s="53"/>
      <c r="DSO158" s="66"/>
      <c r="DSP158" s="53"/>
      <c r="DSW158" s="80"/>
      <c r="DSX158" s="80"/>
      <c r="DSY158" s="80"/>
      <c r="DSZ158" s="80"/>
      <c r="DTA158" s="80"/>
      <c r="DTC158" s="80"/>
      <c r="DTD158" s="178"/>
      <c r="DTE158" s="80"/>
      <c r="DTF158" s="92"/>
      <c r="DTG158" s="53"/>
      <c r="DTH158" s="53"/>
      <c r="DTI158" s="66"/>
      <c r="DTJ158" s="53"/>
      <c r="DTQ158" s="80"/>
      <c r="DTR158" s="80"/>
      <c r="DTS158" s="80"/>
      <c r="DTT158" s="80"/>
      <c r="DTU158" s="80"/>
      <c r="DTW158" s="80"/>
      <c r="DTX158" s="178"/>
      <c r="DTY158" s="80"/>
      <c r="DTZ158" s="92"/>
      <c r="DUA158" s="53"/>
      <c r="DUB158" s="53"/>
      <c r="DUC158" s="66"/>
      <c r="DUD158" s="53"/>
      <c r="DUK158" s="80"/>
      <c r="DUL158" s="80"/>
      <c r="DUM158" s="80"/>
      <c r="DUN158" s="80"/>
      <c r="DUO158" s="80"/>
      <c r="DUQ158" s="80"/>
      <c r="DUR158" s="178"/>
      <c r="DUS158" s="80"/>
      <c r="DUT158" s="92"/>
      <c r="DUU158" s="53"/>
      <c r="DUV158" s="53"/>
      <c r="DUW158" s="66"/>
      <c r="DUX158" s="53"/>
      <c r="DVE158" s="80"/>
      <c r="DVF158" s="80"/>
      <c r="DVG158" s="80"/>
      <c r="DVH158" s="80"/>
      <c r="DVI158" s="80"/>
      <c r="DVK158" s="80"/>
      <c r="DVL158" s="178"/>
      <c r="DVM158" s="80"/>
      <c r="DVN158" s="92"/>
      <c r="DVO158" s="53"/>
      <c r="DVP158" s="53"/>
      <c r="DVQ158" s="66"/>
      <c r="DVR158" s="53"/>
      <c r="DVY158" s="80"/>
      <c r="DVZ158" s="80"/>
      <c r="DWA158" s="80"/>
      <c r="DWB158" s="80"/>
      <c r="DWC158" s="80"/>
      <c r="DWE158" s="80"/>
      <c r="DWF158" s="178"/>
      <c r="DWG158" s="80"/>
      <c r="DWH158" s="92"/>
      <c r="DWI158" s="53"/>
      <c r="DWJ158" s="53"/>
      <c r="DWK158" s="66"/>
      <c r="DWL158" s="53"/>
      <c r="DWS158" s="80"/>
      <c r="DWT158" s="80"/>
      <c r="DWU158" s="80"/>
      <c r="DWV158" s="80"/>
      <c r="DWW158" s="80"/>
      <c r="DWY158" s="80"/>
      <c r="DWZ158" s="178"/>
      <c r="DXA158" s="80"/>
      <c r="DXB158" s="92"/>
      <c r="DXC158" s="53"/>
      <c r="DXD158" s="53"/>
      <c r="DXE158" s="66"/>
      <c r="DXF158" s="53"/>
      <c r="DXM158" s="80"/>
      <c r="DXN158" s="80"/>
      <c r="DXO158" s="80"/>
      <c r="DXP158" s="80"/>
      <c r="DXQ158" s="80"/>
      <c r="DXS158" s="80"/>
      <c r="DXT158" s="178"/>
      <c r="DXU158" s="80"/>
      <c r="DXV158" s="92"/>
      <c r="DXW158" s="53"/>
      <c r="DXX158" s="53"/>
      <c r="DXY158" s="66"/>
      <c r="DXZ158" s="53"/>
      <c r="DYG158" s="80"/>
      <c r="DYH158" s="80"/>
      <c r="DYI158" s="80"/>
      <c r="DYJ158" s="80"/>
      <c r="DYK158" s="80"/>
      <c r="DYM158" s="80"/>
      <c r="DYN158" s="178"/>
      <c r="DYO158" s="80"/>
      <c r="DYP158" s="92"/>
      <c r="DYQ158" s="53"/>
      <c r="DYR158" s="53"/>
      <c r="DYS158" s="66"/>
      <c r="DYT158" s="53"/>
      <c r="DZA158" s="80"/>
      <c r="DZB158" s="80"/>
      <c r="DZC158" s="80"/>
      <c r="DZD158" s="80"/>
      <c r="DZE158" s="80"/>
      <c r="DZG158" s="80"/>
      <c r="DZH158" s="178"/>
      <c r="DZI158" s="80"/>
      <c r="DZJ158" s="92"/>
      <c r="DZK158" s="53"/>
      <c r="DZL158" s="53"/>
      <c r="DZM158" s="66"/>
      <c r="DZN158" s="53"/>
      <c r="DZU158" s="80"/>
      <c r="DZV158" s="80"/>
      <c r="DZW158" s="80"/>
      <c r="DZX158" s="80"/>
      <c r="DZY158" s="80"/>
      <c r="EAA158" s="80"/>
      <c r="EAB158" s="178"/>
      <c r="EAC158" s="80"/>
      <c r="EAD158" s="92"/>
      <c r="EAE158" s="53"/>
      <c r="EAF158" s="53"/>
      <c r="EAG158" s="66"/>
      <c r="EAH158" s="53"/>
      <c r="EAO158" s="80"/>
      <c r="EAP158" s="80"/>
      <c r="EAQ158" s="80"/>
      <c r="EAR158" s="80"/>
      <c r="EAS158" s="80"/>
      <c r="EAU158" s="80"/>
      <c r="EAV158" s="178"/>
      <c r="EAW158" s="80"/>
      <c r="EAX158" s="92"/>
      <c r="EAY158" s="53"/>
      <c r="EAZ158" s="53"/>
      <c r="EBA158" s="66"/>
      <c r="EBB158" s="53"/>
      <c r="EBI158" s="80"/>
      <c r="EBJ158" s="80"/>
      <c r="EBK158" s="80"/>
      <c r="EBL158" s="80"/>
      <c r="EBM158" s="80"/>
      <c r="EBO158" s="80"/>
      <c r="EBP158" s="178"/>
      <c r="EBQ158" s="80"/>
      <c r="EBR158" s="92"/>
      <c r="EBS158" s="53"/>
      <c r="EBT158" s="53"/>
      <c r="EBU158" s="66"/>
      <c r="EBV158" s="53"/>
      <c r="ECC158" s="80"/>
      <c r="ECD158" s="80"/>
      <c r="ECE158" s="80"/>
      <c r="ECF158" s="80"/>
      <c r="ECG158" s="80"/>
      <c r="ECI158" s="80"/>
      <c r="ECJ158" s="178"/>
      <c r="ECK158" s="80"/>
      <c r="ECL158" s="92"/>
      <c r="ECM158" s="53"/>
      <c r="ECN158" s="53"/>
      <c r="ECO158" s="66"/>
      <c r="ECP158" s="53"/>
      <c r="ECW158" s="80"/>
      <c r="ECX158" s="80"/>
      <c r="ECY158" s="80"/>
      <c r="ECZ158" s="80"/>
      <c r="EDA158" s="80"/>
      <c r="EDC158" s="80"/>
      <c r="EDD158" s="178"/>
      <c r="EDE158" s="80"/>
      <c r="EDF158" s="92"/>
      <c r="EDG158" s="53"/>
      <c r="EDH158" s="53"/>
      <c r="EDI158" s="66"/>
      <c r="EDJ158" s="53"/>
      <c r="EDQ158" s="80"/>
      <c r="EDR158" s="80"/>
      <c r="EDS158" s="80"/>
      <c r="EDT158" s="80"/>
      <c r="EDU158" s="80"/>
      <c r="EDW158" s="80"/>
      <c r="EDX158" s="178"/>
      <c r="EDY158" s="80"/>
      <c r="EDZ158" s="92"/>
      <c r="EEA158" s="53"/>
      <c r="EEB158" s="53"/>
      <c r="EEC158" s="66"/>
      <c r="EED158" s="53"/>
      <c r="EEK158" s="80"/>
      <c r="EEL158" s="80"/>
      <c r="EEM158" s="80"/>
      <c r="EEN158" s="80"/>
      <c r="EEO158" s="80"/>
      <c r="EEQ158" s="80"/>
      <c r="EER158" s="178"/>
      <c r="EES158" s="80"/>
      <c r="EET158" s="92"/>
      <c r="EEU158" s="53"/>
      <c r="EEV158" s="53"/>
      <c r="EEW158" s="66"/>
      <c r="EEX158" s="53"/>
      <c r="EFE158" s="80"/>
      <c r="EFF158" s="80"/>
      <c r="EFG158" s="80"/>
      <c r="EFH158" s="80"/>
      <c r="EFI158" s="80"/>
      <c r="EFK158" s="80"/>
      <c r="EFL158" s="178"/>
      <c r="EFM158" s="80"/>
      <c r="EFN158" s="92"/>
      <c r="EFO158" s="53"/>
      <c r="EFP158" s="53"/>
      <c r="EFQ158" s="66"/>
      <c r="EFR158" s="53"/>
      <c r="EFY158" s="80"/>
      <c r="EFZ158" s="80"/>
      <c r="EGA158" s="80"/>
      <c r="EGB158" s="80"/>
      <c r="EGC158" s="80"/>
      <c r="EGE158" s="80"/>
      <c r="EGF158" s="178"/>
      <c r="EGG158" s="80"/>
      <c r="EGH158" s="92"/>
      <c r="EGI158" s="53"/>
      <c r="EGJ158" s="53"/>
      <c r="EGK158" s="66"/>
      <c r="EGL158" s="53"/>
      <c r="EGS158" s="80"/>
      <c r="EGT158" s="80"/>
      <c r="EGU158" s="80"/>
      <c r="EGV158" s="80"/>
      <c r="EGW158" s="80"/>
      <c r="EGY158" s="80"/>
      <c r="EGZ158" s="178"/>
      <c r="EHA158" s="80"/>
      <c r="EHB158" s="92"/>
      <c r="EHC158" s="53"/>
      <c r="EHD158" s="53"/>
      <c r="EHE158" s="66"/>
      <c r="EHF158" s="53"/>
      <c r="EHM158" s="80"/>
      <c r="EHN158" s="80"/>
      <c r="EHO158" s="80"/>
      <c r="EHP158" s="80"/>
      <c r="EHQ158" s="80"/>
      <c r="EHS158" s="80"/>
      <c r="EHT158" s="178"/>
      <c r="EHU158" s="80"/>
      <c r="EHV158" s="92"/>
      <c r="EHW158" s="53"/>
      <c r="EHX158" s="53"/>
      <c r="EHY158" s="66"/>
      <c r="EHZ158" s="53"/>
      <c r="EIG158" s="80"/>
      <c r="EIH158" s="80"/>
      <c r="EII158" s="80"/>
      <c r="EIJ158" s="80"/>
      <c r="EIK158" s="80"/>
      <c r="EIM158" s="80"/>
      <c r="EIN158" s="178"/>
      <c r="EIO158" s="80"/>
      <c r="EIP158" s="92"/>
      <c r="EIQ158" s="53"/>
      <c r="EIR158" s="53"/>
      <c r="EIS158" s="66"/>
      <c r="EIT158" s="53"/>
      <c r="EJA158" s="80"/>
      <c r="EJB158" s="80"/>
      <c r="EJC158" s="80"/>
      <c r="EJD158" s="80"/>
      <c r="EJE158" s="80"/>
      <c r="EJG158" s="80"/>
      <c r="EJH158" s="178"/>
      <c r="EJI158" s="80"/>
      <c r="EJJ158" s="92"/>
      <c r="EJK158" s="53"/>
      <c r="EJL158" s="53"/>
      <c r="EJM158" s="66"/>
      <c r="EJN158" s="53"/>
      <c r="EJU158" s="80"/>
      <c r="EJV158" s="80"/>
      <c r="EJW158" s="80"/>
      <c r="EJX158" s="80"/>
      <c r="EJY158" s="80"/>
      <c r="EKA158" s="80"/>
      <c r="EKB158" s="178"/>
      <c r="EKC158" s="80"/>
      <c r="EKD158" s="92"/>
      <c r="EKE158" s="53"/>
      <c r="EKF158" s="53"/>
      <c r="EKG158" s="66"/>
      <c r="EKH158" s="53"/>
      <c r="EKO158" s="80"/>
      <c r="EKP158" s="80"/>
      <c r="EKQ158" s="80"/>
      <c r="EKR158" s="80"/>
      <c r="EKS158" s="80"/>
      <c r="EKU158" s="80"/>
      <c r="EKV158" s="178"/>
      <c r="EKW158" s="80"/>
      <c r="EKX158" s="92"/>
      <c r="EKY158" s="53"/>
      <c r="EKZ158" s="53"/>
      <c r="ELA158" s="66"/>
      <c r="ELB158" s="53"/>
      <c r="ELI158" s="80"/>
      <c r="ELJ158" s="80"/>
      <c r="ELK158" s="80"/>
      <c r="ELL158" s="80"/>
      <c r="ELM158" s="80"/>
      <c r="ELO158" s="80"/>
      <c r="ELP158" s="178"/>
      <c r="ELQ158" s="80"/>
      <c r="ELR158" s="92"/>
      <c r="ELS158" s="53"/>
      <c r="ELT158" s="53"/>
      <c r="ELU158" s="66"/>
      <c r="ELV158" s="53"/>
      <c r="EMC158" s="80"/>
      <c r="EMD158" s="80"/>
      <c r="EME158" s="80"/>
      <c r="EMF158" s="80"/>
      <c r="EMG158" s="80"/>
      <c r="EMI158" s="80"/>
      <c r="EMJ158" s="178"/>
      <c r="EMK158" s="80"/>
      <c r="EML158" s="92"/>
      <c r="EMM158" s="53"/>
      <c r="EMN158" s="53"/>
      <c r="EMO158" s="66"/>
      <c r="EMP158" s="53"/>
      <c r="EMW158" s="80"/>
      <c r="EMX158" s="80"/>
      <c r="EMY158" s="80"/>
      <c r="EMZ158" s="80"/>
      <c r="ENA158" s="80"/>
      <c r="ENC158" s="80"/>
      <c r="END158" s="178"/>
      <c r="ENE158" s="80"/>
      <c r="ENF158" s="92"/>
      <c r="ENG158" s="53"/>
      <c r="ENH158" s="53"/>
      <c r="ENI158" s="66"/>
      <c r="ENJ158" s="53"/>
      <c r="ENQ158" s="80"/>
      <c r="ENR158" s="80"/>
      <c r="ENS158" s="80"/>
      <c r="ENT158" s="80"/>
      <c r="ENU158" s="80"/>
      <c r="ENW158" s="80"/>
      <c r="ENX158" s="178"/>
      <c r="ENY158" s="80"/>
      <c r="ENZ158" s="92"/>
      <c r="EOA158" s="53"/>
      <c r="EOB158" s="53"/>
      <c r="EOC158" s="66"/>
      <c r="EOD158" s="53"/>
      <c r="EOK158" s="80"/>
      <c r="EOL158" s="80"/>
      <c r="EOM158" s="80"/>
      <c r="EON158" s="80"/>
      <c r="EOO158" s="80"/>
      <c r="EOQ158" s="80"/>
      <c r="EOR158" s="178"/>
      <c r="EOS158" s="80"/>
      <c r="EOT158" s="92"/>
      <c r="EOU158" s="53"/>
      <c r="EOV158" s="53"/>
      <c r="EOW158" s="66"/>
      <c r="EOX158" s="53"/>
      <c r="EPE158" s="80"/>
      <c r="EPF158" s="80"/>
      <c r="EPG158" s="80"/>
      <c r="EPH158" s="80"/>
      <c r="EPI158" s="80"/>
      <c r="EPK158" s="80"/>
      <c r="EPL158" s="178"/>
      <c r="EPM158" s="80"/>
      <c r="EPN158" s="92"/>
      <c r="EPO158" s="53"/>
      <c r="EPP158" s="53"/>
      <c r="EPQ158" s="66"/>
      <c r="EPR158" s="53"/>
      <c r="EPY158" s="80"/>
      <c r="EPZ158" s="80"/>
      <c r="EQA158" s="80"/>
      <c r="EQB158" s="80"/>
      <c r="EQC158" s="80"/>
      <c r="EQE158" s="80"/>
      <c r="EQF158" s="178"/>
      <c r="EQG158" s="80"/>
      <c r="EQH158" s="92"/>
      <c r="EQI158" s="53"/>
      <c r="EQJ158" s="53"/>
      <c r="EQK158" s="66"/>
      <c r="EQL158" s="53"/>
      <c r="EQS158" s="80"/>
      <c r="EQT158" s="80"/>
      <c r="EQU158" s="80"/>
      <c r="EQV158" s="80"/>
      <c r="EQW158" s="80"/>
      <c r="EQY158" s="80"/>
      <c r="EQZ158" s="178"/>
      <c r="ERA158" s="80"/>
      <c r="ERB158" s="92"/>
      <c r="ERC158" s="53"/>
      <c r="ERD158" s="53"/>
      <c r="ERE158" s="66"/>
      <c r="ERF158" s="53"/>
      <c r="ERM158" s="80"/>
      <c r="ERN158" s="80"/>
      <c r="ERO158" s="80"/>
      <c r="ERP158" s="80"/>
      <c r="ERQ158" s="80"/>
      <c r="ERS158" s="80"/>
      <c r="ERT158" s="178"/>
      <c r="ERU158" s="80"/>
      <c r="ERV158" s="92"/>
      <c r="ERW158" s="53"/>
      <c r="ERX158" s="53"/>
      <c r="ERY158" s="66"/>
      <c r="ERZ158" s="53"/>
      <c r="ESG158" s="80"/>
      <c r="ESH158" s="80"/>
      <c r="ESI158" s="80"/>
      <c r="ESJ158" s="80"/>
      <c r="ESK158" s="80"/>
      <c r="ESM158" s="80"/>
      <c r="ESN158" s="178"/>
      <c r="ESO158" s="80"/>
      <c r="ESP158" s="92"/>
      <c r="ESQ158" s="53"/>
      <c r="ESR158" s="53"/>
      <c r="ESS158" s="66"/>
      <c r="EST158" s="53"/>
      <c r="ETA158" s="80"/>
      <c r="ETB158" s="80"/>
      <c r="ETC158" s="80"/>
      <c r="ETD158" s="80"/>
      <c r="ETE158" s="80"/>
      <c r="ETG158" s="80"/>
      <c r="ETH158" s="178"/>
      <c r="ETI158" s="80"/>
      <c r="ETJ158" s="92"/>
      <c r="ETK158" s="53"/>
      <c r="ETL158" s="53"/>
      <c r="ETM158" s="66"/>
      <c r="ETN158" s="53"/>
      <c r="ETU158" s="80"/>
      <c r="ETV158" s="80"/>
      <c r="ETW158" s="80"/>
      <c r="ETX158" s="80"/>
      <c r="ETY158" s="80"/>
      <c r="EUA158" s="80"/>
      <c r="EUB158" s="178"/>
      <c r="EUC158" s="80"/>
      <c r="EUD158" s="92"/>
      <c r="EUE158" s="53"/>
      <c r="EUF158" s="53"/>
      <c r="EUG158" s="66"/>
      <c r="EUH158" s="53"/>
      <c r="EUO158" s="80"/>
      <c r="EUP158" s="80"/>
      <c r="EUQ158" s="80"/>
      <c r="EUR158" s="80"/>
      <c r="EUS158" s="80"/>
      <c r="EUU158" s="80"/>
      <c r="EUV158" s="178"/>
      <c r="EUW158" s="80"/>
      <c r="EUX158" s="92"/>
      <c r="EUY158" s="53"/>
      <c r="EUZ158" s="53"/>
      <c r="EVA158" s="66"/>
      <c r="EVB158" s="53"/>
      <c r="EVI158" s="80"/>
      <c r="EVJ158" s="80"/>
      <c r="EVK158" s="80"/>
      <c r="EVL158" s="80"/>
      <c r="EVM158" s="80"/>
      <c r="EVO158" s="80"/>
      <c r="EVP158" s="178"/>
      <c r="EVQ158" s="80"/>
      <c r="EVR158" s="92"/>
      <c r="EVS158" s="53"/>
      <c r="EVT158" s="53"/>
      <c r="EVU158" s="66"/>
      <c r="EVV158" s="53"/>
      <c r="EWC158" s="80"/>
      <c r="EWD158" s="80"/>
      <c r="EWE158" s="80"/>
      <c r="EWF158" s="80"/>
      <c r="EWG158" s="80"/>
      <c r="EWI158" s="80"/>
      <c r="EWJ158" s="178"/>
      <c r="EWK158" s="80"/>
      <c r="EWL158" s="92"/>
      <c r="EWM158" s="53"/>
      <c r="EWN158" s="53"/>
      <c r="EWO158" s="66"/>
      <c r="EWP158" s="53"/>
      <c r="EWW158" s="80"/>
      <c r="EWX158" s="80"/>
      <c r="EWY158" s="80"/>
      <c r="EWZ158" s="80"/>
      <c r="EXA158" s="80"/>
      <c r="EXC158" s="80"/>
      <c r="EXD158" s="178"/>
      <c r="EXE158" s="80"/>
      <c r="EXF158" s="92"/>
      <c r="EXG158" s="53"/>
      <c r="EXH158" s="53"/>
      <c r="EXI158" s="66"/>
      <c r="EXJ158" s="53"/>
      <c r="EXQ158" s="80"/>
      <c r="EXR158" s="80"/>
      <c r="EXS158" s="80"/>
      <c r="EXT158" s="80"/>
      <c r="EXU158" s="80"/>
      <c r="EXW158" s="80"/>
      <c r="EXX158" s="178"/>
      <c r="EXY158" s="80"/>
      <c r="EXZ158" s="92"/>
      <c r="EYA158" s="53"/>
      <c r="EYB158" s="53"/>
      <c r="EYC158" s="66"/>
      <c r="EYD158" s="53"/>
      <c r="EYK158" s="80"/>
      <c r="EYL158" s="80"/>
      <c r="EYM158" s="80"/>
      <c r="EYN158" s="80"/>
      <c r="EYO158" s="80"/>
      <c r="EYQ158" s="80"/>
      <c r="EYR158" s="178"/>
      <c r="EYS158" s="80"/>
      <c r="EYT158" s="92"/>
      <c r="EYU158" s="53"/>
      <c r="EYV158" s="53"/>
      <c r="EYW158" s="66"/>
      <c r="EYX158" s="53"/>
      <c r="EZE158" s="80"/>
      <c r="EZF158" s="80"/>
      <c r="EZG158" s="80"/>
      <c r="EZH158" s="80"/>
      <c r="EZI158" s="80"/>
      <c r="EZK158" s="80"/>
      <c r="EZL158" s="178"/>
      <c r="EZM158" s="80"/>
      <c r="EZN158" s="92"/>
      <c r="EZO158" s="53"/>
      <c r="EZP158" s="53"/>
      <c r="EZQ158" s="66"/>
      <c r="EZR158" s="53"/>
      <c r="EZY158" s="80"/>
      <c r="EZZ158" s="80"/>
      <c r="FAA158" s="80"/>
      <c r="FAB158" s="80"/>
      <c r="FAC158" s="80"/>
      <c r="FAE158" s="80"/>
      <c r="FAF158" s="178"/>
      <c r="FAG158" s="80"/>
      <c r="FAH158" s="92"/>
      <c r="FAI158" s="53"/>
      <c r="FAJ158" s="53"/>
      <c r="FAK158" s="66"/>
      <c r="FAL158" s="53"/>
      <c r="FAS158" s="80"/>
      <c r="FAT158" s="80"/>
      <c r="FAU158" s="80"/>
      <c r="FAV158" s="80"/>
      <c r="FAW158" s="80"/>
      <c r="FAY158" s="80"/>
      <c r="FAZ158" s="178"/>
      <c r="FBA158" s="80"/>
      <c r="FBB158" s="92"/>
      <c r="FBC158" s="53"/>
      <c r="FBD158" s="53"/>
      <c r="FBE158" s="66"/>
      <c r="FBF158" s="53"/>
      <c r="FBM158" s="80"/>
      <c r="FBN158" s="80"/>
      <c r="FBO158" s="80"/>
      <c r="FBP158" s="80"/>
      <c r="FBQ158" s="80"/>
      <c r="FBS158" s="80"/>
      <c r="FBT158" s="178"/>
      <c r="FBU158" s="80"/>
      <c r="FBV158" s="92"/>
      <c r="FBW158" s="53"/>
      <c r="FBX158" s="53"/>
      <c r="FBY158" s="66"/>
      <c r="FBZ158" s="53"/>
      <c r="FCG158" s="80"/>
      <c r="FCH158" s="80"/>
      <c r="FCI158" s="80"/>
      <c r="FCJ158" s="80"/>
      <c r="FCK158" s="80"/>
      <c r="FCM158" s="80"/>
      <c r="FCN158" s="178"/>
      <c r="FCO158" s="80"/>
      <c r="FCP158" s="92"/>
      <c r="FCQ158" s="53"/>
      <c r="FCR158" s="53"/>
      <c r="FCS158" s="66"/>
      <c r="FCT158" s="53"/>
      <c r="FDA158" s="80"/>
      <c r="FDB158" s="80"/>
      <c r="FDC158" s="80"/>
      <c r="FDD158" s="80"/>
      <c r="FDE158" s="80"/>
      <c r="FDG158" s="80"/>
      <c r="FDH158" s="178"/>
      <c r="FDI158" s="80"/>
      <c r="FDJ158" s="92"/>
      <c r="FDK158" s="53"/>
      <c r="FDL158" s="53"/>
      <c r="FDM158" s="66"/>
      <c r="FDN158" s="53"/>
      <c r="FDU158" s="80"/>
      <c r="FDV158" s="80"/>
      <c r="FDW158" s="80"/>
      <c r="FDX158" s="80"/>
      <c r="FDY158" s="80"/>
      <c r="FEA158" s="80"/>
      <c r="FEB158" s="178"/>
      <c r="FEC158" s="80"/>
      <c r="FED158" s="92"/>
      <c r="FEE158" s="53"/>
      <c r="FEF158" s="53"/>
      <c r="FEG158" s="66"/>
      <c r="FEH158" s="53"/>
      <c r="FEO158" s="80"/>
      <c r="FEP158" s="80"/>
      <c r="FEQ158" s="80"/>
      <c r="FER158" s="80"/>
      <c r="FES158" s="80"/>
      <c r="FEU158" s="80"/>
      <c r="FEV158" s="178"/>
      <c r="FEW158" s="80"/>
      <c r="FEX158" s="92"/>
      <c r="FEY158" s="53"/>
      <c r="FEZ158" s="53"/>
      <c r="FFA158" s="66"/>
      <c r="FFB158" s="53"/>
      <c r="FFI158" s="80"/>
      <c r="FFJ158" s="80"/>
      <c r="FFK158" s="80"/>
      <c r="FFL158" s="80"/>
      <c r="FFM158" s="80"/>
      <c r="FFO158" s="80"/>
      <c r="FFP158" s="178"/>
      <c r="FFQ158" s="80"/>
      <c r="FFR158" s="92"/>
      <c r="FFS158" s="53"/>
      <c r="FFT158" s="53"/>
      <c r="FFU158" s="66"/>
      <c r="FFV158" s="53"/>
      <c r="FGC158" s="80"/>
      <c r="FGD158" s="80"/>
      <c r="FGE158" s="80"/>
      <c r="FGF158" s="80"/>
      <c r="FGG158" s="80"/>
      <c r="FGI158" s="80"/>
      <c r="FGJ158" s="178"/>
      <c r="FGK158" s="80"/>
      <c r="FGL158" s="92"/>
      <c r="FGM158" s="53"/>
      <c r="FGN158" s="53"/>
      <c r="FGO158" s="66"/>
      <c r="FGP158" s="53"/>
      <c r="FGW158" s="80"/>
      <c r="FGX158" s="80"/>
      <c r="FGY158" s="80"/>
      <c r="FGZ158" s="80"/>
      <c r="FHA158" s="80"/>
      <c r="FHC158" s="80"/>
      <c r="FHD158" s="178"/>
      <c r="FHE158" s="80"/>
      <c r="FHF158" s="92"/>
      <c r="FHG158" s="53"/>
      <c r="FHH158" s="53"/>
      <c r="FHI158" s="66"/>
      <c r="FHJ158" s="53"/>
      <c r="FHQ158" s="80"/>
      <c r="FHR158" s="80"/>
      <c r="FHS158" s="80"/>
      <c r="FHT158" s="80"/>
      <c r="FHU158" s="80"/>
      <c r="FHW158" s="80"/>
      <c r="FHX158" s="178"/>
      <c r="FHY158" s="80"/>
      <c r="FHZ158" s="92"/>
      <c r="FIA158" s="53"/>
      <c r="FIB158" s="53"/>
      <c r="FIC158" s="66"/>
      <c r="FID158" s="53"/>
      <c r="FIK158" s="80"/>
      <c r="FIL158" s="80"/>
      <c r="FIM158" s="80"/>
      <c r="FIN158" s="80"/>
      <c r="FIO158" s="80"/>
      <c r="FIQ158" s="80"/>
      <c r="FIR158" s="178"/>
      <c r="FIS158" s="80"/>
      <c r="FIT158" s="92"/>
      <c r="FIU158" s="53"/>
      <c r="FIV158" s="53"/>
      <c r="FIW158" s="66"/>
      <c r="FIX158" s="53"/>
      <c r="FJE158" s="80"/>
      <c r="FJF158" s="80"/>
      <c r="FJG158" s="80"/>
      <c r="FJH158" s="80"/>
      <c r="FJI158" s="80"/>
      <c r="FJK158" s="80"/>
      <c r="FJL158" s="178"/>
      <c r="FJM158" s="80"/>
      <c r="FJN158" s="92"/>
      <c r="FJO158" s="53"/>
      <c r="FJP158" s="53"/>
      <c r="FJQ158" s="66"/>
      <c r="FJR158" s="53"/>
      <c r="FJY158" s="80"/>
      <c r="FJZ158" s="80"/>
      <c r="FKA158" s="80"/>
      <c r="FKB158" s="80"/>
      <c r="FKC158" s="80"/>
      <c r="FKE158" s="80"/>
      <c r="FKF158" s="178"/>
      <c r="FKG158" s="80"/>
      <c r="FKH158" s="92"/>
      <c r="FKI158" s="53"/>
      <c r="FKJ158" s="53"/>
      <c r="FKK158" s="66"/>
      <c r="FKL158" s="53"/>
      <c r="FKS158" s="80"/>
      <c r="FKT158" s="80"/>
      <c r="FKU158" s="80"/>
      <c r="FKV158" s="80"/>
      <c r="FKW158" s="80"/>
      <c r="FKY158" s="80"/>
      <c r="FKZ158" s="178"/>
      <c r="FLA158" s="80"/>
      <c r="FLB158" s="92"/>
      <c r="FLC158" s="53"/>
      <c r="FLD158" s="53"/>
      <c r="FLE158" s="66"/>
      <c r="FLF158" s="53"/>
      <c r="FLM158" s="80"/>
      <c r="FLN158" s="80"/>
      <c r="FLO158" s="80"/>
      <c r="FLP158" s="80"/>
      <c r="FLQ158" s="80"/>
      <c r="FLS158" s="80"/>
      <c r="FLT158" s="178"/>
      <c r="FLU158" s="80"/>
      <c r="FLV158" s="92"/>
      <c r="FLW158" s="53"/>
      <c r="FLX158" s="53"/>
      <c r="FLY158" s="66"/>
      <c r="FLZ158" s="53"/>
      <c r="FMG158" s="80"/>
      <c r="FMH158" s="80"/>
      <c r="FMI158" s="80"/>
      <c r="FMJ158" s="80"/>
      <c r="FMK158" s="80"/>
      <c r="FMM158" s="80"/>
      <c r="FMN158" s="178"/>
      <c r="FMO158" s="80"/>
      <c r="FMP158" s="92"/>
      <c r="FMQ158" s="53"/>
      <c r="FMR158" s="53"/>
      <c r="FMS158" s="66"/>
      <c r="FMT158" s="53"/>
      <c r="FNA158" s="80"/>
      <c r="FNB158" s="80"/>
      <c r="FNC158" s="80"/>
      <c r="FND158" s="80"/>
      <c r="FNE158" s="80"/>
      <c r="FNG158" s="80"/>
      <c r="FNH158" s="178"/>
      <c r="FNI158" s="80"/>
      <c r="FNJ158" s="92"/>
      <c r="FNK158" s="53"/>
      <c r="FNL158" s="53"/>
      <c r="FNM158" s="66"/>
      <c r="FNN158" s="53"/>
      <c r="FNU158" s="80"/>
      <c r="FNV158" s="80"/>
      <c r="FNW158" s="80"/>
      <c r="FNX158" s="80"/>
      <c r="FNY158" s="80"/>
      <c r="FOA158" s="80"/>
      <c r="FOB158" s="178"/>
      <c r="FOC158" s="80"/>
      <c r="FOD158" s="92"/>
      <c r="FOE158" s="53"/>
      <c r="FOF158" s="53"/>
      <c r="FOG158" s="66"/>
      <c r="FOH158" s="53"/>
      <c r="FOO158" s="80"/>
      <c r="FOP158" s="80"/>
      <c r="FOQ158" s="80"/>
      <c r="FOR158" s="80"/>
      <c r="FOS158" s="80"/>
      <c r="FOU158" s="80"/>
      <c r="FOV158" s="178"/>
      <c r="FOW158" s="80"/>
      <c r="FOX158" s="92"/>
      <c r="FOY158" s="53"/>
      <c r="FOZ158" s="53"/>
      <c r="FPA158" s="66"/>
      <c r="FPB158" s="53"/>
      <c r="FPI158" s="80"/>
      <c r="FPJ158" s="80"/>
      <c r="FPK158" s="80"/>
      <c r="FPL158" s="80"/>
      <c r="FPM158" s="80"/>
      <c r="FPO158" s="80"/>
      <c r="FPP158" s="178"/>
      <c r="FPQ158" s="80"/>
      <c r="FPR158" s="92"/>
      <c r="FPS158" s="53"/>
      <c r="FPT158" s="53"/>
      <c r="FPU158" s="66"/>
      <c r="FPV158" s="53"/>
      <c r="FQC158" s="80"/>
      <c r="FQD158" s="80"/>
      <c r="FQE158" s="80"/>
      <c r="FQF158" s="80"/>
      <c r="FQG158" s="80"/>
      <c r="FQI158" s="80"/>
      <c r="FQJ158" s="178"/>
      <c r="FQK158" s="80"/>
      <c r="FQL158" s="92"/>
      <c r="FQM158" s="53"/>
      <c r="FQN158" s="53"/>
      <c r="FQO158" s="66"/>
      <c r="FQP158" s="53"/>
      <c r="FQW158" s="80"/>
      <c r="FQX158" s="80"/>
      <c r="FQY158" s="80"/>
      <c r="FQZ158" s="80"/>
      <c r="FRA158" s="80"/>
      <c r="FRC158" s="80"/>
      <c r="FRD158" s="178"/>
      <c r="FRE158" s="80"/>
      <c r="FRF158" s="92"/>
      <c r="FRG158" s="53"/>
      <c r="FRH158" s="53"/>
      <c r="FRI158" s="66"/>
      <c r="FRJ158" s="53"/>
      <c r="FRQ158" s="80"/>
      <c r="FRR158" s="80"/>
      <c r="FRS158" s="80"/>
      <c r="FRT158" s="80"/>
      <c r="FRU158" s="80"/>
      <c r="FRW158" s="80"/>
      <c r="FRX158" s="178"/>
      <c r="FRY158" s="80"/>
      <c r="FRZ158" s="92"/>
      <c r="FSA158" s="53"/>
      <c r="FSB158" s="53"/>
      <c r="FSC158" s="66"/>
      <c r="FSD158" s="53"/>
      <c r="FSK158" s="80"/>
      <c r="FSL158" s="80"/>
      <c r="FSM158" s="80"/>
      <c r="FSN158" s="80"/>
      <c r="FSO158" s="80"/>
      <c r="FSQ158" s="80"/>
      <c r="FSR158" s="178"/>
      <c r="FSS158" s="80"/>
      <c r="FST158" s="92"/>
      <c r="FSU158" s="53"/>
      <c r="FSV158" s="53"/>
      <c r="FSW158" s="66"/>
      <c r="FSX158" s="53"/>
      <c r="FTE158" s="80"/>
      <c r="FTF158" s="80"/>
      <c r="FTG158" s="80"/>
      <c r="FTH158" s="80"/>
      <c r="FTI158" s="80"/>
      <c r="FTK158" s="80"/>
      <c r="FTL158" s="178"/>
      <c r="FTM158" s="80"/>
      <c r="FTN158" s="92"/>
      <c r="FTO158" s="53"/>
      <c r="FTP158" s="53"/>
      <c r="FTQ158" s="66"/>
      <c r="FTR158" s="53"/>
      <c r="FTY158" s="80"/>
      <c r="FTZ158" s="80"/>
      <c r="FUA158" s="80"/>
      <c r="FUB158" s="80"/>
      <c r="FUC158" s="80"/>
      <c r="FUE158" s="80"/>
      <c r="FUF158" s="178"/>
      <c r="FUG158" s="80"/>
      <c r="FUH158" s="92"/>
      <c r="FUI158" s="53"/>
      <c r="FUJ158" s="53"/>
      <c r="FUK158" s="66"/>
      <c r="FUL158" s="53"/>
      <c r="FUS158" s="80"/>
      <c r="FUT158" s="80"/>
      <c r="FUU158" s="80"/>
      <c r="FUV158" s="80"/>
      <c r="FUW158" s="80"/>
      <c r="FUY158" s="80"/>
      <c r="FUZ158" s="178"/>
      <c r="FVA158" s="80"/>
      <c r="FVB158" s="92"/>
      <c r="FVC158" s="53"/>
      <c r="FVD158" s="53"/>
      <c r="FVE158" s="66"/>
      <c r="FVF158" s="53"/>
      <c r="FVM158" s="80"/>
      <c r="FVN158" s="80"/>
      <c r="FVO158" s="80"/>
      <c r="FVP158" s="80"/>
      <c r="FVQ158" s="80"/>
      <c r="FVS158" s="80"/>
      <c r="FVT158" s="178"/>
      <c r="FVU158" s="80"/>
      <c r="FVV158" s="92"/>
      <c r="FVW158" s="53"/>
      <c r="FVX158" s="53"/>
      <c r="FVY158" s="66"/>
      <c r="FVZ158" s="53"/>
      <c r="FWG158" s="80"/>
      <c r="FWH158" s="80"/>
      <c r="FWI158" s="80"/>
      <c r="FWJ158" s="80"/>
      <c r="FWK158" s="80"/>
      <c r="FWM158" s="80"/>
      <c r="FWN158" s="178"/>
      <c r="FWO158" s="80"/>
      <c r="FWP158" s="92"/>
      <c r="FWQ158" s="53"/>
      <c r="FWR158" s="53"/>
      <c r="FWS158" s="66"/>
      <c r="FWT158" s="53"/>
      <c r="FXA158" s="80"/>
      <c r="FXB158" s="80"/>
      <c r="FXC158" s="80"/>
      <c r="FXD158" s="80"/>
      <c r="FXE158" s="80"/>
      <c r="FXG158" s="80"/>
      <c r="FXH158" s="178"/>
      <c r="FXI158" s="80"/>
      <c r="FXJ158" s="92"/>
      <c r="FXK158" s="53"/>
      <c r="FXL158" s="53"/>
      <c r="FXM158" s="66"/>
      <c r="FXN158" s="53"/>
      <c r="FXU158" s="80"/>
      <c r="FXV158" s="80"/>
      <c r="FXW158" s="80"/>
      <c r="FXX158" s="80"/>
      <c r="FXY158" s="80"/>
      <c r="FYA158" s="80"/>
      <c r="FYB158" s="178"/>
      <c r="FYC158" s="80"/>
      <c r="FYD158" s="92"/>
      <c r="FYE158" s="53"/>
      <c r="FYF158" s="53"/>
      <c r="FYG158" s="66"/>
      <c r="FYH158" s="53"/>
      <c r="FYO158" s="80"/>
      <c r="FYP158" s="80"/>
      <c r="FYQ158" s="80"/>
      <c r="FYR158" s="80"/>
      <c r="FYS158" s="80"/>
      <c r="FYU158" s="80"/>
      <c r="FYV158" s="178"/>
      <c r="FYW158" s="80"/>
      <c r="FYX158" s="92"/>
      <c r="FYY158" s="53"/>
      <c r="FYZ158" s="53"/>
      <c r="FZA158" s="66"/>
      <c r="FZB158" s="53"/>
      <c r="FZI158" s="80"/>
      <c r="FZJ158" s="80"/>
      <c r="FZK158" s="80"/>
      <c r="FZL158" s="80"/>
      <c r="FZM158" s="80"/>
      <c r="FZO158" s="80"/>
      <c r="FZP158" s="178"/>
      <c r="FZQ158" s="80"/>
      <c r="FZR158" s="92"/>
      <c r="FZS158" s="53"/>
      <c r="FZT158" s="53"/>
      <c r="FZU158" s="66"/>
      <c r="FZV158" s="53"/>
      <c r="GAC158" s="80"/>
      <c r="GAD158" s="80"/>
      <c r="GAE158" s="80"/>
      <c r="GAF158" s="80"/>
      <c r="GAG158" s="80"/>
      <c r="GAI158" s="80"/>
      <c r="GAJ158" s="178"/>
      <c r="GAK158" s="80"/>
      <c r="GAL158" s="92"/>
      <c r="GAM158" s="53"/>
      <c r="GAN158" s="53"/>
      <c r="GAO158" s="66"/>
      <c r="GAP158" s="53"/>
      <c r="GAW158" s="80"/>
      <c r="GAX158" s="80"/>
      <c r="GAY158" s="80"/>
      <c r="GAZ158" s="80"/>
      <c r="GBA158" s="80"/>
      <c r="GBC158" s="80"/>
      <c r="GBD158" s="178"/>
      <c r="GBE158" s="80"/>
      <c r="GBF158" s="92"/>
      <c r="GBG158" s="53"/>
      <c r="GBH158" s="53"/>
      <c r="GBI158" s="66"/>
      <c r="GBJ158" s="53"/>
      <c r="GBQ158" s="80"/>
      <c r="GBR158" s="80"/>
      <c r="GBS158" s="80"/>
      <c r="GBT158" s="80"/>
      <c r="GBU158" s="80"/>
      <c r="GBW158" s="80"/>
      <c r="GBX158" s="178"/>
      <c r="GBY158" s="80"/>
      <c r="GBZ158" s="92"/>
      <c r="GCA158" s="53"/>
      <c r="GCB158" s="53"/>
      <c r="GCC158" s="66"/>
      <c r="GCD158" s="53"/>
      <c r="GCK158" s="80"/>
      <c r="GCL158" s="80"/>
      <c r="GCM158" s="80"/>
      <c r="GCN158" s="80"/>
      <c r="GCO158" s="80"/>
      <c r="GCQ158" s="80"/>
      <c r="GCR158" s="178"/>
      <c r="GCS158" s="80"/>
      <c r="GCT158" s="92"/>
      <c r="GCU158" s="53"/>
      <c r="GCV158" s="53"/>
      <c r="GCW158" s="66"/>
      <c r="GCX158" s="53"/>
      <c r="GDE158" s="80"/>
      <c r="GDF158" s="80"/>
      <c r="GDG158" s="80"/>
      <c r="GDH158" s="80"/>
      <c r="GDI158" s="80"/>
      <c r="GDK158" s="80"/>
      <c r="GDL158" s="178"/>
      <c r="GDM158" s="80"/>
      <c r="GDN158" s="92"/>
      <c r="GDO158" s="53"/>
      <c r="GDP158" s="53"/>
      <c r="GDQ158" s="66"/>
      <c r="GDR158" s="53"/>
      <c r="GDY158" s="80"/>
      <c r="GDZ158" s="80"/>
      <c r="GEA158" s="80"/>
      <c r="GEB158" s="80"/>
      <c r="GEC158" s="80"/>
      <c r="GEE158" s="80"/>
      <c r="GEF158" s="178"/>
      <c r="GEG158" s="80"/>
      <c r="GEH158" s="92"/>
      <c r="GEI158" s="53"/>
      <c r="GEJ158" s="53"/>
      <c r="GEK158" s="66"/>
      <c r="GEL158" s="53"/>
      <c r="GES158" s="80"/>
      <c r="GET158" s="80"/>
      <c r="GEU158" s="80"/>
      <c r="GEV158" s="80"/>
      <c r="GEW158" s="80"/>
      <c r="GEY158" s="80"/>
      <c r="GEZ158" s="178"/>
      <c r="GFA158" s="80"/>
      <c r="GFB158" s="92"/>
      <c r="GFC158" s="53"/>
      <c r="GFD158" s="53"/>
      <c r="GFE158" s="66"/>
      <c r="GFF158" s="53"/>
      <c r="GFM158" s="80"/>
      <c r="GFN158" s="80"/>
      <c r="GFO158" s="80"/>
      <c r="GFP158" s="80"/>
      <c r="GFQ158" s="80"/>
      <c r="GFS158" s="80"/>
      <c r="GFT158" s="178"/>
      <c r="GFU158" s="80"/>
      <c r="GFV158" s="92"/>
      <c r="GFW158" s="53"/>
      <c r="GFX158" s="53"/>
      <c r="GFY158" s="66"/>
      <c r="GFZ158" s="53"/>
      <c r="GGG158" s="80"/>
      <c r="GGH158" s="80"/>
      <c r="GGI158" s="80"/>
      <c r="GGJ158" s="80"/>
      <c r="GGK158" s="80"/>
      <c r="GGM158" s="80"/>
      <c r="GGN158" s="178"/>
      <c r="GGO158" s="80"/>
      <c r="GGP158" s="92"/>
      <c r="GGQ158" s="53"/>
      <c r="GGR158" s="53"/>
      <c r="GGS158" s="66"/>
      <c r="GGT158" s="53"/>
      <c r="GHA158" s="80"/>
      <c r="GHB158" s="80"/>
      <c r="GHC158" s="80"/>
      <c r="GHD158" s="80"/>
      <c r="GHE158" s="80"/>
      <c r="GHG158" s="80"/>
      <c r="GHH158" s="178"/>
      <c r="GHI158" s="80"/>
      <c r="GHJ158" s="92"/>
      <c r="GHK158" s="53"/>
      <c r="GHL158" s="53"/>
      <c r="GHM158" s="66"/>
      <c r="GHN158" s="53"/>
      <c r="GHU158" s="80"/>
      <c r="GHV158" s="80"/>
      <c r="GHW158" s="80"/>
      <c r="GHX158" s="80"/>
      <c r="GHY158" s="80"/>
      <c r="GIA158" s="80"/>
      <c r="GIB158" s="178"/>
      <c r="GIC158" s="80"/>
      <c r="GID158" s="92"/>
      <c r="GIE158" s="53"/>
      <c r="GIF158" s="53"/>
      <c r="GIG158" s="66"/>
      <c r="GIH158" s="53"/>
      <c r="GIO158" s="80"/>
      <c r="GIP158" s="80"/>
      <c r="GIQ158" s="80"/>
      <c r="GIR158" s="80"/>
      <c r="GIS158" s="80"/>
      <c r="GIU158" s="80"/>
      <c r="GIV158" s="178"/>
      <c r="GIW158" s="80"/>
      <c r="GIX158" s="92"/>
      <c r="GIY158" s="53"/>
      <c r="GIZ158" s="53"/>
      <c r="GJA158" s="66"/>
      <c r="GJB158" s="53"/>
      <c r="GJI158" s="80"/>
      <c r="GJJ158" s="80"/>
      <c r="GJK158" s="80"/>
      <c r="GJL158" s="80"/>
      <c r="GJM158" s="80"/>
      <c r="GJO158" s="80"/>
      <c r="GJP158" s="178"/>
      <c r="GJQ158" s="80"/>
      <c r="GJR158" s="92"/>
      <c r="GJS158" s="53"/>
      <c r="GJT158" s="53"/>
      <c r="GJU158" s="66"/>
      <c r="GJV158" s="53"/>
      <c r="GKC158" s="80"/>
      <c r="GKD158" s="80"/>
      <c r="GKE158" s="80"/>
      <c r="GKF158" s="80"/>
      <c r="GKG158" s="80"/>
      <c r="GKI158" s="80"/>
      <c r="GKJ158" s="178"/>
      <c r="GKK158" s="80"/>
      <c r="GKL158" s="92"/>
      <c r="GKM158" s="53"/>
      <c r="GKN158" s="53"/>
      <c r="GKO158" s="66"/>
      <c r="GKP158" s="53"/>
      <c r="GKW158" s="80"/>
      <c r="GKX158" s="80"/>
      <c r="GKY158" s="80"/>
      <c r="GKZ158" s="80"/>
      <c r="GLA158" s="80"/>
      <c r="GLC158" s="80"/>
      <c r="GLD158" s="178"/>
      <c r="GLE158" s="80"/>
      <c r="GLF158" s="92"/>
      <c r="GLG158" s="53"/>
      <c r="GLH158" s="53"/>
      <c r="GLI158" s="66"/>
      <c r="GLJ158" s="53"/>
      <c r="GLQ158" s="80"/>
      <c r="GLR158" s="80"/>
      <c r="GLS158" s="80"/>
      <c r="GLT158" s="80"/>
      <c r="GLU158" s="80"/>
      <c r="GLW158" s="80"/>
      <c r="GLX158" s="178"/>
      <c r="GLY158" s="80"/>
      <c r="GLZ158" s="92"/>
      <c r="GMA158" s="53"/>
      <c r="GMB158" s="53"/>
      <c r="GMC158" s="66"/>
      <c r="GMD158" s="53"/>
      <c r="GMK158" s="80"/>
      <c r="GML158" s="80"/>
      <c r="GMM158" s="80"/>
      <c r="GMN158" s="80"/>
      <c r="GMO158" s="80"/>
      <c r="GMQ158" s="80"/>
      <c r="GMR158" s="178"/>
      <c r="GMS158" s="80"/>
      <c r="GMT158" s="92"/>
      <c r="GMU158" s="53"/>
      <c r="GMV158" s="53"/>
      <c r="GMW158" s="66"/>
      <c r="GMX158" s="53"/>
      <c r="GNE158" s="80"/>
      <c r="GNF158" s="80"/>
      <c r="GNG158" s="80"/>
      <c r="GNH158" s="80"/>
      <c r="GNI158" s="80"/>
      <c r="GNK158" s="80"/>
      <c r="GNL158" s="178"/>
      <c r="GNM158" s="80"/>
      <c r="GNN158" s="92"/>
      <c r="GNO158" s="53"/>
      <c r="GNP158" s="53"/>
      <c r="GNQ158" s="66"/>
      <c r="GNR158" s="53"/>
      <c r="GNY158" s="80"/>
      <c r="GNZ158" s="80"/>
      <c r="GOA158" s="80"/>
      <c r="GOB158" s="80"/>
      <c r="GOC158" s="80"/>
      <c r="GOE158" s="80"/>
      <c r="GOF158" s="178"/>
      <c r="GOG158" s="80"/>
      <c r="GOH158" s="92"/>
      <c r="GOI158" s="53"/>
      <c r="GOJ158" s="53"/>
      <c r="GOK158" s="66"/>
      <c r="GOL158" s="53"/>
      <c r="GOS158" s="80"/>
      <c r="GOT158" s="80"/>
      <c r="GOU158" s="80"/>
      <c r="GOV158" s="80"/>
      <c r="GOW158" s="80"/>
      <c r="GOY158" s="80"/>
      <c r="GOZ158" s="178"/>
      <c r="GPA158" s="80"/>
      <c r="GPB158" s="92"/>
      <c r="GPC158" s="53"/>
      <c r="GPD158" s="53"/>
      <c r="GPE158" s="66"/>
      <c r="GPF158" s="53"/>
      <c r="GPM158" s="80"/>
      <c r="GPN158" s="80"/>
      <c r="GPO158" s="80"/>
      <c r="GPP158" s="80"/>
      <c r="GPQ158" s="80"/>
      <c r="GPS158" s="80"/>
      <c r="GPT158" s="178"/>
      <c r="GPU158" s="80"/>
      <c r="GPV158" s="92"/>
      <c r="GPW158" s="53"/>
      <c r="GPX158" s="53"/>
      <c r="GPY158" s="66"/>
      <c r="GPZ158" s="53"/>
      <c r="GQG158" s="80"/>
      <c r="GQH158" s="80"/>
      <c r="GQI158" s="80"/>
      <c r="GQJ158" s="80"/>
      <c r="GQK158" s="80"/>
      <c r="GQM158" s="80"/>
      <c r="GQN158" s="178"/>
      <c r="GQO158" s="80"/>
      <c r="GQP158" s="92"/>
      <c r="GQQ158" s="53"/>
      <c r="GQR158" s="53"/>
      <c r="GQS158" s="66"/>
      <c r="GQT158" s="53"/>
      <c r="GRA158" s="80"/>
      <c r="GRB158" s="80"/>
      <c r="GRC158" s="80"/>
      <c r="GRD158" s="80"/>
      <c r="GRE158" s="80"/>
      <c r="GRG158" s="80"/>
      <c r="GRH158" s="178"/>
      <c r="GRI158" s="80"/>
      <c r="GRJ158" s="92"/>
      <c r="GRK158" s="53"/>
      <c r="GRL158" s="53"/>
      <c r="GRM158" s="66"/>
      <c r="GRN158" s="53"/>
      <c r="GRU158" s="80"/>
      <c r="GRV158" s="80"/>
      <c r="GRW158" s="80"/>
      <c r="GRX158" s="80"/>
      <c r="GRY158" s="80"/>
      <c r="GSA158" s="80"/>
      <c r="GSB158" s="178"/>
      <c r="GSC158" s="80"/>
      <c r="GSD158" s="92"/>
      <c r="GSE158" s="53"/>
      <c r="GSF158" s="53"/>
      <c r="GSG158" s="66"/>
      <c r="GSH158" s="53"/>
      <c r="GSO158" s="80"/>
      <c r="GSP158" s="80"/>
      <c r="GSQ158" s="80"/>
      <c r="GSR158" s="80"/>
      <c r="GSS158" s="80"/>
      <c r="GSU158" s="80"/>
      <c r="GSV158" s="178"/>
      <c r="GSW158" s="80"/>
      <c r="GSX158" s="92"/>
      <c r="GSY158" s="53"/>
      <c r="GSZ158" s="53"/>
      <c r="GTA158" s="66"/>
      <c r="GTB158" s="53"/>
      <c r="GTI158" s="80"/>
      <c r="GTJ158" s="80"/>
      <c r="GTK158" s="80"/>
      <c r="GTL158" s="80"/>
      <c r="GTM158" s="80"/>
      <c r="GTO158" s="80"/>
      <c r="GTP158" s="178"/>
      <c r="GTQ158" s="80"/>
      <c r="GTR158" s="92"/>
      <c r="GTS158" s="53"/>
      <c r="GTT158" s="53"/>
      <c r="GTU158" s="66"/>
      <c r="GTV158" s="53"/>
      <c r="GUC158" s="80"/>
      <c r="GUD158" s="80"/>
      <c r="GUE158" s="80"/>
      <c r="GUF158" s="80"/>
      <c r="GUG158" s="80"/>
      <c r="GUI158" s="80"/>
      <c r="GUJ158" s="178"/>
      <c r="GUK158" s="80"/>
      <c r="GUL158" s="92"/>
      <c r="GUM158" s="53"/>
      <c r="GUN158" s="53"/>
      <c r="GUO158" s="66"/>
      <c r="GUP158" s="53"/>
      <c r="GUW158" s="80"/>
      <c r="GUX158" s="80"/>
      <c r="GUY158" s="80"/>
      <c r="GUZ158" s="80"/>
      <c r="GVA158" s="80"/>
      <c r="GVC158" s="80"/>
      <c r="GVD158" s="178"/>
      <c r="GVE158" s="80"/>
      <c r="GVF158" s="92"/>
      <c r="GVG158" s="53"/>
      <c r="GVH158" s="53"/>
      <c r="GVI158" s="66"/>
      <c r="GVJ158" s="53"/>
      <c r="GVQ158" s="80"/>
      <c r="GVR158" s="80"/>
      <c r="GVS158" s="80"/>
      <c r="GVT158" s="80"/>
      <c r="GVU158" s="80"/>
      <c r="GVW158" s="80"/>
      <c r="GVX158" s="178"/>
      <c r="GVY158" s="80"/>
      <c r="GVZ158" s="92"/>
      <c r="GWA158" s="53"/>
      <c r="GWB158" s="53"/>
      <c r="GWC158" s="66"/>
      <c r="GWD158" s="53"/>
      <c r="GWK158" s="80"/>
      <c r="GWL158" s="80"/>
      <c r="GWM158" s="80"/>
      <c r="GWN158" s="80"/>
      <c r="GWO158" s="80"/>
      <c r="GWQ158" s="80"/>
      <c r="GWR158" s="178"/>
      <c r="GWS158" s="80"/>
      <c r="GWT158" s="92"/>
      <c r="GWU158" s="53"/>
      <c r="GWV158" s="53"/>
      <c r="GWW158" s="66"/>
      <c r="GWX158" s="53"/>
      <c r="GXE158" s="80"/>
      <c r="GXF158" s="80"/>
      <c r="GXG158" s="80"/>
      <c r="GXH158" s="80"/>
      <c r="GXI158" s="80"/>
      <c r="GXK158" s="80"/>
      <c r="GXL158" s="178"/>
      <c r="GXM158" s="80"/>
      <c r="GXN158" s="92"/>
      <c r="GXO158" s="53"/>
      <c r="GXP158" s="53"/>
      <c r="GXQ158" s="66"/>
      <c r="GXR158" s="53"/>
      <c r="GXY158" s="80"/>
      <c r="GXZ158" s="80"/>
      <c r="GYA158" s="80"/>
      <c r="GYB158" s="80"/>
      <c r="GYC158" s="80"/>
      <c r="GYE158" s="80"/>
      <c r="GYF158" s="178"/>
      <c r="GYG158" s="80"/>
      <c r="GYH158" s="92"/>
      <c r="GYI158" s="53"/>
      <c r="GYJ158" s="53"/>
      <c r="GYK158" s="66"/>
      <c r="GYL158" s="53"/>
      <c r="GYS158" s="80"/>
      <c r="GYT158" s="80"/>
      <c r="GYU158" s="80"/>
      <c r="GYV158" s="80"/>
      <c r="GYW158" s="80"/>
      <c r="GYY158" s="80"/>
      <c r="GYZ158" s="178"/>
      <c r="GZA158" s="80"/>
      <c r="GZB158" s="92"/>
      <c r="GZC158" s="53"/>
      <c r="GZD158" s="53"/>
      <c r="GZE158" s="66"/>
      <c r="GZF158" s="53"/>
      <c r="GZM158" s="80"/>
      <c r="GZN158" s="80"/>
      <c r="GZO158" s="80"/>
      <c r="GZP158" s="80"/>
      <c r="GZQ158" s="80"/>
      <c r="GZS158" s="80"/>
      <c r="GZT158" s="178"/>
      <c r="GZU158" s="80"/>
      <c r="GZV158" s="92"/>
      <c r="GZW158" s="53"/>
      <c r="GZX158" s="53"/>
      <c r="GZY158" s="66"/>
      <c r="GZZ158" s="53"/>
      <c r="HAG158" s="80"/>
      <c r="HAH158" s="80"/>
      <c r="HAI158" s="80"/>
      <c r="HAJ158" s="80"/>
      <c r="HAK158" s="80"/>
      <c r="HAM158" s="80"/>
      <c r="HAN158" s="178"/>
      <c r="HAO158" s="80"/>
      <c r="HAP158" s="92"/>
      <c r="HAQ158" s="53"/>
      <c r="HAR158" s="53"/>
      <c r="HAS158" s="66"/>
      <c r="HAT158" s="53"/>
      <c r="HBA158" s="80"/>
      <c r="HBB158" s="80"/>
      <c r="HBC158" s="80"/>
      <c r="HBD158" s="80"/>
      <c r="HBE158" s="80"/>
      <c r="HBG158" s="80"/>
      <c r="HBH158" s="178"/>
      <c r="HBI158" s="80"/>
      <c r="HBJ158" s="92"/>
      <c r="HBK158" s="53"/>
      <c r="HBL158" s="53"/>
      <c r="HBM158" s="66"/>
      <c r="HBN158" s="53"/>
      <c r="HBU158" s="80"/>
      <c r="HBV158" s="80"/>
      <c r="HBW158" s="80"/>
      <c r="HBX158" s="80"/>
      <c r="HBY158" s="80"/>
      <c r="HCA158" s="80"/>
      <c r="HCB158" s="178"/>
      <c r="HCC158" s="80"/>
      <c r="HCD158" s="92"/>
      <c r="HCE158" s="53"/>
      <c r="HCF158" s="53"/>
      <c r="HCG158" s="66"/>
      <c r="HCH158" s="53"/>
      <c r="HCO158" s="80"/>
      <c r="HCP158" s="80"/>
      <c r="HCQ158" s="80"/>
      <c r="HCR158" s="80"/>
      <c r="HCS158" s="80"/>
      <c r="HCU158" s="80"/>
      <c r="HCV158" s="178"/>
      <c r="HCW158" s="80"/>
      <c r="HCX158" s="92"/>
      <c r="HCY158" s="53"/>
      <c r="HCZ158" s="53"/>
      <c r="HDA158" s="66"/>
      <c r="HDB158" s="53"/>
      <c r="HDI158" s="80"/>
      <c r="HDJ158" s="80"/>
      <c r="HDK158" s="80"/>
      <c r="HDL158" s="80"/>
      <c r="HDM158" s="80"/>
      <c r="HDO158" s="80"/>
      <c r="HDP158" s="178"/>
      <c r="HDQ158" s="80"/>
      <c r="HDR158" s="92"/>
      <c r="HDS158" s="53"/>
      <c r="HDT158" s="53"/>
      <c r="HDU158" s="66"/>
      <c r="HDV158" s="53"/>
      <c r="HEC158" s="80"/>
      <c r="HED158" s="80"/>
      <c r="HEE158" s="80"/>
      <c r="HEF158" s="80"/>
      <c r="HEG158" s="80"/>
      <c r="HEI158" s="80"/>
      <c r="HEJ158" s="178"/>
      <c r="HEK158" s="80"/>
      <c r="HEL158" s="92"/>
      <c r="HEM158" s="53"/>
      <c r="HEN158" s="53"/>
      <c r="HEO158" s="66"/>
      <c r="HEP158" s="53"/>
      <c r="HEW158" s="80"/>
      <c r="HEX158" s="80"/>
      <c r="HEY158" s="80"/>
      <c r="HEZ158" s="80"/>
      <c r="HFA158" s="80"/>
      <c r="HFC158" s="80"/>
      <c r="HFD158" s="178"/>
      <c r="HFE158" s="80"/>
      <c r="HFF158" s="92"/>
      <c r="HFG158" s="53"/>
      <c r="HFH158" s="53"/>
      <c r="HFI158" s="66"/>
      <c r="HFJ158" s="53"/>
      <c r="HFQ158" s="80"/>
      <c r="HFR158" s="80"/>
      <c r="HFS158" s="80"/>
      <c r="HFT158" s="80"/>
      <c r="HFU158" s="80"/>
      <c r="HFW158" s="80"/>
      <c r="HFX158" s="178"/>
      <c r="HFY158" s="80"/>
      <c r="HFZ158" s="92"/>
      <c r="HGA158" s="53"/>
      <c r="HGB158" s="53"/>
      <c r="HGC158" s="66"/>
      <c r="HGD158" s="53"/>
      <c r="HGK158" s="80"/>
      <c r="HGL158" s="80"/>
      <c r="HGM158" s="80"/>
      <c r="HGN158" s="80"/>
      <c r="HGO158" s="80"/>
      <c r="HGQ158" s="80"/>
      <c r="HGR158" s="178"/>
      <c r="HGS158" s="80"/>
      <c r="HGT158" s="92"/>
      <c r="HGU158" s="53"/>
      <c r="HGV158" s="53"/>
      <c r="HGW158" s="66"/>
      <c r="HGX158" s="53"/>
      <c r="HHE158" s="80"/>
      <c r="HHF158" s="80"/>
      <c r="HHG158" s="80"/>
      <c r="HHH158" s="80"/>
      <c r="HHI158" s="80"/>
      <c r="HHK158" s="80"/>
      <c r="HHL158" s="178"/>
      <c r="HHM158" s="80"/>
      <c r="HHN158" s="92"/>
      <c r="HHO158" s="53"/>
      <c r="HHP158" s="53"/>
      <c r="HHQ158" s="66"/>
      <c r="HHR158" s="53"/>
      <c r="HHY158" s="80"/>
      <c r="HHZ158" s="80"/>
      <c r="HIA158" s="80"/>
      <c r="HIB158" s="80"/>
      <c r="HIC158" s="80"/>
      <c r="HIE158" s="80"/>
      <c r="HIF158" s="178"/>
      <c r="HIG158" s="80"/>
      <c r="HIH158" s="92"/>
      <c r="HII158" s="53"/>
      <c r="HIJ158" s="53"/>
      <c r="HIK158" s="66"/>
      <c r="HIL158" s="53"/>
      <c r="HIS158" s="80"/>
      <c r="HIT158" s="80"/>
      <c r="HIU158" s="80"/>
      <c r="HIV158" s="80"/>
      <c r="HIW158" s="80"/>
      <c r="HIY158" s="80"/>
      <c r="HIZ158" s="178"/>
      <c r="HJA158" s="80"/>
      <c r="HJB158" s="92"/>
      <c r="HJC158" s="53"/>
      <c r="HJD158" s="53"/>
      <c r="HJE158" s="66"/>
      <c r="HJF158" s="53"/>
      <c r="HJM158" s="80"/>
      <c r="HJN158" s="80"/>
      <c r="HJO158" s="80"/>
      <c r="HJP158" s="80"/>
      <c r="HJQ158" s="80"/>
      <c r="HJS158" s="80"/>
      <c r="HJT158" s="178"/>
      <c r="HJU158" s="80"/>
      <c r="HJV158" s="92"/>
      <c r="HJW158" s="53"/>
      <c r="HJX158" s="53"/>
      <c r="HJY158" s="66"/>
      <c r="HJZ158" s="53"/>
      <c r="HKG158" s="80"/>
      <c r="HKH158" s="80"/>
      <c r="HKI158" s="80"/>
      <c r="HKJ158" s="80"/>
      <c r="HKK158" s="80"/>
      <c r="HKM158" s="80"/>
      <c r="HKN158" s="178"/>
      <c r="HKO158" s="80"/>
      <c r="HKP158" s="92"/>
      <c r="HKQ158" s="53"/>
      <c r="HKR158" s="53"/>
      <c r="HKS158" s="66"/>
      <c r="HKT158" s="53"/>
      <c r="HLA158" s="80"/>
      <c r="HLB158" s="80"/>
      <c r="HLC158" s="80"/>
      <c r="HLD158" s="80"/>
      <c r="HLE158" s="80"/>
      <c r="HLG158" s="80"/>
      <c r="HLH158" s="178"/>
      <c r="HLI158" s="80"/>
      <c r="HLJ158" s="92"/>
      <c r="HLK158" s="53"/>
      <c r="HLL158" s="53"/>
      <c r="HLM158" s="66"/>
      <c r="HLN158" s="53"/>
      <c r="HLU158" s="80"/>
      <c r="HLV158" s="80"/>
      <c r="HLW158" s="80"/>
      <c r="HLX158" s="80"/>
      <c r="HLY158" s="80"/>
      <c r="HMA158" s="80"/>
      <c r="HMB158" s="178"/>
      <c r="HMC158" s="80"/>
      <c r="HMD158" s="92"/>
      <c r="HME158" s="53"/>
      <c r="HMF158" s="53"/>
      <c r="HMG158" s="66"/>
      <c r="HMH158" s="53"/>
      <c r="HMO158" s="80"/>
      <c r="HMP158" s="80"/>
      <c r="HMQ158" s="80"/>
      <c r="HMR158" s="80"/>
      <c r="HMS158" s="80"/>
      <c r="HMU158" s="80"/>
      <c r="HMV158" s="178"/>
      <c r="HMW158" s="80"/>
      <c r="HMX158" s="92"/>
      <c r="HMY158" s="53"/>
      <c r="HMZ158" s="53"/>
      <c r="HNA158" s="66"/>
      <c r="HNB158" s="53"/>
      <c r="HNI158" s="80"/>
      <c r="HNJ158" s="80"/>
      <c r="HNK158" s="80"/>
      <c r="HNL158" s="80"/>
      <c r="HNM158" s="80"/>
      <c r="HNO158" s="80"/>
      <c r="HNP158" s="178"/>
      <c r="HNQ158" s="80"/>
      <c r="HNR158" s="92"/>
      <c r="HNS158" s="53"/>
      <c r="HNT158" s="53"/>
      <c r="HNU158" s="66"/>
      <c r="HNV158" s="53"/>
      <c r="HOC158" s="80"/>
      <c r="HOD158" s="80"/>
      <c r="HOE158" s="80"/>
      <c r="HOF158" s="80"/>
      <c r="HOG158" s="80"/>
      <c r="HOI158" s="80"/>
      <c r="HOJ158" s="178"/>
      <c r="HOK158" s="80"/>
      <c r="HOL158" s="92"/>
      <c r="HOM158" s="53"/>
      <c r="HON158" s="53"/>
      <c r="HOO158" s="66"/>
      <c r="HOP158" s="53"/>
      <c r="HOW158" s="80"/>
      <c r="HOX158" s="80"/>
      <c r="HOY158" s="80"/>
      <c r="HOZ158" s="80"/>
      <c r="HPA158" s="80"/>
      <c r="HPC158" s="80"/>
      <c r="HPD158" s="178"/>
      <c r="HPE158" s="80"/>
      <c r="HPF158" s="92"/>
      <c r="HPG158" s="53"/>
      <c r="HPH158" s="53"/>
      <c r="HPI158" s="66"/>
      <c r="HPJ158" s="53"/>
      <c r="HPQ158" s="80"/>
      <c r="HPR158" s="80"/>
      <c r="HPS158" s="80"/>
      <c r="HPT158" s="80"/>
      <c r="HPU158" s="80"/>
      <c r="HPW158" s="80"/>
      <c r="HPX158" s="178"/>
      <c r="HPY158" s="80"/>
      <c r="HPZ158" s="92"/>
      <c r="HQA158" s="53"/>
      <c r="HQB158" s="53"/>
      <c r="HQC158" s="66"/>
      <c r="HQD158" s="53"/>
      <c r="HQK158" s="80"/>
      <c r="HQL158" s="80"/>
      <c r="HQM158" s="80"/>
      <c r="HQN158" s="80"/>
      <c r="HQO158" s="80"/>
      <c r="HQQ158" s="80"/>
      <c r="HQR158" s="178"/>
      <c r="HQS158" s="80"/>
      <c r="HQT158" s="92"/>
      <c r="HQU158" s="53"/>
      <c r="HQV158" s="53"/>
      <c r="HQW158" s="66"/>
      <c r="HQX158" s="53"/>
      <c r="HRE158" s="80"/>
      <c r="HRF158" s="80"/>
      <c r="HRG158" s="80"/>
      <c r="HRH158" s="80"/>
      <c r="HRI158" s="80"/>
      <c r="HRK158" s="80"/>
      <c r="HRL158" s="178"/>
      <c r="HRM158" s="80"/>
      <c r="HRN158" s="92"/>
      <c r="HRO158" s="53"/>
      <c r="HRP158" s="53"/>
      <c r="HRQ158" s="66"/>
      <c r="HRR158" s="53"/>
      <c r="HRY158" s="80"/>
      <c r="HRZ158" s="80"/>
      <c r="HSA158" s="80"/>
      <c r="HSB158" s="80"/>
      <c r="HSC158" s="80"/>
      <c r="HSE158" s="80"/>
      <c r="HSF158" s="178"/>
      <c r="HSG158" s="80"/>
      <c r="HSH158" s="92"/>
      <c r="HSI158" s="53"/>
      <c r="HSJ158" s="53"/>
      <c r="HSK158" s="66"/>
      <c r="HSL158" s="53"/>
      <c r="HSS158" s="80"/>
      <c r="HST158" s="80"/>
      <c r="HSU158" s="80"/>
      <c r="HSV158" s="80"/>
      <c r="HSW158" s="80"/>
      <c r="HSY158" s="80"/>
      <c r="HSZ158" s="178"/>
      <c r="HTA158" s="80"/>
      <c r="HTB158" s="92"/>
      <c r="HTC158" s="53"/>
      <c r="HTD158" s="53"/>
      <c r="HTE158" s="66"/>
      <c r="HTF158" s="53"/>
      <c r="HTM158" s="80"/>
      <c r="HTN158" s="80"/>
      <c r="HTO158" s="80"/>
      <c r="HTP158" s="80"/>
      <c r="HTQ158" s="80"/>
      <c r="HTS158" s="80"/>
      <c r="HTT158" s="178"/>
      <c r="HTU158" s="80"/>
      <c r="HTV158" s="92"/>
      <c r="HTW158" s="53"/>
      <c r="HTX158" s="53"/>
      <c r="HTY158" s="66"/>
      <c r="HTZ158" s="53"/>
      <c r="HUG158" s="80"/>
      <c r="HUH158" s="80"/>
      <c r="HUI158" s="80"/>
      <c r="HUJ158" s="80"/>
      <c r="HUK158" s="80"/>
      <c r="HUM158" s="80"/>
      <c r="HUN158" s="178"/>
      <c r="HUO158" s="80"/>
      <c r="HUP158" s="92"/>
      <c r="HUQ158" s="53"/>
      <c r="HUR158" s="53"/>
      <c r="HUS158" s="66"/>
      <c r="HUT158" s="53"/>
      <c r="HVA158" s="80"/>
      <c r="HVB158" s="80"/>
      <c r="HVC158" s="80"/>
      <c r="HVD158" s="80"/>
      <c r="HVE158" s="80"/>
      <c r="HVG158" s="80"/>
      <c r="HVH158" s="178"/>
      <c r="HVI158" s="80"/>
      <c r="HVJ158" s="92"/>
      <c r="HVK158" s="53"/>
      <c r="HVL158" s="53"/>
      <c r="HVM158" s="66"/>
      <c r="HVN158" s="53"/>
      <c r="HVU158" s="80"/>
      <c r="HVV158" s="80"/>
      <c r="HVW158" s="80"/>
      <c r="HVX158" s="80"/>
      <c r="HVY158" s="80"/>
      <c r="HWA158" s="80"/>
      <c r="HWB158" s="178"/>
      <c r="HWC158" s="80"/>
      <c r="HWD158" s="92"/>
      <c r="HWE158" s="53"/>
      <c r="HWF158" s="53"/>
      <c r="HWG158" s="66"/>
      <c r="HWH158" s="53"/>
      <c r="HWO158" s="80"/>
      <c r="HWP158" s="80"/>
      <c r="HWQ158" s="80"/>
      <c r="HWR158" s="80"/>
      <c r="HWS158" s="80"/>
      <c r="HWU158" s="80"/>
      <c r="HWV158" s="178"/>
      <c r="HWW158" s="80"/>
      <c r="HWX158" s="92"/>
      <c r="HWY158" s="53"/>
      <c r="HWZ158" s="53"/>
      <c r="HXA158" s="66"/>
      <c r="HXB158" s="53"/>
      <c r="HXI158" s="80"/>
      <c r="HXJ158" s="80"/>
      <c r="HXK158" s="80"/>
      <c r="HXL158" s="80"/>
      <c r="HXM158" s="80"/>
      <c r="HXO158" s="80"/>
      <c r="HXP158" s="178"/>
      <c r="HXQ158" s="80"/>
      <c r="HXR158" s="92"/>
      <c r="HXS158" s="53"/>
      <c r="HXT158" s="53"/>
      <c r="HXU158" s="66"/>
      <c r="HXV158" s="53"/>
      <c r="HYC158" s="80"/>
      <c r="HYD158" s="80"/>
      <c r="HYE158" s="80"/>
      <c r="HYF158" s="80"/>
      <c r="HYG158" s="80"/>
      <c r="HYI158" s="80"/>
      <c r="HYJ158" s="178"/>
      <c r="HYK158" s="80"/>
      <c r="HYL158" s="92"/>
      <c r="HYM158" s="53"/>
      <c r="HYN158" s="53"/>
      <c r="HYO158" s="66"/>
      <c r="HYP158" s="53"/>
      <c r="HYW158" s="80"/>
      <c r="HYX158" s="80"/>
      <c r="HYY158" s="80"/>
      <c r="HYZ158" s="80"/>
      <c r="HZA158" s="80"/>
      <c r="HZC158" s="80"/>
      <c r="HZD158" s="178"/>
      <c r="HZE158" s="80"/>
      <c r="HZF158" s="92"/>
      <c r="HZG158" s="53"/>
      <c r="HZH158" s="53"/>
      <c r="HZI158" s="66"/>
      <c r="HZJ158" s="53"/>
      <c r="HZQ158" s="80"/>
      <c r="HZR158" s="80"/>
      <c r="HZS158" s="80"/>
      <c r="HZT158" s="80"/>
      <c r="HZU158" s="80"/>
      <c r="HZW158" s="80"/>
      <c r="HZX158" s="178"/>
      <c r="HZY158" s="80"/>
      <c r="HZZ158" s="92"/>
      <c r="IAA158" s="53"/>
      <c r="IAB158" s="53"/>
      <c r="IAC158" s="66"/>
      <c r="IAD158" s="53"/>
      <c r="IAK158" s="80"/>
      <c r="IAL158" s="80"/>
      <c r="IAM158" s="80"/>
      <c r="IAN158" s="80"/>
      <c r="IAO158" s="80"/>
      <c r="IAQ158" s="80"/>
      <c r="IAR158" s="178"/>
      <c r="IAS158" s="80"/>
      <c r="IAT158" s="92"/>
      <c r="IAU158" s="53"/>
      <c r="IAV158" s="53"/>
      <c r="IAW158" s="66"/>
      <c r="IAX158" s="53"/>
      <c r="IBE158" s="80"/>
      <c r="IBF158" s="80"/>
      <c r="IBG158" s="80"/>
      <c r="IBH158" s="80"/>
      <c r="IBI158" s="80"/>
      <c r="IBK158" s="80"/>
      <c r="IBL158" s="178"/>
      <c r="IBM158" s="80"/>
      <c r="IBN158" s="92"/>
      <c r="IBO158" s="53"/>
      <c r="IBP158" s="53"/>
      <c r="IBQ158" s="66"/>
      <c r="IBR158" s="53"/>
      <c r="IBY158" s="80"/>
      <c r="IBZ158" s="80"/>
      <c r="ICA158" s="80"/>
      <c r="ICB158" s="80"/>
      <c r="ICC158" s="80"/>
      <c r="ICE158" s="80"/>
      <c r="ICF158" s="178"/>
      <c r="ICG158" s="80"/>
      <c r="ICH158" s="92"/>
      <c r="ICI158" s="53"/>
      <c r="ICJ158" s="53"/>
      <c r="ICK158" s="66"/>
      <c r="ICL158" s="53"/>
      <c r="ICS158" s="80"/>
      <c r="ICT158" s="80"/>
      <c r="ICU158" s="80"/>
      <c r="ICV158" s="80"/>
      <c r="ICW158" s="80"/>
      <c r="ICY158" s="80"/>
      <c r="ICZ158" s="178"/>
      <c r="IDA158" s="80"/>
      <c r="IDB158" s="92"/>
      <c r="IDC158" s="53"/>
      <c r="IDD158" s="53"/>
      <c r="IDE158" s="66"/>
      <c r="IDF158" s="53"/>
      <c r="IDM158" s="80"/>
      <c r="IDN158" s="80"/>
      <c r="IDO158" s="80"/>
      <c r="IDP158" s="80"/>
      <c r="IDQ158" s="80"/>
      <c r="IDS158" s="80"/>
      <c r="IDT158" s="178"/>
      <c r="IDU158" s="80"/>
      <c r="IDV158" s="92"/>
      <c r="IDW158" s="53"/>
      <c r="IDX158" s="53"/>
      <c r="IDY158" s="66"/>
      <c r="IDZ158" s="53"/>
      <c r="IEG158" s="80"/>
      <c r="IEH158" s="80"/>
      <c r="IEI158" s="80"/>
      <c r="IEJ158" s="80"/>
      <c r="IEK158" s="80"/>
      <c r="IEM158" s="80"/>
      <c r="IEN158" s="178"/>
      <c r="IEO158" s="80"/>
      <c r="IEP158" s="92"/>
      <c r="IEQ158" s="53"/>
      <c r="IER158" s="53"/>
      <c r="IES158" s="66"/>
      <c r="IET158" s="53"/>
      <c r="IFA158" s="80"/>
      <c r="IFB158" s="80"/>
      <c r="IFC158" s="80"/>
      <c r="IFD158" s="80"/>
      <c r="IFE158" s="80"/>
      <c r="IFG158" s="80"/>
      <c r="IFH158" s="178"/>
      <c r="IFI158" s="80"/>
      <c r="IFJ158" s="92"/>
      <c r="IFK158" s="53"/>
      <c r="IFL158" s="53"/>
      <c r="IFM158" s="66"/>
      <c r="IFN158" s="53"/>
      <c r="IFU158" s="80"/>
      <c r="IFV158" s="80"/>
      <c r="IFW158" s="80"/>
      <c r="IFX158" s="80"/>
      <c r="IFY158" s="80"/>
      <c r="IGA158" s="80"/>
      <c r="IGB158" s="178"/>
      <c r="IGC158" s="80"/>
      <c r="IGD158" s="92"/>
      <c r="IGE158" s="53"/>
      <c r="IGF158" s="53"/>
      <c r="IGG158" s="66"/>
      <c r="IGH158" s="53"/>
      <c r="IGO158" s="80"/>
      <c r="IGP158" s="80"/>
      <c r="IGQ158" s="80"/>
      <c r="IGR158" s="80"/>
      <c r="IGS158" s="80"/>
      <c r="IGU158" s="80"/>
      <c r="IGV158" s="178"/>
      <c r="IGW158" s="80"/>
      <c r="IGX158" s="92"/>
      <c r="IGY158" s="53"/>
      <c r="IGZ158" s="53"/>
      <c r="IHA158" s="66"/>
      <c r="IHB158" s="53"/>
      <c r="IHI158" s="80"/>
      <c r="IHJ158" s="80"/>
      <c r="IHK158" s="80"/>
      <c r="IHL158" s="80"/>
      <c r="IHM158" s="80"/>
      <c r="IHO158" s="80"/>
      <c r="IHP158" s="178"/>
      <c r="IHQ158" s="80"/>
      <c r="IHR158" s="92"/>
      <c r="IHS158" s="53"/>
      <c r="IHT158" s="53"/>
      <c r="IHU158" s="66"/>
      <c r="IHV158" s="53"/>
      <c r="IIC158" s="80"/>
      <c r="IID158" s="80"/>
      <c r="IIE158" s="80"/>
      <c r="IIF158" s="80"/>
      <c r="IIG158" s="80"/>
      <c r="III158" s="80"/>
      <c r="IIJ158" s="178"/>
      <c r="IIK158" s="80"/>
      <c r="IIL158" s="92"/>
      <c r="IIM158" s="53"/>
      <c r="IIN158" s="53"/>
      <c r="IIO158" s="66"/>
      <c r="IIP158" s="53"/>
      <c r="IIW158" s="80"/>
      <c r="IIX158" s="80"/>
      <c r="IIY158" s="80"/>
      <c r="IIZ158" s="80"/>
      <c r="IJA158" s="80"/>
      <c r="IJC158" s="80"/>
      <c r="IJD158" s="178"/>
      <c r="IJE158" s="80"/>
      <c r="IJF158" s="92"/>
      <c r="IJG158" s="53"/>
      <c r="IJH158" s="53"/>
      <c r="IJI158" s="66"/>
      <c r="IJJ158" s="53"/>
      <c r="IJQ158" s="80"/>
      <c r="IJR158" s="80"/>
      <c r="IJS158" s="80"/>
      <c r="IJT158" s="80"/>
      <c r="IJU158" s="80"/>
      <c r="IJW158" s="80"/>
      <c r="IJX158" s="178"/>
      <c r="IJY158" s="80"/>
      <c r="IJZ158" s="92"/>
      <c r="IKA158" s="53"/>
      <c r="IKB158" s="53"/>
      <c r="IKC158" s="66"/>
      <c r="IKD158" s="53"/>
      <c r="IKK158" s="80"/>
      <c r="IKL158" s="80"/>
      <c r="IKM158" s="80"/>
      <c r="IKN158" s="80"/>
      <c r="IKO158" s="80"/>
      <c r="IKQ158" s="80"/>
      <c r="IKR158" s="178"/>
      <c r="IKS158" s="80"/>
      <c r="IKT158" s="92"/>
      <c r="IKU158" s="53"/>
      <c r="IKV158" s="53"/>
      <c r="IKW158" s="66"/>
      <c r="IKX158" s="53"/>
      <c r="ILE158" s="80"/>
      <c r="ILF158" s="80"/>
      <c r="ILG158" s="80"/>
      <c r="ILH158" s="80"/>
      <c r="ILI158" s="80"/>
      <c r="ILK158" s="80"/>
      <c r="ILL158" s="178"/>
      <c r="ILM158" s="80"/>
      <c r="ILN158" s="92"/>
      <c r="ILO158" s="53"/>
      <c r="ILP158" s="53"/>
      <c r="ILQ158" s="66"/>
      <c r="ILR158" s="53"/>
      <c r="ILY158" s="80"/>
      <c r="ILZ158" s="80"/>
      <c r="IMA158" s="80"/>
      <c r="IMB158" s="80"/>
      <c r="IMC158" s="80"/>
      <c r="IME158" s="80"/>
      <c r="IMF158" s="178"/>
      <c r="IMG158" s="80"/>
      <c r="IMH158" s="92"/>
      <c r="IMI158" s="53"/>
      <c r="IMJ158" s="53"/>
      <c r="IMK158" s="66"/>
      <c r="IML158" s="53"/>
      <c r="IMS158" s="80"/>
      <c r="IMT158" s="80"/>
      <c r="IMU158" s="80"/>
      <c r="IMV158" s="80"/>
      <c r="IMW158" s="80"/>
      <c r="IMY158" s="80"/>
      <c r="IMZ158" s="178"/>
      <c r="INA158" s="80"/>
      <c r="INB158" s="92"/>
      <c r="INC158" s="53"/>
      <c r="IND158" s="53"/>
      <c r="INE158" s="66"/>
      <c r="INF158" s="53"/>
      <c r="INM158" s="80"/>
      <c r="INN158" s="80"/>
      <c r="INO158" s="80"/>
      <c r="INP158" s="80"/>
      <c r="INQ158" s="80"/>
      <c r="INS158" s="80"/>
      <c r="INT158" s="178"/>
      <c r="INU158" s="80"/>
      <c r="INV158" s="92"/>
      <c r="INW158" s="53"/>
      <c r="INX158" s="53"/>
      <c r="INY158" s="66"/>
      <c r="INZ158" s="53"/>
      <c r="IOG158" s="80"/>
      <c r="IOH158" s="80"/>
      <c r="IOI158" s="80"/>
      <c r="IOJ158" s="80"/>
      <c r="IOK158" s="80"/>
      <c r="IOM158" s="80"/>
      <c r="ION158" s="178"/>
      <c r="IOO158" s="80"/>
      <c r="IOP158" s="92"/>
      <c r="IOQ158" s="53"/>
      <c r="IOR158" s="53"/>
      <c r="IOS158" s="66"/>
      <c r="IOT158" s="53"/>
      <c r="IPA158" s="80"/>
      <c r="IPB158" s="80"/>
      <c r="IPC158" s="80"/>
      <c r="IPD158" s="80"/>
      <c r="IPE158" s="80"/>
      <c r="IPG158" s="80"/>
      <c r="IPH158" s="178"/>
      <c r="IPI158" s="80"/>
      <c r="IPJ158" s="92"/>
      <c r="IPK158" s="53"/>
      <c r="IPL158" s="53"/>
      <c r="IPM158" s="66"/>
      <c r="IPN158" s="53"/>
      <c r="IPU158" s="80"/>
      <c r="IPV158" s="80"/>
      <c r="IPW158" s="80"/>
      <c r="IPX158" s="80"/>
      <c r="IPY158" s="80"/>
      <c r="IQA158" s="80"/>
      <c r="IQB158" s="178"/>
      <c r="IQC158" s="80"/>
      <c r="IQD158" s="92"/>
      <c r="IQE158" s="53"/>
      <c r="IQF158" s="53"/>
      <c r="IQG158" s="66"/>
      <c r="IQH158" s="53"/>
      <c r="IQO158" s="80"/>
      <c r="IQP158" s="80"/>
      <c r="IQQ158" s="80"/>
      <c r="IQR158" s="80"/>
      <c r="IQS158" s="80"/>
      <c r="IQU158" s="80"/>
      <c r="IQV158" s="178"/>
      <c r="IQW158" s="80"/>
      <c r="IQX158" s="92"/>
      <c r="IQY158" s="53"/>
      <c r="IQZ158" s="53"/>
      <c r="IRA158" s="66"/>
      <c r="IRB158" s="53"/>
      <c r="IRI158" s="80"/>
      <c r="IRJ158" s="80"/>
      <c r="IRK158" s="80"/>
      <c r="IRL158" s="80"/>
      <c r="IRM158" s="80"/>
      <c r="IRO158" s="80"/>
      <c r="IRP158" s="178"/>
      <c r="IRQ158" s="80"/>
      <c r="IRR158" s="92"/>
      <c r="IRS158" s="53"/>
      <c r="IRT158" s="53"/>
      <c r="IRU158" s="66"/>
      <c r="IRV158" s="53"/>
      <c r="ISC158" s="80"/>
      <c r="ISD158" s="80"/>
      <c r="ISE158" s="80"/>
      <c r="ISF158" s="80"/>
      <c r="ISG158" s="80"/>
      <c r="ISI158" s="80"/>
      <c r="ISJ158" s="178"/>
      <c r="ISK158" s="80"/>
      <c r="ISL158" s="92"/>
      <c r="ISM158" s="53"/>
      <c r="ISN158" s="53"/>
      <c r="ISO158" s="66"/>
      <c r="ISP158" s="53"/>
      <c r="ISW158" s="80"/>
      <c r="ISX158" s="80"/>
      <c r="ISY158" s="80"/>
      <c r="ISZ158" s="80"/>
      <c r="ITA158" s="80"/>
      <c r="ITC158" s="80"/>
      <c r="ITD158" s="178"/>
      <c r="ITE158" s="80"/>
      <c r="ITF158" s="92"/>
      <c r="ITG158" s="53"/>
      <c r="ITH158" s="53"/>
      <c r="ITI158" s="66"/>
      <c r="ITJ158" s="53"/>
      <c r="ITQ158" s="80"/>
      <c r="ITR158" s="80"/>
      <c r="ITS158" s="80"/>
      <c r="ITT158" s="80"/>
      <c r="ITU158" s="80"/>
      <c r="ITW158" s="80"/>
      <c r="ITX158" s="178"/>
      <c r="ITY158" s="80"/>
      <c r="ITZ158" s="92"/>
      <c r="IUA158" s="53"/>
      <c r="IUB158" s="53"/>
      <c r="IUC158" s="66"/>
      <c r="IUD158" s="53"/>
      <c r="IUK158" s="80"/>
      <c r="IUL158" s="80"/>
      <c r="IUM158" s="80"/>
      <c r="IUN158" s="80"/>
      <c r="IUO158" s="80"/>
      <c r="IUQ158" s="80"/>
      <c r="IUR158" s="178"/>
      <c r="IUS158" s="80"/>
      <c r="IUT158" s="92"/>
      <c r="IUU158" s="53"/>
      <c r="IUV158" s="53"/>
      <c r="IUW158" s="66"/>
      <c r="IUX158" s="53"/>
      <c r="IVE158" s="80"/>
      <c r="IVF158" s="80"/>
      <c r="IVG158" s="80"/>
      <c r="IVH158" s="80"/>
      <c r="IVI158" s="80"/>
      <c r="IVK158" s="80"/>
      <c r="IVL158" s="178"/>
      <c r="IVM158" s="80"/>
      <c r="IVN158" s="92"/>
      <c r="IVO158" s="53"/>
      <c r="IVP158" s="53"/>
      <c r="IVQ158" s="66"/>
      <c r="IVR158" s="53"/>
      <c r="IVY158" s="80"/>
      <c r="IVZ158" s="80"/>
      <c r="IWA158" s="80"/>
      <c r="IWB158" s="80"/>
      <c r="IWC158" s="80"/>
      <c r="IWE158" s="80"/>
      <c r="IWF158" s="178"/>
      <c r="IWG158" s="80"/>
      <c r="IWH158" s="92"/>
      <c r="IWI158" s="53"/>
      <c r="IWJ158" s="53"/>
      <c r="IWK158" s="66"/>
      <c r="IWL158" s="53"/>
      <c r="IWS158" s="80"/>
      <c r="IWT158" s="80"/>
      <c r="IWU158" s="80"/>
      <c r="IWV158" s="80"/>
      <c r="IWW158" s="80"/>
      <c r="IWY158" s="80"/>
      <c r="IWZ158" s="178"/>
      <c r="IXA158" s="80"/>
      <c r="IXB158" s="92"/>
      <c r="IXC158" s="53"/>
      <c r="IXD158" s="53"/>
      <c r="IXE158" s="66"/>
      <c r="IXF158" s="53"/>
      <c r="IXM158" s="80"/>
      <c r="IXN158" s="80"/>
      <c r="IXO158" s="80"/>
      <c r="IXP158" s="80"/>
      <c r="IXQ158" s="80"/>
      <c r="IXS158" s="80"/>
      <c r="IXT158" s="178"/>
      <c r="IXU158" s="80"/>
      <c r="IXV158" s="92"/>
      <c r="IXW158" s="53"/>
      <c r="IXX158" s="53"/>
      <c r="IXY158" s="66"/>
      <c r="IXZ158" s="53"/>
      <c r="IYG158" s="80"/>
      <c r="IYH158" s="80"/>
      <c r="IYI158" s="80"/>
      <c r="IYJ158" s="80"/>
      <c r="IYK158" s="80"/>
      <c r="IYM158" s="80"/>
      <c r="IYN158" s="178"/>
      <c r="IYO158" s="80"/>
      <c r="IYP158" s="92"/>
      <c r="IYQ158" s="53"/>
      <c r="IYR158" s="53"/>
      <c r="IYS158" s="66"/>
      <c r="IYT158" s="53"/>
      <c r="IZA158" s="80"/>
      <c r="IZB158" s="80"/>
      <c r="IZC158" s="80"/>
      <c r="IZD158" s="80"/>
      <c r="IZE158" s="80"/>
      <c r="IZG158" s="80"/>
      <c r="IZH158" s="178"/>
      <c r="IZI158" s="80"/>
      <c r="IZJ158" s="92"/>
      <c r="IZK158" s="53"/>
      <c r="IZL158" s="53"/>
      <c r="IZM158" s="66"/>
      <c r="IZN158" s="53"/>
      <c r="IZU158" s="80"/>
      <c r="IZV158" s="80"/>
      <c r="IZW158" s="80"/>
      <c r="IZX158" s="80"/>
      <c r="IZY158" s="80"/>
      <c r="JAA158" s="80"/>
      <c r="JAB158" s="178"/>
      <c r="JAC158" s="80"/>
      <c r="JAD158" s="92"/>
      <c r="JAE158" s="53"/>
      <c r="JAF158" s="53"/>
      <c r="JAG158" s="66"/>
      <c r="JAH158" s="53"/>
      <c r="JAO158" s="80"/>
      <c r="JAP158" s="80"/>
      <c r="JAQ158" s="80"/>
      <c r="JAR158" s="80"/>
      <c r="JAS158" s="80"/>
      <c r="JAU158" s="80"/>
      <c r="JAV158" s="178"/>
      <c r="JAW158" s="80"/>
      <c r="JAX158" s="92"/>
      <c r="JAY158" s="53"/>
      <c r="JAZ158" s="53"/>
      <c r="JBA158" s="66"/>
      <c r="JBB158" s="53"/>
      <c r="JBI158" s="80"/>
      <c r="JBJ158" s="80"/>
      <c r="JBK158" s="80"/>
      <c r="JBL158" s="80"/>
      <c r="JBM158" s="80"/>
      <c r="JBO158" s="80"/>
      <c r="JBP158" s="178"/>
      <c r="JBQ158" s="80"/>
      <c r="JBR158" s="92"/>
      <c r="JBS158" s="53"/>
      <c r="JBT158" s="53"/>
      <c r="JBU158" s="66"/>
      <c r="JBV158" s="53"/>
      <c r="JCC158" s="80"/>
      <c r="JCD158" s="80"/>
      <c r="JCE158" s="80"/>
      <c r="JCF158" s="80"/>
      <c r="JCG158" s="80"/>
      <c r="JCI158" s="80"/>
      <c r="JCJ158" s="178"/>
      <c r="JCK158" s="80"/>
      <c r="JCL158" s="92"/>
      <c r="JCM158" s="53"/>
      <c r="JCN158" s="53"/>
      <c r="JCO158" s="66"/>
      <c r="JCP158" s="53"/>
      <c r="JCW158" s="80"/>
      <c r="JCX158" s="80"/>
      <c r="JCY158" s="80"/>
      <c r="JCZ158" s="80"/>
      <c r="JDA158" s="80"/>
      <c r="JDC158" s="80"/>
      <c r="JDD158" s="178"/>
      <c r="JDE158" s="80"/>
      <c r="JDF158" s="92"/>
      <c r="JDG158" s="53"/>
      <c r="JDH158" s="53"/>
      <c r="JDI158" s="66"/>
      <c r="JDJ158" s="53"/>
      <c r="JDQ158" s="80"/>
      <c r="JDR158" s="80"/>
      <c r="JDS158" s="80"/>
      <c r="JDT158" s="80"/>
      <c r="JDU158" s="80"/>
      <c r="JDW158" s="80"/>
      <c r="JDX158" s="178"/>
      <c r="JDY158" s="80"/>
      <c r="JDZ158" s="92"/>
      <c r="JEA158" s="53"/>
      <c r="JEB158" s="53"/>
      <c r="JEC158" s="66"/>
      <c r="JED158" s="53"/>
      <c r="JEK158" s="80"/>
      <c r="JEL158" s="80"/>
      <c r="JEM158" s="80"/>
      <c r="JEN158" s="80"/>
      <c r="JEO158" s="80"/>
      <c r="JEQ158" s="80"/>
      <c r="JER158" s="178"/>
      <c r="JES158" s="80"/>
      <c r="JET158" s="92"/>
      <c r="JEU158" s="53"/>
      <c r="JEV158" s="53"/>
      <c r="JEW158" s="66"/>
      <c r="JEX158" s="53"/>
      <c r="JFE158" s="80"/>
      <c r="JFF158" s="80"/>
      <c r="JFG158" s="80"/>
      <c r="JFH158" s="80"/>
      <c r="JFI158" s="80"/>
      <c r="JFK158" s="80"/>
      <c r="JFL158" s="178"/>
      <c r="JFM158" s="80"/>
      <c r="JFN158" s="92"/>
      <c r="JFO158" s="53"/>
      <c r="JFP158" s="53"/>
      <c r="JFQ158" s="66"/>
      <c r="JFR158" s="53"/>
      <c r="JFY158" s="80"/>
      <c r="JFZ158" s="80"/>
      <c r="JGA158" s="80"/>
      <c r="JGB158" s="80"/>
      <c r="JGC158" s="80"/>
      <c r="JGE158" s="80"/>
      <c r="JGF158" s="178"/>
      <c r="JGG158" s="80"/>
      <c r="JGH158" s="92"/>
      <c r="JGI158" s="53"/>
      <c r="JGJ158" s="53"/>
      <c r="JGK158" s="66"/>
      <c r="JGL158" s="53"/>
      <c r="JGS158" s="80"/>
      <c r="JGT158" s="80"/>
      <c r="JGU158" s="80"/>
      <c r="JGV158" s="80"/>
      <c r="JGW158" s="80"/>
      <c r="JGY158" s="80"/>
      <c r="JGZ158" s="178"/>
      <c r="JHA158" s="80"/>
      <c r="JHB158" s="92"/>
      <c r="JHC158" s="53"/>
      <c r="JHD158" s="53"/>
      <c r="JHE158" s="66"/>
      <c r="JHF158" s="53"/>
      <c r="JHM158" s="80"/>
      <c r="JHN158" s="80"/>
      <c r="JHO158" s="80"/>
      <c r="JHP158" s="80"/>
      <c r="JHQ158" s="80"/>
      <c r="JHS158" s="80"/>
      <c r="JHT158" s="178"/>
      <c r="JHU158" s="80"/>
      <c r="JHV158" s="92"/>
      <c r="JHW158" s="53"/>
      <c r="JHX158" s="53"/>
      <c r="JHY158" s="66"/>
      <c r="JHZ158" s="53"/>
      <c r="JIG158" s="80"/>
      <c r="JIH158" s="80"/>
      <c r="JII158" s="80"/>
      <c r="JIJ158" s="80"/>
      <c r="JIK158" s="80"/>
      <c r="JIM158" s="80"/>
      <c r="JIN158" s="178"/>
      <c r="JIO158" s="80"/>
      <c r="JIP158" s="92"/>
      <c r="JIQ158" s="53"/>
      <c r="JIR158" s="53"/>
      <c r="JIS158" s="66"/>
      <c r="JIT158" s="53"/>
      <c r="JJA158" s="80"/>
      <c r="JJB158" s="80"/>
      <c r="JJC158" s="80"/>
      <c r="JJD158" s="80"/>
      <c r="JJE158" s="80"/>
      <c r="JJG158" s="80"/>
      <c r="JJH158" s="178"/>
      <c r="JJI158" s="80"/>
      <c r="JJJ158" s="92"/>
      <c r="JJK158" s="53"/>
      <c r="JJL158" s="53"/>
      <c r="JJM158" s="66"/>
      <c r="JJN158" s="53"/>
      <c r="JJU158" s="80"/>
      <c r="JJV158" s="80"/>
      <c r="JJW158" s="80"/>
      <c r="JJX158" s="80"/>
      <c r="JJY158" s="80"/>
      <c r="JKA158" s="80"/>
      <c r="JKB158" s="178"/>
      <c r="JKC158" s="80"/>
      <c r="JKD158" s="92"/>
      <c r="JKE158" s="53"/>
      <c r="JKF158" s="53"/>
      <c r="JKG158" s="66"/>
      <c r="JKH158" s="53"/>
      <c r="JKO158" s="80"/>
      <c r="JKP158" s="80"/>
      <c r="JKQ158" s="80"/>
      <c r="JKR158" s="80"/>
      <c r="JKS158" s="80"/>
      <c r="JKU158" s="80"/>
      <c r="JKV158" s="178"/>
      <c r="JKW158" s="80"/>
      <c r="JKX158" s="92"/>
      <c r="JKY158" s="53"/>
      <c r="JKZ158" s="53"/>
      <c r="JLA158" s="66"/>
      <c r="JLB158" s="53"/>
      <c r="JLI158" s="80"/>
      <c r="JLJ158" s="80"/>
      <c r="JLK158" s="80"/>
      <c r="JLL158" s="80"/>
      <c r="JLM158" s="80"/>
      <c r="JLO158" s="80"/>
      <c r="JLP158" s="178"/>
      <c r="JLQ158" s="80"/>
      <c r="JLR158" s="92"/>
      <c r="JLS158" s="53"/>
      <c r="JLT158" s="53"/>
      <c r="JLU158" s="66"/>
      <c r="JLV158" s="53"/>
      <c r="JMC158" s="80"/>
      <c r="JMD158" s="80"/>
      <c r="JME158" s="80"/>
      <c r="JMF158" s="80"/>
      <c r="JMG158" s="80"/>
      <c r="JMI158" s="80"/>
      <c r="JMJ158" s="178"/>
      <c r="JMK158" s="80"/>
      <c r="JML158" s="92"/>
      <c r="JMM158" s="53"/>
      <c r="JMN158" s="53"/>
      <c r="JMO158" s="66"/>
      <c r="JMP158" s="53"/>
      <c r="JMW158" s="80"/>
      <c r="JMX158" s="80"/>
      <c r="JMY158" s="80"/>
      <c r="JMZ158" s="80"/>
      <c r="JNA158" s="80"/>
      <c r="JNC158" s="80"/>
      <c r="JND158" s="178"/>
      <c r="JNE158" s="80"/>
      <c r="JNF158" s="92"/>
      <c r="JNG158" s="53"/>
      <c r="JNH158" s="53"/>
      <c r="JNI158" s="66"/>
      <c r="JNJ158" s="53"/>
      <c r="JNQ158" s="80"/>
      <c r="JNR158" s="80"/>
      <c r="JNS158" s="80"/>
      <c r="JNT158" s="80"/>
      <c r="JNU158" s="80"/>
      <c r="JNW158" s="80"/>
      <c r="JNX158" s="178"/>
      <c r="JNY158" s="80"/>
      <c r="JNZ158" s="92"/>
      <c r="JOA158" s="53"/>
      <c r="JOB158" s="53"/>
      <c r="JOC158" s="66"/>
      <c r="JOD158" s="53"/>
      <c r="JOK158" s="80"/>
      <c r="JOL158" s="80"/>
      <c r="JOM158" s="80"/>
      <c r="JON158" s="80"/>
      <c r="JOO158" s="80"/>
      <c r="JOQ158" s="80"/>
      <c r="JOR158" s="178"/>
      <c r="JOS158" s="80"/>
      <c r="JOT158" s="92"/>
      <c r="JOU158" s="53"/>
      <c r="JOV158" s="53"/>
      <c r="JOW158" s="66"/>
      <c r="JOX158" s="53"/>
      <c r="JPE158" s="80"/>
      <c r="JPF158" s="80"/>
      <c r="JPG158" s="80"/>
      <c r="JPH158" s="80"/>
      <c r="JPI158" s="80"/>
      <c r="JPK158" s="80"/>
      <c r="JPL158" s="178"/>
      <c r="JPM158" s="80"/>
      <c r="JPN158" s="92"/>
      <c r="JPO158" s="53"/>
      <c r="JPP158" s="53"/>
      <c r="JPQ158" s="66"/>
      <c r="JPR158" s="53"/>
      <c r="JPY158" s="80"/>
      <c r="JPZ158" s="80"/>
      <c r="JQA158" s="80"/>
      <c r="JQB158" s="80"/>
      <c r="JQC158" s="80"/>
      <c r="JQE158" s="80"/>
      <c r="JQF158" s="178"/>
      <c r="JQG158" s="80"/>
      <c r="JQH158" s="92"/>
      <c r="JQI158" s="53"/>
      <c r="JQJ158" s="53"/>
      <c r="JQK158" s="66"/>
      <c r="JQL158" s="53"/>
      <c r="JQS158" s="80"/>
      <c r="JQT158" s="80"/>
      <c r="JQU158" s="80"/>
      <c r="JQV158" s="80"/>
      <c r="JQW158" s="80"/>
      <c r="JQY158" s="80"/>
      <c r="JQZ158" s="178"/>
      <c r="JRA158" s="80"/>
      <c r="JRB158" s="92"/>
      <c r="JRC158" s="53"/>
      <c r="JRD158" s="53"/>
      <c r="JRE158" s="66"/>
      <c r="JRF158" s="53"/>
      <c r="JRM158" s="80"/>
      <c r="JRN158" s="80"/>
      <c r="JRO158" s="80"/>
      <c r="JRP158" s="80"/>
      <c r="JRQ158" s="80"/>
      <c r="JRS158" s="80"/>
      <c r="JRT158" s="178"/>
      <c r="JRU158" s="80"/>
      <c r="JRV158" s="92"/>
      <c r="JRW158" s="53"/>
      <c r="JRX158" s="53"/>
      <c r="JRY158" s="66"/>
      <c r="JRZ158" s="53"/>
      <c r="JSG158" s="80"/>
      <c r="JSH158" s="80"/>
      <c r="JSI158" s="80"/>
      <c r="JSJ158" s="80"/>
      <c r="JSK158" s="80"/>
      <c r="JSM158" s="80"/>
      <c r="JSN158" s="178"/>
      <c r="JSO158" s="80"/>
      <c r="JSP158" s="92"/>
      <c r="JSQ158" s="53"/>
      <c r="JSR158" s="53"/>
      <c r="JSS158" s="66"/>
      <c r="JST158" s="53"/>
      <c r="JTA158" s="80"/>
      <c r="JTB158" s="80"/>
      <c r="JTC158" s="80"/>
      <c r="JTD158" s="80"/>
      <c r="JTE158" s="80"/>
      <c r="JTG158" s="80"/>
      <c r="JTH158" s="178"/>
      <c r="JTI158" s="80"/>
      <c r="JTJ158" s="92"/>
      <c r="JTK158" s="53"/>
      <c r="JTL158" s="53"/>
      <c r="JTM158" s="66"/>
      <c r="JTN158" s="53"/>
      <c r="JTU158" s="80"/>
      <c r="JTV158" s="80"/>
      <c r="JTW158" s="80"/>
      <c r="JTX158" s="80"/>
      <c r="JTY158" s="80"/>
      <c r="JUA158" s="80"/>
      <c r="JUB158" s="178"/>
      <c r="JUC158" s="80"/>
      <c r="JUD158" s="92"/>
      <c r="JUE158" s="53"/>
      <c r="JUF158" s="53"/>
      <c r="JUG158" s="66"/>
      <c r="JUH158" s="53"/>
      <c r="JUO158" s="80"/>
      <c r="JUP158" s="80"/>
      <c r="JUQ158" s="80"/>
      <c r="JUR158" s="80"/>
      <c r="JUS158" s="80"/>
      <c r="JUU158" s="80"/>
      <c r="JUV158" s="178"/>
      <c r="JUW158" s="80"/>
      <c r="JUX158" s="92"/>
      <c r="JUY158" s="53"/>
      <c r="JUZ158" s="53"/>
      <c r="JVA158" s="66"/>
      <c r="JVB158" s="53"/>
      <c r="JVI158" s="80"/>
      <c r="JVJ158" s="80"/>
      <c r="JVK158" s="80"/>
      <c r="JVL158" s="80"/>
      <c r="JVM158" s="80"/>
      <c r="JVO158" s="80"/>
      <c r="JVP158" s="178"/>
      <c r="JVQ158" s="80"/>
      <c r="JVR158" s="92"/>
      <c r="JVS158" s="53"/>
      <c r="JVT158" s="53"/>
      <c r="JVU158" s="66"/>
      <c r="JVV158" s="53"/>
      <c r="JWC158" s="80"/>
      <c r="JWD158" s="80"/>
      <c r="JWE158" s="80"/>
      <c r="JWF158" s="80"/>
      <c r="JWG158" s="80"/>
      <c r="JWI158" s="80"/>
      <c r="JWJ158" s="178"/>
      <c r="JWK158" s="80"/>
      <c r="JWL158" s="92"/>
      <c r="JWM158" s="53"/>
      <c r="JWN158" s="53"/>
      <c r="JWO158" s="66"/>
      <c r="JWP158" s="53"/>
      <c r="JWW158" s="80"/>
      <c r="JWX158" s="80"/>
      <c r="JWY158" s="80"/>
      <c r="JWZ158" s="80"/>
      <c r="JXA158" s="80"/>
      <c r="JXC158" s="80"/>
      <c r="JXD158" s="178"/>
      <c r="JXE158" s="80"/>
      <c r="JXF158" s="92"/>
      <c r="JXG158" s="53"/>
      <c r="JXH158" s="53"/>
      <c r="JXI158" s="66"/>
      <c r="JXJ158" s="53"/>
      <c r="JXQ158" s="80"/>
      <c r="JXR158" s="80"/>
      <c r="JXS158" s="80"/>
      <c r="JXT158" s="80"/>
      <c r="JXU158" s="80"/>
      <c r="JXW158" s="80"/>
      <c r="JXX158" s="178"/>
      <c r="JXY158" s="80"/>
      <c r="JXZ158" s="92"/>
      <c r="JYA158" s="53"/>
      <c r="JYB158" s="53"/>
      <c r="JYC158" s="66"/>
      <c r="JYD158" s="53"/>
      <c r="JYK158" s="80"/>
      <c r="JYL158" s="80"/>
      <c r="JYM158" s="80"/>
      <c r="JYN158" s="80"/>
      <c r="JYO158" s="80"/>
      <c r="JYQ158" s="80"/>
      <c r="JYR158" s="178"/>
      <c r="JYS158" s="80"/>
      <c r="JYT158" s="92"/>
      <c r="JYU158" s="53"/>
      <c r="JYV158" s="53"/>
      <c r="JYW158" s="66"/>
      <c r="JYX158" s="53"/>
      <c r="JZE158" s="80"/>
      <c r="JZF158" s="80"/>
      <c r="JZG158" s="80"/>
      <c r="JZH158" s="80"/>
      <c r="JZI158" s="80"/>
      <c r="JZK158" s="80"/>
      <c r="JZL158" s="178"/>
      <c r="JZM158" s="80"/>
      <c r="JZN158" s="92"/>
      <c r="JZO158" s="53"/>
      <c r="JZP158" s="53"/>
      <c r="JZQ158" s="66"/>
      <c r="JZR158" s="53"/>
      <c r="JZY158" s="80"/>
      <c r="JZZ158" s="80"/>
      <c r="KAA158" s="80"/>
      <c r="KAB158" s="80"/>
      <c r="KAC158" s="80"/>
      <c r="KAE158" s="80"/>
      <c r="KAF158" s="178"/>
      <c r="KAG158" s="80"/>
      <c r="KAH158" s="92"/>
      <c r="KAI158" s="53"/>
      <c r="KAJ158" s="53"/>
      <c r="KAK158" s="66"/>
      <c r="KAL158" s="53"/>
      <c r="KAS158" s="80"/>
      <c r="KAT158" s="80"/>
      <c r="KAU158" s="80"/>
      <c r="KAV158" s="80"/>
      <c r="KAW158" s="80"/>
      <c r="KAY158" s="80"/>
      <c r="KAZ158" s="178"/>
      <c r="KBA158" s="80"/>
      <c r="KBB158" s="92"/>
      <c r="KBC158" s="53"/>
      <c r="KBD158" s="53"/>
      <c r="KBE158" s="66"/>
      <c r="KBF158" s="53"/>
      <c r="KBM158" s="80"/>
      <c r="KBN158" s="80"/>
      <c r="KBO158" s="80"/>
      <c r="KBP158" s="80"/>
      <c r="KBQ158" s="80"/>
      <c r="KBS158" s="80"/>
      <c r="KBT158" s="178"/>
      <c r="KBU158" s="80"/>
      <c r="KBV158" s="92"/>
      <c r="KBW158" s="53"/>
      <c r="KBX158" s="53"/>
      <c r="KBY158" s="66"/>
      <c r="KBZ158" s="53"/>
      <c r="KCG158" s="80"/>
      <c r="KCH158" s="80"/>
      <c r="KCI158" s="80"/>
      <c r="KCJ158" s="80"/>
      <c r="KCK158" s="80"/>
      <c r="KCM158" s="80"/>
      <c r="KCN158" s="178"/>
      <c r="KCO158" s="80"/>
      <c r="KCP158" s="92"/>
      <c r="KCQ158" s="53"/>
      <c r="KCR158" s="53"/>
      <c r="KCS158" s="66"/>
      <c r="KCT158" s="53"/>
      <c r="KDA158" s="80"/>
      <c r="KDB158" s="80"/>
      <c r="KDC158" s="80"/>
      <c r="KDD158" s="80"/>
      <c r="KDE158" s="80"/>
      <c r="KDG158" s="80"/>
      <c r="KDH158" s="178"/>
      <c r="KDI158" s="80"/>
      <c r="KDJ158" s="92"/>
      <c r="KDK158" s="53"/>
      <c r="KDL158" s="53"/>
      <c r="KDM158" s="66"/>
      <c r="KDN158" s="53"/>
      <c r="KDU158" s="80"/>
      <c r="KDV158" s="80"/>
      <c r="KDW158" s="80"/>
      <c r="KDX158" s="80"/>
      <c r="KDY158" s="80"/>
      <c r="KEA158" s="80"/>
      <c r="KEB158" s="178"/>
      <c r="KEC158" s="80"/>
      <c r="KED158" s="92"/>
      <c r="KEE158" s="53"/>
      <c r="KEF158" s="53"/>
      <c r="KEG158" s="66"/>
      <c r="KEH158" s="53"/>
      <c r="KEO158" s="80"/>
      <c r="KEP158" s="80"/>
      <c r="KEQ158" s="80"/>
      <c r="KER158" s="80"/>
      <c r="KES158" s="80"/>
      <c r="KEU158" s="80"/>
      <c r="KEV158" s="178"/>
      <c r="KEW158" s="80"/>
      <c r="KEX158" s="92"/>
      <c r="KEY158" s="53"/>
      <c r="KEZ158" s="53"/>
      <c r="KFA158" s="66"/>
      <c r="KFB158" s="53"/>
      <c r="KFI158" s="80"/>
      <c r="KFJ158" s="80"/>
      <c r="KFK158" s="80"/>
      <c r="KFL158" s="80"/>
      <c r="KFM158" s="80"/>
      <c r="KFO158" s="80"/>
      <c r="KFP158" s="178"/>
      <c r="KFQ158" s="80"/>
      <c r="KFR158" s="92"/>
      <c r="KFS158" s="53"/>
      <c r="KFT158" s="53"/>
      <c r="KFU158" s="66"/>
      <c r="KFV158" s="53"/>
      <c r="KGC158" s="80"/>
      <c r="KGD158" s="80"/>
      <c r="KGE158" s="80"/>
      <c r="KGF158" s="80"/>
      <c r="KGG158" s="80"/>
      <c r="KGI158" s="80"/>
      <c r="KGJ158" s="178"/>
      <c r="KGK158" s="80"/>
      <c r="KGL158" s="92"/>
      <c r="KGM158" s="53"/>
      <c r="KGN158" s="53"/>
      <c r="KGO158" s="66"/>
      <c r="KGP158" s="53"/>
      <c r="KGW158" s="80"/>
      <c r="KGX158" s="80"/>
      <c r="KGY158" s="80"/>
      <c r="KGZ158" s="80"/>
      <c r="KHA158" s="80"/>
      <c r="KHC158" s="80"/>
      <c r="KHD158" s="178"/>
      <c r="KHE158" s="80"/>
      <c r="KHF158" s="92"/>
      <c r="KHG158" s="53"/>
      <c r="KHH158" s="53"/>
      <c r="KHI158" s="66"/>
      <c r="KHJ158" s="53"/>
      <c r="KHQ158" s="80"/>
      <c r="KHR158" s="80"/>
      <c r="KHS158" s="80"/>
      <c r="KHT158" s="80"/>
      <c r="KHU158" s="80"/>
      <c r="KHW158" s="80"/>
      <c r="KHX158" s="178"/>
      <c r="KHY158" s="80"/>
      <c r="KHZ158" s="92"/>
      <c r="KIA158" s="53"/>
      <c r="KIB158" s="53"/>
      <c r="KIC158" s="66"/>
      <c r="KID158" s="53"/>
      <c r="KIK158" s="80"/>
      <c r="KIL158" s="80"/>
      <c r="KIM158" s="80"/>
      <c r="KIN158" s="80"/>
      <c r="KIO158" s="80"/>
      <c r="KIQ158" s="80"/>
      <c r="KIR158" s="178"/>
      <c r="KIS158" s="80"/>
      <c r="KIT158" s="92"/>
      <c r="KIU158" s="53"/>
      <c r="KIV158" s="53"/>
      <c r="KIW158" s="66"/>
      <c r="KIX158" s="53"/>
      <c r="KJE158" s="80"/>
      <c r="KJF158" s="80"/>
      <c r="KJG158" s="80"/>
      <c r="KJH158" s="80"/>
      <c r="KJI158" s="80"/>
      <c r="KJK158" s="80"/>
      <c r="KJL158" s="178"/>
      <c r="KJM158" s="80"/>
      <c r="KJN158" s="92"/>
      <c r="KJO158" s="53"/>
      <c r="KJP158" s="53"/>
      <c r="KJQ158" s="66"/>
      <c r="KJR158" s="53"/>
      <c r="KJY158" s="80"/>
      <c r="KJZ158" s="80"/>
      <c r="KKA158" s="80"/>
      <c r="KKB158" s="80"/>
      <c r="KKC158" s="80"/>
      <c r="KKE158" s="80"/>
      <c r="KKF158" s="178"/>
      <c r="KKG158" s="80"/>
      <c r="KKH158" s="92"/>
      <c r="KKI158" s="53"/>
      <c r="KKJ158" s="53"/>
      <c r="KKK158" s="66"/>
      <c r="KKL158" s="53"/>
      <c r="KKS158" s="80"/>
      <c r="KKT158" s="80"/>
      <c r="KKU158" s="80"/>
      <c r="KKV158" s="80"/>
      <c r="KKW158" s="80"/>
      <c r="KKY158" s="80"/>
      <c r="KKZ158" s="178"/>
      <c r="KLA158" s="80"/>
      <c r="KLB158" s="92"/>
      <c r="KLC158" s="53"/>
      <c r="KLD158" s="53"/>
      <c r="KLE158" s="66"/>
      <c r="KLF158" s="53"/>
      <c r="KLM158" s="80"/>
      <c r="KLN158" s="80"/>
      <c r="KLO158" s="80"/>
      <c r="KLP158" s="80"/>
      <c r="KLQ158" s="80"/>
      <c r="KLS158" s="80"/>
      <c r="KLT158" s="178"/>
      <c r="KLU158" s="80"/>
      <c r="KLV158" s="92"/>
      <c r="KLW158" s="53"/>
      <c r="KLX158" s="53"/>
      <c r="KLY158" s="66"/>
      <c r="KLZ158" s="53"/>
      <c r="KMG158" s="80"/>
      <c r="KMH158" s="80"/>
      <c r="KMI158" s="80"/>
      <c r="KMJ158" s="80"/>
      <c r="KMK158" s="80"/>
      <c r="KMM158" s="80"/>
      <c r="KMN158" s="178"/>
      <c r="KMO158" s="80"/>
      <c r="KMP158" s="92"/>
      <c r="KMQ158" s="53"/>
      <c r="KMR158" s="53"/>
      <c r="KMS158" s="66"/>
      <c r="KMT158" s="53"/>
      <c r="KNA158" s="80"/>
      <c r="KNB158" s="80"/>
      <c r="KNC158" s="80"/>
      <c r="KND158" s="80"/>
      <c r="KNE158" s="80"/>
      <c r="KNG158" s="80"/>
      <c r="KNH158" s="178"/>
      <c r="KNI158" s="80"/>
      <c r="KNJ158" s="92"/>
      <c r="KNK158" s="53"/>
      <c r="KNL158" s="53"/>
      <c r="KNM158" s="66"/>
      <c r="KNN158" s="53"/>
      <c r="KNU158" s="80"/>
      <c r="KNV158" s="80"/>
      <c r="KNW158" s="80"/>
      <c r="KNX158" s="80"/>
      <c r="KNY158" s="80"/>
      <c r="KOA158" s="80"/>
      <c r="KOB158" s="178"/>
      <c r="KOC158" s="80"/>
      <c r="KOD158" s="92"/>
      <c r="KOE158" s="53"/>
      <c r="KOF158" s="53"/>
      <c r="KOG158" s="66"/>
      <c r="KOH158" s="53"/>
      <c r="KOO158" s="80"/>
      <c r="KOP158" s="80"/>
      <c r="KOQ158" s="80"/>
      <c r="KOR158" s="80"/>
      <c r="KOS158" s="80"/>
      <c r="KOU158" s="80"/>
      <c r="KOV158" s="178"/>
      <c r="KOW158" s="80"/>
      <c r="KOX158" s="92"/>
      <c r="KOY158" s="53"/>
      <c r="KOZ158" s="53"/>
      <c r="KPA158" s="66"/>
      <c r="KPB158" s="53"/>
      <c r="KPI158" s="80"/>
      <c r="KPJ158" s="80"/>
      <c r="KPK158" s="80"/>
      <c r="KPL158" s="80"/>
      <c r="KPM158" s="80"/>
      <c r="KPO158" s="80"/>
      <c r="KPP158" s="178"/>
      <c r="KPQ158" s="80"/>
      <c r="KPR158" s="92"/>
      <c r="KPS158" s="53"/>
      <c r="KPT158" s="53"/>
      <c r="KPU158" s="66"/>
      <c r="KPV158" s="53"/>
      <c r="KQC158" s="80"/>
      <c r="KQD158" s="80"/>
      <c r="KQE158" s="80"/>
      <c r="KQF158" s="80"/>
      <c r="KQG158" s="80"/>
      <c r="KQI158" s="80"/>
      <c r="KQJ158" s="178"/>
      <c r="KQK158" s="80"/>
      <c r="KQL158" s="92"/>
      <c r="KQM158" s="53"/>
      <c r="KQN158" s="53"/>
      <c r="KQO158" s="66"/>
      <c r="KQP158" s="53"/>
      <c r="KQW158" s="80"/>
      <c r="KQX158" s="80"/>
      <c r="KQY158" s="80"/>
      <c r="KQZ158" s="80"/>
      <c r="KRA158" s="80"/>
      <c r="KRC158" s="80"/>
      <c r="KRD158" s="178"/>
      <c r="KRE158" s="80"/>
      <c r="KRF158" s="92"/>
      <c r="KRG158" s="53"/>
      <c r="KRH158" s="53"/>
      <c r="KRI158" s="66"/>
      <c r="KRJ158" s="53"/>
      <c r="KRQ158" s="80"/>
      <c r="KRR158" s="80"/>
      <c r="KRS158" s="80"/>
      <c r="KRT158" s="80"/>
      <c r="KRU158" s="80"/>
      <c r="KRW158" s="80"/>
      <c r="KRX158" s="178"/>
      <c r="KRY158" s="80"/>
      <c r="KRZ158" s="92"/>
      <c r="KSA158" s="53"/>
      <c r="KSB158" s="53"/>
      <c r="KSC158" s="66"/>
      <c r="KSD158" s="53"/>
      <c r="KSK158" s="80"/>
      <c r="KSL158" s="80"/>
      <c r="KSM158" s="80"/>
      <c r="KSN158" s="80"/>
      <c r="KSO158" s="80"/>
      <c r="KSQ158" s="80"/>
      <c r="KSR158" s="178"/>
      <c r="KSS158" s="80"/>
      <c r="KST158" s="92"/>
      <c r="KSU158" s="53"/>
      <c r="KSV158" s="53"/>
      <c r="KSW158" s="66"/>
      <c r="KSX158" s="53"/>
      <c r="KTE158" s="80"/>
      <c r="KTF158" s="80"/>
      <c r="KTG158" s="80"/>
      <c r="KTH158" s="80"/>
      <c r="KTI158" s="80"/>
      <c r="KTK158" s="80"/>
      <c r="KTL158" s="178"/>
      <c r="KTM158" s="80"/>
      <c r="KTN158" s="92"/>
      <c r="KTO158" s="53"/>
      <c r="KTP158" s="53"/>
      <c r="KTQ158" s="66"/>
      <c r="KTR158" s="53"/>
      <c r="KTY158" s="80"/>
      <c r="KTZ158" s="80"/>
      <c r="KUA158" s="80"/>
      <c r="KUB158" s="80"/>
      <c r="KUC158" s="80"/>
      <c r="KUE158" s="80"/>
      <c r="KUF158" s="178"/>
      <c r="KUG158" s="80"/>
      <c r="KUH158" s="92"/>
      <c r="KUI158" s="53"/>
      <c r="KUJ158" s="53"/>
      <c r="KUK158" s="66"/>
      <c r="KUL158" s="53"/>
      <c r="KUS158" s="80"/>
      <c r="KUT158" s="80"/>
      <c r="KUU158" s="80"/>
      <c r="KUV158" s="80"/>
      <c r="KUW158" s="80"/>
      <c r="KUY158" s="80"/>
      <c r="KUZ158" s="178"/>
      <c r="KVA158" s="80"/>
      <c r="KVB158" s="92"/>
      <c r="KVC158" s="53"/>
      <c r="KVD158" s="53"/>
      <c r="KVE158" s="66"/>
      <c r="KVF158" s="53"/>
      <c r="KVM158" s="80"/>
      <c r="KVN158" s="80"/>
      <c r="KVO158" s="80"/>
      <c r="KVP158" s="80"/>
      <c r="KVQ158" s="80"/>
      <c r="KVS158" s="80"/>
      <c r="KVT158" s="178"/>
      <c r="KVU158" s="80"/>
      <c r="KVV158" s="92"/>
      <c r="KVW158" s="53"/>
      <c r="KVX158" s="53"/>
      <c r="KVY158" s="66"/>
      <c r="KVZ158" s="53"/>
      <c r="KWG158" s="80"/>
      <c r="KWH158" s="80"/>
      <c r="KWI158" s="80"/>
      <c r="KWJ158" s="80"/>
      <c r="KWK158" s="80"/>
      <c r="KWM158" s="80"/>
      <c r="KWN158" s="178"/>
      <c r="KWO158" s="80"/>
      <c r="KWP158" s="92"/>
      <c r="KWQ158" s="53"/>
      <c r="KWR158" s="53"/>
      <c r="KWS158" s="66"/>
      <c r="KWT158" s="53"/>
      <c r="KXA158" s="80"/>
      <c r="KXB158" s="80"/>
      <c r="KXC158" s="80"/>
      <c r="KXD158" s="80"/>
      <c r="KXE158" s="80"/>
      <c r="KXG158" s="80"/>
      <c r="KXH158" s="178"/>
      <c r="KXI158" s="80"/>
      <c r="KXJ158" s="92"/>
      <c r="KXK158" s="53"/>
      <c r="KXL158" s="53"/>
      <c r="KXM158" s="66"/>
      <c r="KXN158" s="53"/>
      <c r="KXU158" s="80"/>
      <c r="KXV158" s="80"/>
      <c r="KXW158" s="80"/>
      <c r="KXX158" s="80"/>
      <c r="KXY158" s="80"/>
      <c r="KYA158" s="80"/>
      <c r="KYB158" s="178"/>
      <c r="KYC158" s="80"/>
      <c r="KYD158" s="92"/>
      <c r="KYE158" s="53"/>
      <c r="KYF158" s="53"/>
      <c r="KYG158" s="66"/>
      <c r="KYH158" s="53"/>
      <c r="KYO158" s="80"/>
      <c r="KYP158" s="80"/>
      <c r="KYQ158" s="80"/>
      <c r="KYR158" s="80"/>
      <c r="KYS158" s="80"/>
      <c r="KYU158" s="80"/>
      <c r="KYV158" s="178"/>
      <c r="KYW158" s="80"/>
      <c r="KYX158" s="92"/>
      <c r="KYY158" s="53"/>
      <c r="KYZ158" s="53"/>
      <c r="KZA158" s="66"/>
      <c r="KZB158" s="53"/>
      <c r="KZI158" s="80"/>
      <c r="KZJ158" s="80"/>
      <c r="KZK158" s="80"/>
      <c r="KZL158" s="80"/>
      <c r="KZM158" s="80"/>
      <c r="KZO158" s="80"/>
      <c r="KZP158" s="178"/>
      <c r="KZQ158" s="80"/>
      <c r="KZR158" s="92"/>
      <c r="KZS158" s="53"/>
      <c r="KZT158" s="53"/>
      <c r="KZU158" s="66"/>
      <c r="KZV158" s="53"/>
      <c r="LAC158" s="80"/>
      <c r="LAD158" s="80"/>
      <c r="LAE158" s="80"/>
      <c r="LAF158" s="80"/>
      <c r="LAG158" s="80"/>
      <c r="LAI158" s="80"/>
      <c r="LAJ158" s="178"/>
      <c r="LAK158" s="80"/>
      <c r="LAL158" s="92"/>
      <c r="LAM158" s="53"/>
      <c r="LAN158" s="53"/>
      <c r="LAO158" s="66"/>
      <c r="LAP158" s="53"/>
      <c r="LAW158" s="80"/>
      <c r="LAX158" s="80"/>
      <c r="LAY158" s="80"/>
      <c r="LAZ158" s="80"/>
      <c r="LBA158" s="80"/>
      <c r="LBC158" s="80"/>
      <c r="LBD158" s="178"/>
      <c r="LBE158" s="80"/>
      <c r="LBF158" s="92"/>
      <c r="LBG158" s="53"/>
      <c r="LBH158" s="53"/>
      <c r="LBI158" s="66"/>
      <c r="LBJ158" s="53"/>
      <c r="LBQ158" s="80"/>
      <c r="LBR158" s="80"/>
      <c r="LBS158" s="80"/>
      <c r="LBT158" s="80"/>
      <c r="LBU158" s="80"/>
      <c r="LBW158" s="80"/>
      <c r="LBX158" s="178"/>
      <c r="LBY158" s="80"/>
      <c r="LBZ158" s="92"/>
      <c r="LCA158" s="53"/>
      <c r="LCB158" s="53"/>
      <c r="LCC158" s="66"/>
      <c r="LCD158" s="53"/>
      <c r="LCK158" s="80"/>
      <c r="LCL158" s="80"/>
      <c r="LCM158" s="80"/>
      <c r="LCN158" s="80"/>
      <c r="LCO158" s="80"/>
      <c r="LCQ158" s="80"/>
      <c r="LCR158" s="178"/>
      <c r="LCS158" s="80"/>
      <c r="LCT158" s="92"/>
      <c r="LCU158" s="53"/>
      <c r="LCV158" s="53"/>
      <c r="LCW158" s="66"/>
      <c r="LCX158" s="53"/>
      <c r="LDE158" s="80"/>
      <c r="LDF158" s="80"/>
      <c r="LDG158" s="80"/>
      <c r="LDH158" s="80"/>
      <c r="LDI158" s="80"/>
      <c r="LDK158" s="80"/>
      <c r="LDL158" s="178"/>
      <c r="LDM158" s="80"/>
      <c r="LDN158" s="92"/>
      <c r="LDO158" s="53"/>
      <c r="LDP158" s="53"/>
      <c r="LDQ158" s="66"/>
      <c r="LDR158" s="53"/>
      <c r="LDY158" s="80"/>
      <c r="LDZ158" s="80"/>
      <c r="LEA158" s="80"/>
      <c r="LEB158" s="80"/>
      <c r="LEC158" s="80"/>
      <c r="LEE158" s="80"/>
      <c r="LEF158" s="178"/>
      <c r="LEG158" s="80"/>
      <c r="LEH158" s="92"/>
      <c r="LEI158" s="53"/>
      <c r="LEJ158" s="53"/>
      <c r="LEK158" s="66"/>
      <c r="LEL158" s="53"/>
      <c r="LES158" s="80"/>
      <c r="LET158" s="80"/>
      <c r="LEU158" s="80"/>
      <c r="LEV158" s="80"/>
      <c r="LEW158" s="80"/>
      <c r="LEY158" s="80"/>
      <c r="LEZ158" s="178"/>
      <c r="LFA158" s="80"/>
      <c r="LFB158" s="92"/>
      <c r="LFC158" s="53"/>
      <c r="LFD158" s="53"/>
      <c r="LFE158" s="66"/>
      <c r="LFF158" s="53"/>
      <c r="LFM158" s="80"/>
      <c r="LFN158" s="80"/>
      <c r="LFO158" s="80"/>
      <c r="LFP158" s="80"/>
      <c r="LFQ158" s="80"/>
      <c r="LFS158" s="80"/>
      <c r="LFT158" s="178"/>
      <c r="LFU158" s="80"/>
      <c r="LFV158" s="92"/>
      <c r="LFW158" s="53"/>
      <c r="LFX158" s="53"/>
      <c r="LFY158" s="66"/>
      <c r="LFZ158" s="53"/>
      <c r="LGG158" s="80"/>
      <c r="LGH158" s="80"/>
      <c r="LGI158" s="80"/>
      <c r="LGJ158" s="80"/>
      <c r="LGK158" s="80"/>
      <c r="LGM158" s="80"/>
      <c r="LGN158" s="178"/>
      <c r="LGO158" s="80"/>
      <c r="LGP158" s="92"/>
      <c r="LGQ158" s="53"/>
      <c r="LGR158" s="53"/>
      <c r="LGS158" s="66"/>
      <c r="LGT158" s="53"/>
      <c r="LHA158" s="80"/>
      <c r="LHB158" s="80"/>
      <c r="LHC158" s="80"/>
      <c r="LHD158" s="80"/>
      <c r="LHE158" s="80"/>
      <c r="LHG158" s="80"/>
      <c r="LHH158" s="178"/>
      <c r="LHI158" s="80"/>
      <c r="LHJ158" s="92"/>
      <c r="LHK158" s="53"/>
      <c r="LHL158" s="53"/>
      <c r="LHM158" s="66"/>
      <c r="LHN158" s="53"/>
      <c r="LHU158" s="80"/>
      <c r="LHV158" s="80"/>
      <c r="LHW158" s="80"/>
      <c r="LHX158" s="80"/>
      <c r="LHY158" s="80"/>
      <c r="LIA158" s="80"/>
      <c r="LIB158" s="178"/>
      <c r="LIC158" s="80"/>
      <c r="LID158" s="92"/>
      <c r="LIE158" s="53"/>
      <c r="LIF158" s="53"/>
      <c r="LIG158" s="66"/>
      <c r="LIH158" s="53"/>
      <c r="LIO158" s="80"/>
      <c r="LIP158" s="80"/>
      <c r="LIQ158" s="80"/>
      <c r="LIR158" s="80"/>
      <c r="LIS158" s="80"/>
      <c r="LIU158" s="80"/>
      <c r="LIV158" s="178"/>
      <c r="LIW158" s="80"/>
      <c r="LIX158" s="92"/>
      <c r="LIY158" s="53"/>
      <c r="LIZ158" s="53"/>
      <c r="LJA158" s="66"/>
      <c r="LJB158" s="53"/>
      <c r="LJI158" s="80"/>
      <c r="LJJ158" s="80"/>
      <c r="LJK158" s="80"/>
      <c r="LJL158" s="80"/>
      <c r="LJM158" s="80"/>
      <c r="LJO158" s="80"/>
      <c r="LJP158" s="178"/>
      <c r="LJQ158" s="80"/>
      <c r="LJR158" s="92"/>
      <c r="LJS158" s="53"/>
      <c r="LJT158" s="53"/>
      <c r="LJU158" s="66"/>
      <c r="LJV158" s="53"/>
      <c r="LKC158" s="80"/>
      <c r="LKD158" s="80"/>
      <c r="LKE158" s="80"/>
      <c r="LKF158" s="80"/>
      <c r="LKG158" s="80"/>
      <c r="LKI158" s="80"/>
      <c r="LKJ158" s="178"/>
      <c r="LKK158" s="80"/>
      <c r="LKL158" s="92"/>
      <c r="LKM158" s="53"/>
      <c r="LKN158" s="53"/>
      <c r="LKO158" s="66"/>
      <c r="LKP158" s="53"/>
      <c r="LKW158" s="80"/>
      <c r="LKX158" s="80"/>
      <c r="LKY158" s="80"/>
      <c r="LKZ158" s="80"/>
      <c r="LLA158" s="80"/>
      <c r="LLC158" s="80"/>
      <c r="LLD158" s="178"/>
      <c r="LLE158" s="80"/>
      <c r="LLF158" s="92"/>
      <c r="LLG158" s="53"/>
      <c r="LLH158" s="53"/>
      <c r="LLI158" s="66"/>
      <c r="LLJ158" s="53"/>
      <c r="LLQ158" s="80"/>
      <c r="LLR158" s="80"/>
      <c r="LLS158" s="80"/>
      <c r="LLT158" s="80"/>
      <c r="LLU158" s="80"/>
      <c r="LLW158" s="80"/>
      <c r="LLX158" s="178"/>
      <c r="LLY158" s="80"/>
      <c r="LLZ158" s="92"/>
      <c r="LMA158" s="53"/>
      <c r="LMB158" s="53"/>
      <c r="LMC158" s="66"/>
      <c r="LMD158" s="53"/>
      <c r="LMK158" s="80"/>
      <c r="LML158" s="80"/>
      <c r="LMM158" s="80"/>
      <c r="LMN158" s="80"/>
      <c r="LMO158" s="80"/>
      <c r="LMQ158" s="80"/>
      <c r="LMR158" s="178"/>
      <c r="LMS158" s="80"/>
      <c r="LMT158" s="92"/>
      <c r="LMU158" s="53"/>
      <c r="LMV158" s="53"/>
      <c r="LMW158" s="66"/>
      <c r="LMX158" s="53"/>
      <c r="LNE158" s="80"/>
      <c r="LNF158" s="80"/>
      <c r="LNG158" s="80"/>
      <c r="LNH158" s="80"/>
      <c r="LNI158" s="80"/>
      <c r="LNK158" s="80"/>
      <c r="LNL158" s="178"/>
      <c r="LNM158" s="80"/>
      <c r="LNN158" s="92"/>
      <c r="LNO158" s="53"/>
      <c r="LNP158" s="53"/>
      <c r="LNQ158" s="66"/>
      <c r="LNR158" s="53"/>
      <c r="LNY158" s="80"/>
      <c r="LNZ158" s="80"/>
      <c r="LOA158" s="80"/>
      <c r="LOB158" s="80"/>
      <c r="LOC158" s="80"/>
      <c r="LOE158" s="80"/>
      <c r="LOF158" s="178"/>
      <c r="LOG158" s="80"/>
      <c r="LOH158" s="92"/>
      <c r="LOI158" s="53"/>
      <c r="LOJ158" s="53"/>
      <c r="LOK158" s="66"/>
      <c r="LOL158" s="53"/>
      <c r="LOS158" s="80"/>
      <c r="LOT158" s="80"/>
      <c r="LOU158" s="80"/>
      <c r="LOV158" s="80"/>
      <c r="LOW158" s="80"/>
      <c r="LOY158" s="80"/>
      <c r="LOZ158" s="178"/>
      <c r="LPA158" s="80"/>
      <c r="LPB158" s="92"/>
      <c r="LPC158" s="53"/>
      <c r="LPD158" s="53"/>
      <c r="LPE158" s="66"/>
      <c r="LPF158" s="53"/>
      <c r="LPM158" s="80"/>
      <c r="LPN158" s="80"/>
      <c r="LPO158" s="80"/>
      <c r="LPP158" s="80"/>
      <c r="LPQ158" s="80"/>
      <c r="LPS158" s="80"/>
      <c r="LPT158" s="178"/>
      <c r="LPU158" s="80"/>
      <c r="LPV158" s="92"/>
      <c r="LPW158" s="53"/>
      <c r="LPX158" s="53"/>
      <c r="LPY158" s="66"/>
      <c r="LPZ158" s="53"/>
      <c r="LQG158" s="80"/>
      <c r="LQH158" s="80"/>
      <c r="LQI158" s="80"/>
      <c r="LQJ158" s="80"/>
      <c r="LQK158" s="80"/>
      <c r="LQM158" s="80"/>
      <c r="LQN158" s="178"/>
      <c r="LQO158" s="80"/>
      <c r="LQP158" s="92"/>
      <c r="LQQ158" s="53"/>
      <c r="LQR158" s="53"/>
      <c r="LQS158" s="66"/>
      <c r="LQT158" s="53"/>
      <c r="LRA158" s="80"/>
      <c r="LRB158" s="80"/>
      <c r="LRC158" s="80"/>
      <c r="LRD158" s="80"/>
      <c r="LRE158" s="80"/>
      <c r="LRG158" s="80"/>
      <c r="LRH158" s="178"/>
      <c r="LRI158" s="80"/>
      <c r="LRJ158" s="92"/>
      <c r="LRK158" s="53"/>
      <c r="LRL158" s="53"/>
      <c r="LRM158" s="66"/>
      <c r="LRN158" s="53"/>
      <c r="LRU158" s="80"/>
      <c r="LRV158" s="80"/>
      <c r="LRW158" s="80"/>
      <c r="LRX158" s="80"/>
      <c r="LRY158" s="80"/>
      <c r="LSA158" s="80"/>
      <c r="LSB158" s="178"/>
      <c r="LSC158" s="80"/>
      <c r="LSD158" s="92"/>
      <c r="LSE158" s="53"/>
      <c r="LSF158" s="53"/>
      <c r="LSG158" s="66"/>
      <c r="LSH158" s="53"/>
      <c r="LSO158" s="80"/>
      <c r="LSP158" s="80"/>
      <c r="LSQ158" s="80"/>
      <c r="LSR158" s="80"/>
      <c r="LSS158" s="80"/>
      <c r="LSU158" s="80"/>
      <c r="LSV158" s="178"/>
      <c r="LSW158" s="80"/>
      <c r="LSX158" s="92"/>
      <c r="LSY158" s="53"/>
      <c r="LSZ158" s="53"/>
      <c r="LTA158" s="66"/>
      <c r="LTB158" s="53"/>
      <c r="LTI158" s="80"/>
      <c r="LTJ158" s="80"/>
      <c r="LTK158" s="80"/>
      <c r="LTL158" s="80"/>
      <c r="LTM158" s="80"/>
      <c r="LTO158" s="80"/>
      <c r="LTP158" s="178"/>
      <c r="LTQ158" s="80"/>
      <c r="LTR158" s="92"/>
      <c r="LTS158" s="53"/>
      <c r="LTT158" s="53"/>
      <c r="LTU158" s="66"/>
      <c r="LTV158" s="53"/>
      <c r="LUC158" s="80"/>
      <c r="LUD158" s="80"/>
      <c r="LUE158" s="80"/>
      <c r="LUF158" s="80"/>
      <c r="LUG158" s="80"/>
      <c r="LUI158" s="80"/>
      <c r="LUJ158" s="178"/>
      <c r="LUK158" s="80"/>
      <c r="LUL158" s="92"/>
      <c r="LUM158" s="53"/>
      <c r="LUN158" s="53"/>
      <c r="LUO158" s="66"/>
      <c r="LUP158" s="53"/>
      <c r="LUW158" s="80"/>
      <c r="LUX158" s="80"/>
      <c r="LUY158" s="80"/>
      <c r="LUZ158" s="80"/>
      <c r="LVA158" s="80"/>
      <c r="LVC158" s="80"/>
      <c r="LVD158" s="178"/>
      <c r="LVE158" s="80"/>
      <c r="LVF158" s="92"/>
      <c r="LVG158" s="53"/>
      <c r="LVH158" s="53"/>
      <c r="LVI158" s="66"/>
      <c r="LVJ158" s="53"/>
      <c r="LVQ158" s="80"/>
      <c r="LVR158" s="80"/>
      <c r="LVS158" s="80"/>
      <c r="LVT158" s="80"/>
      <c r="LVU158" s="80"/>
      <c r="LVW158" s="80"/>
      <c r="LVX158" s="178"/>
      <c r="LVY158" s="80"/>
      <c r="LVZ158" s="92"/>
      <c r="LWA158" s="53"/>
      <c r="LWB158" s="53"/>
      <c r="LWC158" s="66"/>
      <c r="LWD158" s="53"/>
      <c r="LWK158" s="80"/>
      <c r="LWL158" s="80"/>
      <c r="LWM158" s="80"/>
      <c r="LWN158" s="80"/>
      <c r="LWO158" s="80"/>
      <c r="LWQ158" s="80"/>
      <c r="LWR158" s="178"/>
      <c r="LWS158" s="80"/>
      <c r="LWT158" s="92"/>
      <c r="LWU158" s="53"/>
      <c r="LWV158" s="53"/>
      <c r="LWW158" s="66"/>
      <c r="LWX158" s="53"/>
      <c r="LXE158" s="80"/>
      <c r="LXF158" s="80"/>
      <c r="LXG158" s="80"/>
      <c r="LXH158" s="80"/>
      <c r="LXI158" s="80"/>
      <c r="LXK158" s="80"/>
      <c r="LXL158" s="178"/>
      <c r="LXM158" s="80"/>
      <c r="LXN158" s="92"/>
      <c r="LXO158" s="53"/>
      <c r="LXP158" s="53"/>
      <c r="LXQ158" s="66"/>
      <c r="LXR158" s="53"/>
      <c r="LXY158" s="80"/>
      <c r="LXZ158" s="80"/>
      <c r="LYA158" s="80"/>
      <c r="LYB158" s="80"/>
      <c r="LYC158" s="80"/>
      <c r="LYE158" s="80"/>
      <c r="LYF158" s="178"/>
      <c r="LYG158" s="80"/>
      <c r="LYH158" s="92"/>
      <c r="LYI158" s="53"/>
      <c r="LYJ158" s="53"/>
      <c r="LYK158" s="66"/>
      <c r="LYL158" s="53"/>
      <c r="LYS158" s="80"/>
      <c r="LYT158" s="80"/>
      <c r="LYU158" s="80"/>
      <c r="LYV158" s="80"/>
      <c r="LYW158" s="80"/>
      <c r="LYY158" s="80"/>
      <c r="LYZ158" s="178"/>
      <c r="LZA158" s="80"/>
      <c r="LZB158" s="92"/>
      <c r="LZC158" s="53"/>
      <c r="LZD158" s="53"/>
      <c r="LZE158" s="66"/>
      <c r="LZF158" s="53"/>
      <c r="LZM158" s="80"/>
      <c r="LZN158" s="80"/>
      <c r="LZO158" s="80"/>
      <c r="LZP158" s="80"/>
      <c r="LZQ158" s="80"/>
      <c r="LZS158" s="80"/>
      <c r="LZT158" s="178"/>
      <c r="LZU158" s="80"/>
      <c r="LZV158" s="92"/>
      <c r="LZW158" s="53"/>
      <c r="LZX158" s="53"/>
      <c r="LZY158" s="66"/>
      <c r="LZZ158" s="53"/>
      <c r="MAG158" s="80"/>
      <c r="MAH158" s="80"/>
      <c r="MAI158" s="80"/>
      <c r="MAJ158" s="80"/>
      <c r="MAK158" s="80"/>
      <c r="MAM158" s="80"/>
      <c r="MAN158" s="178"/>
      <c r="MAO158" s="80"/>
      <c r="MAP158" s="92"/>
      <c r="MAQ158" s="53"/>
      <c r="MAR158" s="53"/>
      <c r="MAS158" s="66"/>
      <c r="MAT158" s="53"/>
      <c r="MBA158" s="80"/>
      <c r="MBB158" s="80"/>
      <c r="MBC158" s="80"/>
      <c r="MBD158" s="80"/>
      <c r="MBE158" s="80"/>
      <c r="MBG158" s="80"/>
      <c r="MBH158" s="178"/>
      <c r="MBI158" s="80"/>
      <c r="MBJ158" s="92"/>
      <c r="MBK158" s="53"/>
      <c r="MBL158" s="53"/>
      <c r="MBM158" s="66"/>
      <c r="MBN158" s="53"/>
      <c r="MBU158" s="80"/>
      <c r="MBV158" s="80"/>
      <c r="MBW158" s="80"/>
      <c r="MBX158" s="80"/>
      <c r="MBY158" s="80"/>
      <c r="MCA158" s="80"/>
      <c r="MCB158" s="178"/>
      <c r="MCC158" s="80"/>
      <c r="MCD158" s="92"/>
      <c r="MCE158" s="53"/>
      <c r="MCF158" s="53"/>
      <c r="MCG158" s="66"/>
      <c r="MCH158" s="53"/>
      <c r="MCO158" s="80"/>
      <c r="MCP158" s="80"/>
      <c r="MCQ158" s="80"/>
      <c r="MCR158" s="80"/>
      <c r="MCS158" s="80"/>
      <c r="MCU158" s="80"/>
      <c r="MCV158" s="178"/>
      <c r="MCW158" s="80"/>
      <c r="MCX158" s="92"/>
      <c r="MCY158" s="53"/>
      <c r="MCZ158" s="53"/>
      <c r="MDA158" s="66"/>
      <c r="MDB158" s="53"/>
      <c r="MDI158" s="80"/>
      <c r="MDJ158" s="80"/>
      <c r="MDK158" s="80"/>
      <c r="MDL158" s="80"/>
      <c r="MDM158" s="80"/>
      <c r="MDO158" s="80"/>
      <c r="MDP158" s="178"/>
      <c r="MDQ158" s="80"/>
      <c r="MDR158" s="92"/>
      <c r="MDS158" s="53"/>
      <c r="MDT158" s="53"/>
      <c r="MDU158" s="66"/>
      <c r="MDV158" s="53"/>
      <c r="MEC158" s="80"/>
      <c r="MED158" s="80"/>
      <c r="MEE158" s="80"/>
      <c r="MEF158" s="80"/>
      <c r="MEG158" s="80"/>
      <c r="MEI158" s="80"/>
      <c r="MEJ158" s="178"/>
      <c r="MEK158" s="80"/>
      <c r="MEL158" s="92"/>
      <c r="MEM158" s="53"/>
      <c r="MEN158" s="53"/>
      <c r="MEO158" s="66"/>
      <c r="MEP158" s="53"/>
      <c r="MEW158" s="80"/>
      <c r="MEX158" s="80"/>
      <c r="MEY158" s="80"/>
      <c r="MEZ158" s="80"/>
      <c r="MFA158" s="80"/>
      <c r="MFC158" s="80"/>
      <c r="MFD158" s="178"/>
      <c r="MFE158" s="80"/>
      <c r="MFF158" s="92"/>
      <c r="MFG158" s="53"/>
      <c r="MFH158" s="53"/>
      <c r="MFI158" s="66"/>
      <c r="MFJ158" s="53"/>
      <c r="MFQ158" s="80"/>
      <c r="MFR158" s="80"/>
      <c r="MFS158" s="80"/>
      <c r="MFT158" s="80"/>
      <c r="MFU158" s="80"/>
      <c r="MFW158" s="80"/>
      <c r="MFX158" s="178"/>
      <c r="MFY158" s="80"/>
      <c r="MFZ158" s="92"/>
      <c r="MGA158" s="53"/>
      <c r="MGB158" s="53"/>
      <c r="MGC158" s="66"/>
      <c r="MGD158" s="53"/>
      <c r="MGK158" s="80"/>
      <c r="MGL158" s="80"/>
      <c r="MGM158" s="80"/>
      <c r="MGN158" s="80"/>
      <c r="MGO158" s="80"/>
      <c r="MGQ158" s="80"/>
      <c r="MGR158" s="178"/>
      <c r="MGS158" s="80"/>
      <c r="MGT158" s="92"/>
      <c r="MGU158" s="53"/>
      <c r="MGV158" s="53"/>
      <c r="MGW158" s="66"/>
      <c r="MGX158" s="53"/>
      <c r="MHE158" s="80"/>
      <c r="MHF158" s="80"/>
      <c r="MHG158" s="80"/>
      <c r="MHH158" s="80"/>
      <c r="MHI158" s="80"/>
      <c r="MHK158" s="80"/>
      <c r="MHL158" s="178"/>
      <c r="MHM158" s="80"/>
      <c r="MHN158" s="92"/>
      <c r="MHO158" s="53"/>
      <c r="MHP158" s="53"/>
      <c r="MHQ158" s="66"/>
      <c r="MHR158" s="53"/>
      <c r="MHY158" s="80"/>
      <c r="MHZ158" s="80"/>
      <c r="MIA158" s="80"/>
      <c r="MIB158" s="80"/>
      <c r="MIC158" s="80"/>
      <c r="MIE158" s="80"/>
      <c r="MIF158" s="178"/>
      <c r="MIG158" s="80"/>
      <c r="MIH158" s="92"/>
      <c r="MII158" s="53"/>
      <c r="MIJ158" s="53"/>
      <c r="MIK158" s="66"/>
      <c r="MIL158" s="53"/>
      <c r="MIS158" s="80"/>
      <c r="MIT158" s="80"/>
      <c r="MIU158" s="80"/>
      <c r="MIV158" s="80"/>
      <c r="MIW158" s="80"/>
      <c r="MIY158" s="80"/>
      <c r="MIZ158" s="178"/>
      <c r="MJA158" s="80"/>
      <c r="MJB158" s="92"/>
      <c r="MJC158" s="53"/>
      <c r="MJD158" s="53"/>
      <c r="MJE158" s="66"/>
      <c r="MJF158" s="53"/>
      <c r="MJM158" s="80"/>
      <c r="MJN158" s="80"/>
      <c r="MJO158" s="80"/>
      <c r="MJP158" s="80"/>
      <c r="MJQ158" s="80"/>
      <c r="MJS158" s="80"/>
      <c r="MJT158" s="178"/>
      <c r="MJU158" s="80"/>
      <c r="MJV158" s="92"/>
      <c r="MJW158" s="53"/>
      <c r="MJX158" s="53"/>
      <c r="MJY158" s="66"/>
      <c r="MJZ158" s="53"/>
      <c r="MKG158" s="80"/>
      <c r="MKH158" s="80"/>
      <c r="MKI158" s="80"/>
      <c r="MKJ158" s="80"/>
      <c r="MKK158" s="80"/>
      <c r="MKM158" s="80"/>
      <c r="MKN158" s="178"/>
      <c r="MKO158" s="80"/>
      <c r="MKP158" s="92"/>
      <c r="MKQ158" s="53"/>
      <c r="MKR158" s="53"/>
      <c r="MKS158" s="66"/>
      <c r="MKT158" s="53"/>
      <c r="MLA158" s="80"/>
      <c r="MLB158" s="80"/>
      <c r="MLC158" s="80"/>
      <c r="MLD158" s="80"/>
      <c r="MLE158" s="80"/>
      <c r="MLG158" s="80"/>
      <c r="MLH158" s="178"/>
      <c r="MLI158" s="80"/>
      <c r="MLJ158" s="92"/>
      <c r="MLK158" s="53"/>
      <c r="MLL158" s="53"/>
      <c r="MLM158" s="66"/>
      <c r="MLN158" s="53"/>
      <c r="MLU158" s="80"/>
      <c r="MLV158" s="80"/>
      <c r="MLW158" s="80"/>
      <c r="MLX158" s="80"/>
      <c r="MLY158" s="80"/>
      <c r="MMA158" s="80"/>
      <c r="MMB158" s="178"/>
      <c r="MMC158" s="80"/>
      <c r="MMD158" s="92"/>
      <c r="MME158" s="53"/>
      <c r="MMF158" s="53"/>
      <c r="MMG158" s="66"/>
      <c r="MMH158" s="53"/>
      <c r="MMO158" s="80"/>
      <c r="MMP158" s="80"/>
      <c r="MMQ158" s="80"/>
      <c r="MMR158" s="80"/>
      <c r="MMS158" s="80"/>
      <c r="MMU158" s="80"/>
      <c r="MMV158" s="178"/>
      <c r="MMW158" s="80"/>
      <c r="MMX158" s="92"/>
      <c r="MMY158" s="53"/>
      <c r="MMZ158" s="53"/>
      <c r="MNA158" s="66"/>
      <c r="MNB158" s="53"/>
      <c r="MNI158" s="80"/>
      <c r="MNJ158" s="80"/>
      <c r="MNK158" s="80"/>
      <c r="MNL158" s="80"/>
      <c r="MNM158" s="80"/>
      <c r="MNO158" s="80"/>
      <c r="MNP158" s="178"/>
      <c r="MNQ158" s="80"/>
      <c r="MNR158" s="92"/>
      <c r="MNS158" s="53"/>
      <c r="MNT158" s="53"/>
      <c r="MNU158" s="66"/>
      <c r="MNV158" s="53"/>
      <c r="MOC158" s="80"/>
      <c r="MOD158" s="80"/>
      <c r="MOE158" s="80"/>
      <c r="MOF158" s="80"/>
      <c r="MOG158" s="80"/>
      <c r="MOI158" s="80"/>
      <c r="MOJ158" s="178"/>
      <c r="MOK158" s="80"/>
      <c r="MOL158" s="92"/>
      <c r="MOM158" s="53"/>
      <c r="MON158" s="53"/>
      <c r="MOO158" s="66"/>
      <c r="MOP158" s="53"/>
      <c r="MOW158" s="80"/>
      <c r="MOX158" s="80"/>
      <c r="MOY158" s="80"/>
      <c r="MOZ158" s="80"/>
      <c r="MPA158" s="80"/>
      <c r="MPC158" s="80"/>
      <c r="MPD158" s="178"/>
      <c r="MPE158" s="80"/>
      <c r="MPF158" s="92"/>
      <c r="MPG158" s="53"/>
      <c r="MPH158" s="53"/>
      <c r="MPI158" s="66"/>
      <c r="MPJ158" s="53"/>
      <c r="MPQ158" s="80"/>
      <c r="MPR158" s="80"/>
      <c r="MPS158" s="80"/>
      <c r="MPT158" s="80"/>
      <c r="MPU158" s="80"/>
      <c r="MPW158" s="80"/>
      <c r="MPX158" s="178"/>
      <c r="MPY158" s="80"/>
      <c r="MPZ158" s="92"/>
      <c r="MQA158" s="53"/>
      <c r="MQB158" s="53"/>
      <c r="MQC158" s="66"/>
      <c r="MQD158" s="53"/>
      <c r="MQK158" s="80"/>
      <c r="MQL158" s="80"/>
      <c r="MQM158" s="80"/>
      <c r="MQN158" s="80"/>
      <c r="MQO158" s="80"/>
      <c r="MQQ158" s="80"/>
      <c r="MQR158" s="178"/>
      <c r="MQS158" s="80"/>
      <c r="MQT158" s="92"/>
      <c r="MQU158" s="53"/>
      <c r="MQV158" s="53"/>
      <c r="MQW158" s="66"/>
      <c r="MQX158" s="53"/>
      <c r="MRE158" s="80"/>
      <c r="MRF158" s="80"/>
      <c r="MRG158" s="80"/>
      <c r="MRH158" s="80"/>
      <c r="MRI158" s="80"/>
      <c r="MRK158" s="80"/>
      <c r="MRL158" s="178"/>
      <c r="MRM158" s="80"/>
      <c r="MRN158" s="92"/>
      <c r="MRO158" s="53"/>
      <c r="MRP158" s="53"/>
      <c r="MRQ158" s="66"/>
      <c r="MRR158" s="53"/>
      <c r="MRY158" s="80"/>
      <c r="MRZ158" s="80"/>
      <c r="MSA158" s="80"/>
      <c r="MSB158" s="80"/>
      <c r="MSC158" s="80"/>
      <c r="MSE158" s="80"/>
      <c r="MSF158" s="178"/>
      <c r="MSG158" s="80"/>
      <c r="MSH158" s="92"/>
      <c r="MSI158" s="53"/>
      <c r="MSJ158" s="53"/>
      <c r="MSK158" s="66"/>
      <c r="MSL158" s="53"/>
      <c r="MSS158" s="80"/>
      <c r="MST158" s="80"/>
      <c r="MSU158" s="80"/>
      <c r="MSV158" s="80"/>
      <c r="MSW158" s="80"/>
      <c r="MSY158" s="80"/>
      <c r="MSZ158" s="178"/>
      <c r="MTA158" s="80"/>
      <c r="MTB158" s="92"/>
      <c r="MTC158" s="53"/>
      <c r="MTD158" s="53"/>
      <c r="MTE158" s="66"/>
      <c r="MTF158" s="53"/>
      <c r="MTM158" s="80"/>
      <c r="MTN158" s="80"/>
      <c r="MTO158" s="80"/>
      <c r="MTP158" s="80"/>
      <c r="MTQ158" s="80"/>
      <c r="MTS158" s="80"/>
      <c r="MTT158" s="178"/>
      <c r="MTU158" s="80"/>
      <c r="MTV158" s="92"/>
      <c r="MTW158" s="53"/>
      <c r="MTX158" s="53"/>
      <c r="MTY158" s="66"/>
      <c r="MTZ158" s="53"/>
      <c r="MUG158" s="80"/>
      <c r="MUH158" s="80"/>
      <c r="MUI158" s="80"/>
      <c r="MUJ158" s="80"/>
      <c r="MUK158" s="80"/>
      <c r="MUM158" s="80"/>
      <c r="MUN158" s="178"/>
      <c r="MUO158" s="80"/>
      <c r="MUP158" s="92"/>
      <c r="MUQ158" s="53"/>
      <c r="MUR158" s="53"/>
      <c r="MUS158" s="66"/>
      <c r="MUT158" s="53"/>
      <c r="MVA158" s="80"/>
      <c r="MVB158" s="80"/>
      <c r="MVC158" s="80"/>
      <c r="MVD158" s="80"/>
      <c r="MVE158" s="80"/>
      <c r="MVG158" s="80"/>
      <c r="MVH158" s="178"/>
      <c r="MVI158" s="80"/>
      <c r="MVJ158" s="92"/>
      <c r="MVK158" s="53"/>
      <c r="MVL158" s="53"/>
      <c r="MVM158" s="66"/>
      <c r="MVN158" s="53"/>
      <c r="MVU158" s="80"/>
      <c r="MVV158" s="80"/>
      <c r="MVW158" s="80"/>
      <c r="MVX158" s="80"/>
      <c r="MVY158" s="80"/>
      <c r="MWA158" s="80"/>
      <c r="MWB158" s="178"/>
      <c r="MWC158" s="80"/>
      <c r="MWD158" s="92"/>
      <c r="MWE158" s="53"/>
      <c r="MWF158" s="53"/>
      <c r="MWG158" s="66"/>
      <c r="MWH158" s="53"/>
      <c r="MWO158" s="80"/>
      <c r="MWP158" s="80"/>
      <c r="MWQ158" s="80"/>
      <c r="MWR158" s="80"/>
      <c r="MWS158" s="80"/>
      <c r="MWU158" s="80"/>
      <c r="MWV158" s="178"/>
      <c r="MWW158" s="80"/>
      <c r="MWX158" s="92"/>
      <c r="MWY158" s="53"/>
      <c r="MWZ158" s="53"/>
      <c r="MXA158" s="66"/>
      <c r="MXB158" s="53"/>
      <c r="MXI158" s="80"/>
      <c r="MXJ158" s="80"/>
      <c r="MXK158" s="80"/>
      <c r="MXL158" s="80"/>
      <c r="MXM158" s="80"/>
      <c r="MXO158" s="80"/>
      <c r="MXP158" s="178"/>
      <c r="MXQ158" s="80"/>
      <c r="MXR158" s="92"/>
      <c r="MXS158" s="53"/>
      <c r="MXT158" s="53"/>
      <c r="MXU158" s="66"/>
      <c r="MXV158" s="53"/>
      <c r="MYC158" s="80"/>
      <c r="MYD158" s="80"/>
      <c r="MYE158" s="80"/>
      <c r="MYF158" s="80"/>
      <c r="MYG158" s="80"/>
      <c r="MYI158" s="80"/>
      <c r="MYJ158" s="178"/>
      <c r="MYK158" s="80"/>
      <c r="MYL158" s="92"/>
      <c r="MYM158" s="53"/>
      <c r="MYN158" s="53"/>
      <c r="MYO158" s="66"/>
      <c r="MYP158" s="53"/>
      <c r="MYW158" s="80"/>
      <c r="MYX158" s="80"/>
      <c r="MYY158" s="80"/>
      <c r="MYZ158" s="80"/>
      <c r="MZA158" s="80"/>
      <c r="MZC158" s="80"/>
      <c r="MZD158" s="178"/>
      <c r="MZE158" s="80"/>
      <c r="MZF158" s="92"/>
      <c r="MZG158" s="53"/>
      <c r="MZH158" s="53"/>
      <c r="MZI158" s="66"/>
      <c r="MZJ158" s="53"/>
      <c r="MZQ158" s="80"/>
      <c r="MZR158" s="80"/>
      <c r="MZS158" s="80"/>
      <c r="MZT158" s="80"/>
      <c r="MZU158" s="80"/>
      <c r="MZW158" s="80"/>
      <c r="MZX158" s="178"/>
      <c r="MZY158" s="80"/>
      <c r="MZZ158" s="92"/>
      <c r="NAA158" s="53"/>
      <c r="NAB158" s="53"/>
      <c r="NAC158" s="66"/>
      <c r="NAD158" s="53"/>
      <c r="NAK158" s="80"/>
      <c r="NAL158" s="80"/>
      <c r="NAM158" s="80"/>
      <c r="NAN158" s="80"/>
      <c r="NAO158" s="80"/>
      <c r="NAQ158" s="80"/>
      <c r="NAR158" s="178"/>
      <c r="NAS158" s="80"/>
      <c r="NAT158" s="92"/>
      <c r="NAU158" s="53"/>
      <c r="NAV158" s="53"/>
      <c r="NAW158" s="66"/>
      <c r="NAX158" s="53"/>
      <c r="NBE158" s="80"/>
      <c r="NBF158" s="80"/>
      <c r="NBG158" s="80"/>
      <c r="NBH158" s="80"/>
      <c r="NBI158" s="80"/>
      <c r="NBK158" s="80"/>
      <c r="NBL158" s="178"/>
      <c r="NBM158" s="80"/>
      <c r="NBN158" s="92"/>
      <c r="NBO158" s="53"/>
      <c r="NBP158" s="53"/>
      <c r="NBQ158" s="66"/>
      <c r="NBR158" s="53"/>
      <c r="NBY158" s="80"/>
      <c r="NBZ158" s="80"/>
      <c r="NCA158" s="80"/>
      <c r="NCB158" s="80"/>
      <c r="NCC158" s="80"/>
      <c r="NCE158" s="80"/>
      <c r="NCF158" s="178"/>
      <c r="NCG158" s="80"/>
      <c r="NCH158" s="92"/>
      <c r="NCI158" s="53"/>
      <c r="NCJ158" s="53"/>
      <c r="NCK158" s="66"/>
      <c r="NCL158" s="53"/>
      <c r="NCS158" s="80"/>
      <c r="NCT158" s="80"/>
      <c r="NCU158" s="80"/>
      <c r="NCV158" s="80"/>
      <c r="NCW158" s="80"/>
      <c r="NCY158" s="80"/>
      <c r="NCZ158" s="178"/>
      <c r="NDA158" s="80"/>
      <c r="NDB158" s="92"/>
      <c r="NDC158" s="53"/>
      <c r="NDD158" s="53"/>
      <c r="NDE158" s="66"/>
      <c r="NDF158" s="53"/>
      <c r="NDM158" s="80"/>
      <c r="NDN158" s="80"/>
      <c r="NDO158" s="80"/>
      <c r="NDP158" s="80"/>
      <c r="NDQ158" s="80"/>
      <c r="NDS158" s="80"/>
      <c r="NDT158" s="178"/>
      <c r="NDU158" s="80"/>
      <c r="NDV158" s="92"/>
      <c r="NDW158" s="53"/>
      <c r="NDX158" s="53"/>
      <c r="NDY158" s="66"/>
      <c r="NDZ158" s="53"/>
      <c r="NEG158" s="80"/>
      <c r="NEH158" s="80"/>
      <c r="NEI158" s="80"/>
      <c r="NEJ158" s="80"/>
      <c r="NEK158" s="80"/>
      <c r="NEM158" s="80"/>
      <c r="NEN158" s="178"/>
      <c r="NEO158" s="80"/>
      <c r="NEP158" s="92"/>
      <c r="NEQ158" s="53"/>
      <c r="NER158" s="53"/>
      <c r="NES158" s="66"/>
      <c r="NET158" s="53"/>
      <c r="NFA158" s="80"/>
      <c r="NFB158" s="80"/>
      <c r="NFC158" s="80"/>
      <c r="NFD158" s="80"/>
      <c r="NFE158" s="80"/>
      <c r="NFG158" s="80"/>
      <c r="NFH158" s="178"/>
      <c r="NFI158" s="80"/>
      <c r="NFJ158" s="92"/>
      <c r="NFK158" s="53"/>
      <c r="NFL158" s="53"/>
      <c r="NFM158" s="66"/>
      <c r="NFN158" s="53"/>
      <c r="NFU158" s="80"/>
      <c r="NFV158" s="80"/>
      <c r="NFW158" s="80"/>
      <c r="NFX158" s="80"/>
      <c r="NFY158" s="80"/>
      <c r="NGA158" s="80"/>
      <c r="NGB158" s="178"/>
      <c r="NGC158" s="80"/>
      <c r="NGD158" s="92"/>
      <c r="NGE158" s="53"/>
      <c r="NGF158" s="53"/>
      <c r="NGG158" s="66"/>
      <c r="NGH158" s="53"/>
      <c r="NGO158" s="80"/>
      <c r="NGP158" s="80"/>
      <c r="NGQ158" s="80"/>
      <c r="NGR158" s="80"/>
      <c r="NGS158" s="80"/>
      <c r="NGU158" s="80"/>
      <c r="NGV158" s="178"/>
      <c r="NGW158" s="80"/>
      <c r="NGX158" s="92"/>
      <c r="NGY158" s="53"/>
      <c r="NGZ158" s="53"/>
      <c r="NHA158" s="66"/>
      <c r="NHB158" s="53"/>
      <c r="NHI158" s="80"/>
      <c r="NHJ158" s="80"/>
      <c r="NHK158" s="80"/>
      <c r="NHL158" s="80"/>
      <c r="NHM158" s="80"/>
      <c r="NHO158" s="80"/>
      <c r="NHP158" s="178"/>
      <c r="NHQ158" s="80"/>
      <c r="NHR158" s="92"/>
      <c r="NHS158" s="53"/>
      <c r="NHT158" s="53"/>
      <c r="NHU158" s="66"/>
      <c r="NHV158" s="53"/>
      <c r="NIC158" s="80"/>
      <c r="NID158" s="80"/>
      <c r="NIE158" s="80"/>
      <c r="NIF158" s="80"/>
      <c r="NIG158" s="80"/>
      <c r="NII158" s="80"/>
      <c r="NIJ158" s="178"/>
      <c r="NIK158" s="80"/>
      <c r="NIL158" s="92"/>
      <c r="NIM158" s="53"/>
      <c r="NIN158" s="53"/>
      <c r="NIO158" s="66"/>
      <c r="NIP158" s="53"/>
      <c r="NIW158" s="80"/>
      <c r="NIX158" s="80"/>
      <c r="NIY158" s="80"/>
      <c r="NIZ158" s="80"/>
      <c r="NJA158" s="80"/>
      <c r="NJC158" s="80"/>
      <c r="NJD158" s="178"/>
      <c r="NJE158" s="80"/>
      <c r="NJF158" s="92"/>
      <c r="NJG158" s="53"/>
      <c r="NJH158" s="53"/>
      <c r="NJI158" s="66"/>
      <c r="NJJ158" s="53"/>
      <c r="NJQ158" s="80"/>
      <c r="NJR158" s="80"/>
      <c r="NJS158" s="80"/>
      <c r="NJT158" s="80"/>
      <c r="NJU158" s="80"/>
      <c r="NJW158" s="80"/>
      <c r="NJX158" s="178"/>
      <c r="NJY158" s="80"/>
      <c r="NJZ158" s="92"/>
      <c r="NKA158" s="53"/>
      <c r="NKB158" s="53"/>
      <c r="NKC158" s="66"/>
      <c r="NKD158" s="53"/>
      <c r="NKK158" s="80"/>
      <c r="NKL158" s="80"/>
      <c r="NKM158" s="80"/>
      <c r="NKN158" s="80"/>
      <c r="NKO158" s="80"/>
      <c r="NKQ158" s="80"/>
      <c r="NKR158" s="178"/>
      <c r="NKS158" s="80"/>
      <c r="NKT158" s="92"/>
      <c r="NKU158" s="53"/>
      <c r="NKV158" s="53"/>
      <c r="NKW158" s="66"/>
      <c r="NKX158" s="53"/>
      <c r="NLE158" s="80"/>
      <c r="NLF158" s="80"/>
      <c r="NLG158" s="80"/>
      <c r="NLH158" s="80"/>
      <c r="NLI158" s="80"/>
      <c r="NLK158" s="80"/>
      <c r="NLL158" s="178"/>
      <c r="NLM158" s="80"/>
      <c r="NLN158" s="92"/>
      <c r="NLO158" s="53"/>
      <c r="NLP158" s="53"/>
      <c r="NLQ158" s="66"/>
      <c r="NLR158" s="53"/>
      <c r="NLY158" s="80"/>
      <c r="NLZ158" s="80"/>
      <c r="NMA158" s="80"/>
      <c r="NMB158" s="80"/>
      <c r="NMC158" s="80"/>
      <c r="NME158" s="80"/>
      <c r="NMF158" s="178"/>
      <c r="NMG158" s="80"/>
      <c r="NMH158" s="92"/>
      <c r="NMI158" s="53"/>
      <c r="NMJ158" s="53"/>
      <c r="NMK158" s="66"/>
      <c r="NML158" s="53"/>
      <c r="NMS158" s="80"/>
      <c r="NMT158" s="80"/>
      <c r="NMU158" s="80"/>
      <c r="NMV158" s="80"/>
      <c r="NMW158" s="80"/>
      <c r="NMY158" s="80"/>
      <c r="NMZ158" s="178"/>
      <c r="NNA158" s="80"/>
      <c r="NNB158" s="92"/>
      <c r="NNC158" s="53"/>
      <c r="NND158" s="53"/>
      <c r="NNE158" s="66"/>
      <c r="NNF158" s="53"/>
      <c r="NNM158" s="80"/>
      <c r="NNN158" s="80"/>
      <c r="NNO158" s="80"/>
      <c r="NNP158" s="80"/>
      <c r="NNQ158" s="80"/>
      <c r="NNS158" s="80"/>
      <c r="NNT158" s="178"/>
      <c r="NNU158" s="80"/>
      <c r="NNV158" s="92"/>
      <c r="NNW158" s="53"/>
      <c r="NNX158" s="53"/>
      <c r="NNY158" s="66"/>
      <c r="NNZ158" s="53"/>
      <c r="NOG158" s="80"/>
      <c r="NOH158" s="80"/>
      <c r="NOI158" s="80"/>
      <c r="NOJ158" s="80"/>
      <c r="NOK158" s="80"/>
      <c r="NOM158" s="80"/>
      <c r="NON158" s="178"/>
      <c r="NOO158" s="80"/>
      <c r="NOP158" s="92"/>
      <c r="NOQ158" s="53"/>
      <c r="NOR158" s="53"/>
      <c r="NOS158" s="66"/>
      <c r="NOT158" s="53"/>
      <c r="NPA158" s="80"/>
      <c r="NPB158" s="80"/>
      <c r="NPC158" s="80"/>
      <c r="NPD158" s="80"/>
      <c r="NPE158" s="80"/>
      <c r="NPG158" s="80"/>
      <c r="NPH158" s="178"/>
      <c r="NPI158" s="80"/>
      <c r="NPJ158" s="92"/>
      <c r="NPK158" s="53"/>
      <c r="NPL158" s="53"/>
      <c r="NPM158" s="66"/>
      <c r="NPN158" s="53"/>
      <c r="NPU158" s="80"/>
      <c r="NPV158" s="80"/>
      <c r="NPW158" s="80"/>
      <c r="NPX158" s="80"/>
      <c r="NPY158" s="80"/>
      <c r="NQA158" s="80"/>
      <c r="NQB158" s="178"/>
      <c r="NQC158" s="80"/>
      <c r="NQD158" s="92"/>
      <c r="NQE158" s="53"/>
      <c r="NQF158" s="53"/>
      <c r="NQG158" s="66"/>
      <c r="NQH158" s="53"/>
      <c r="NQO158" s="80"/>
      <c r="NQP158" s="80"/>
      <c r="NQQ158" s="80"/>
      <c r="NQR158" s="80"/>
      <c r="NQS158" s="80"/>
      <c r="NQU158" s="80"/>
      <c r="NQV158" s="178"/>
      <c r="NQW158" s="80"/>
      <c r="NQX158" s="92"/>
      <c r="NQY158" s="53"/>
      <c r="NQZ158" s="53"/>
      <c r="NRA158" s="66"/>
      <c r="NRB158" s="53"/>
      <c r="NRI158" s="80"/>
      <c r="NRJ158" s="80"/>
      <c r="NRK158" s="80"/>
      <c r="NRL158" s="80"/>
      <c r="NRM158" s="80"/>
      <c r="NRO158" s="80"/>
      <c r="NRP158" s="178"/>
      <c r="NRQ158" s="80"/>
      <c r="NRR158" s="92"/>
      <c r="NRS158" s="53"/>
      <c r="NRT158" s="53"/>
      <c r="NRU158" s="66"/>
      <c r="NRV158" s="53"/>
      <c r="NSC158" s="80"/>
      <c r="NSD158" s="80"/>
      <c r="NSE158" s="80"/>
      <c r="NSF158" s="80"/>
      <c r="NSG158" s="80"/>
      <c r="NSI158" s="80"/>
      <c r="NSJ158" s="178"/>
      <c r="NSK158" s="80"/>
      <c r="NSL158" s="92"/>
      <c r="NSM158" s="53"/>
      <c r="NSN158" s="53"/>
      <c r="NSO158" s="66"/>
      <c r="NSP158" s="53"/>
      <c r="NSW158" s="80"/>
      <c r="NSX158" s="80"/>
      <c r="NSY158" s="80"/>
      <c r="NSZ158" s="80"/>
      <c r="NTA158" s="80"/>
      <c r="NTC158" s="80"/>
      <c r="NTD158" s="178"/>
      <c r="NTE158" s="80"/>
      <c r="NTF158" s="92"/>
      <c r="NTG158" s="53"/>
      <c r="NTH158" s="53"/>
      <c r="NTI158" s="66"/>
      <c r="NTJ158" s="53"/>
      <c r="NTQ158" s="80"/>
      <c r="NTR158" s="80"/>
      <c r="NTS158" s="80"/>
      <c r="NTT158" s="80"/>
      <c r="NTU158" s="80"/>
      <c r="NTW158" s="80"/>
      <c r="NTX158" s="178"/>
      <c r="NTY158" s="80"/>
      <c r="NTZ158" s="92"/>
      <c r="NUA158" s="53"/>
      <c r="NUB158" s="53"/>
      <c r="NUC158" s="66"/>
      <c r="NUD158" s="53"/>
      <c r="NUK158" s="80"/>
      <c r="NUL158" s="80"/>
      <c r="NUM158" s="80"/>
      <c r="NUN158" s="80"/>
      <c r="NUO158" s="80"/>
      <c r="NUQ158" s="80"/>
      <c r="NUR158" s="178"/>
      <c r="NUS158" s="80"/>
      <c r="NUT158" s="92"/>
      <c r="NUU158" s="53"/>
      <c r="NUV158" s="53"/>
      <c r="NUW158" s="66"/>
      <c r="NUX158" s="53"/>
      <c r="NVE158" s="80"/>
      <c r="NVF158" s="80"/>
      <c r="NVG158" s="80"/>
      <c r="NVH158" s="80"/>
      <c r="NVI158" s="80"/>
      <c r="NVK158" s="80"/>
      <c r="NVL158" s="178"/>
      <c r="NVM158" s="80"/>
      <c r="NVN158" s="92"/>
      <c r="NVO158" s="53"/>
      <c r="NVP158" s="53"/>
      <c r="NVQ158" s="66"/>
      <c r="NVR158" s="53"/>
      <c r="NVY158" s="80"/>
      <c r="NVZ158" s="80"/>
      <c r="NWA158" s="80"/>
      <c r="NWB158" s="80"/>
      <c r="NWC158" s="80"/>
      <c r="NWE158" s="80"/>
      <c r="NWF158" s="178"/>
      <c r="NWG158" s="80"/>
      <c r="NWH158" s="92"/>
      <c r="NWI158" s="53"/>
      <c r="NWJ158" s="53"/>
      <c r="NWK158" s="66"/>
      <c r="NWL158" s="53"/>
      <c r="NWS158" s="80"/>
      <c r="NWT158" s="80"/>
      <c r="NWU158" s="80"/>
      <c r="NWV158" s="80"/>
      <c r="NWW158" s="80"/>
      <c r="NWY158" s="80"/>
      <c r="NWZ158" s="178"/>
      <c r="NXA158" s="80"/>
      <c r="NXB158" s="92"/>
      <c r="NXC158" s="53"/>
      <c r="NXD158" s="53"/>
      <c r="NXE158" s="66"/>
      <c r="NXF158" s="53"/>
      <c r="NXM158" s="80"/>
      <c r="NXN158" s="80"/>
      <c r="NXO158" s="80"/>
      <c r="NXP158" s="80"/>
      <c r="NXQ158" s="80"/>
      <c r="NXS158" s="80"/>
      <c r="NXT158" s="178"/>
      <c r="NXU158" s="80"/>
      <c r="NXV158" s="92"/>
      <c r="NXW158" s="53"/>
      <c r="NXX158" s="53"/>
      <c r="NXY158" s="66"/>
      <c r="NXZ158" s="53"/>
      <c r="NYG158" s="80"/>
      <c r="NYH158" s="80"/>
      <c r="NYI158" s="80"/>
      <c r="NYJ158" s="80"/>
      <c r="NYK158" s="80"/>
      <c r="NYM158" s="80"/>
      <c r="NYN158" s="178"/>
      <c r="NYO158" s="80"/>
      <c r="NYP158" s="92"/>
      <c r="NYQ158" s="53"/>
      <c r="NYR158" s="53"/>
      <c r="NYS158" s="66"/>
      <c r="NYT158" s="53"/>
      <c r="NZA158" s="80"/>
      <c r="NZB158" s="80"/>
      <c r="NZC158" s="80"/>
      <c r="NZD158" s="80"/>
      <c r="NZE158" s="80"/>
      <c r="NZG158" s="80"/>
      <c r="NZH158" s="178"/>
      <c r="NZI158" s="80"/>
      <c r="NZJ158" s="92"/>
      <c r="NZK158" s="53"/>
      <c r="NZL158" s="53"/>
      <c r="NZM158" s="66"/>
      <c r="NZN158" s="53"/>
      <c r="NZU158" s="80"/>
      <c r="NZV158" s="80"/>
      <c r="NZW158" s="80"/>
      <c r="NZX158" s="80"/>
      <c r="NZY158" s="80"/>
      <c r="OAA158" s="80"/>
      <c r="OAB158" s="178"/>
      <c r="OAC158" s="80"/>
      <c r="OAD158" s="92"/>
      <c r="OAE158" s="53"/>
      <c r="OAF158" s="53"/>
      <c r="OAG158" s="66"/>
      <c r="OAH158" s="53"/>
      <c r="OAO158" s="80"/>
      <c r="OAP158" s="80"/>
      <c r="OAQ158" s="80"/>
      <c r="OAR158" s="80"/>
      <c r="OAS158" s="80"/>
      <c r="OAU158" s="80"/>
      <c r="OAV158" s="178"/>
      <c r="OAW158" s="80"/>
      <c r="OAX158" s="92"/>
      <c r="OAY158" s="53"/>
      <c r="OAZ158" s="53"/>
      <c r="OBA158" s="66"/>
      <c r="OBB158" s="53"/>
      <c r="OBI158" s="80"/>
      <c r="OBJ158" s="80"/>
      <c r="OBK158" s="80"/>
      <c r="OBL158" s="80"/>
      <c r="OBM158" s="80"/>
      <c r="OBO158" s="80"/>
      <c r="OBP158" s="178"/>
      <c r="OBQ158" s="80"/>
      <c r="OBR158" s="92"/>
      <c r="OBS158" s="53"/>
      <c r="OBT158" s="53"/>
      <c r="OBU158" s="66"/>
      <c r="OBV158" s="53"/>
      <c r="OCC158" s="80"/>
      <c r="OCD158" s="80"/>
      <c r="OCE158" s="80"/>
      <c r="OCF158" s="80"/>
      <c r="OCG158" s="80"/>
      <c r="OCI158" s="80"/>
      <c r="OCJ158" s="178"/>
      <c r="OCK158" s="80"/>
      <c r="OCL158" s="92"/>
      <c r="OCM158" s="53"/>
      <c r="OCN158" s="53"/>
      <c r="OCO158" s="66"/>
      <c r="OCP158" s="53"/>
      <c r="OCW158" s="80"/>
      <c r="OCX158" s="80"/>
      <c r="OCY158" s="80"/>
      <c r="OCZ158" s="80"/>
      <c r="ODA158" s="80"/>
      <c r="ODC158" s="80"/>
      <c r="ODD158" s="178"/>
      <c r="ODE158" s="80"/>
      <c r="ODF158" s="92"/>
      <c r="ODG158" s="53"/>
      <c r="ODH158" s="53"/>
      <c r="ODI158" s="66"/>
      <c r="ODJ158" s="53"/>
      <c r="ODQ158" s="80"/>
      <c r="ODR158" s="80"/>
      <c r="ODS158" s="80"/>
      <c r="ODT158" s="80"/>
      <c r="ODU158" s="80"/>
      <c r="ODW158" s="80"/>
      <c r="ODX158" s="178"/>
      <c r="ODY158" s="80"/>
      <c r="ODZ158" s="92"/>
      <c r="OEA158" s="53"/>
      <c r="OEB158" s="53"/>
      <c r="OEC158" s="66"/>
      <c r="OED158" s="53"/>
      <c r="OEK158" s="80"/>
      <c r="OEL158" s="80"/>
      <c r="OEM158" s="80"/>
      <c r="OEN158" s="80"/>
      <c r="OEO158" s="80"/>
      <c r="OEQ158" s="80"/>
      <c r="OER158" s="178"/>
      <c r="OES158" s="80"/>
      <c r="OET158" s="92"/>
      <c r="OEU158" s="53"/>
      <c r="OEV158" s="53"/>
      <c r="OEW158" s="66"/>
      <c r="OEX158" s="53"/>
      <c r="OFE158" s="80"/>
      <c r="OFF158" s="80"/>
      <c r="OFG158" s="80"/>
      <c r="OFH158" s="80"/>
      <c r="OFI158" s="80"/>
      <c r="OFK158" s="80"/>
      <c r="OFL158" s="178"/>
      <c r="OFM158" s="80"/>
      <c r="OFN158" s="92"/>
      <c r="OFO158" s="53"/>
      <c r="OFP158" s="53"/>
      <c r="OFQ158" s="66"/>
      <c r="OFR158" s="53"/>
      <c r="OFY158" s="80"/>
      <c r="OFZ158" s="80"/>
      <c r="OGA158" s="80"/>
      <c r="OGB158" s="80"/>
      <c r="OGC158" s="80"/>
      <c r="OGE158" s="80"/>
      <c r="OGF158" s="178"/>
      <c r="OGG158" s="80"/>
      <c r="OGH158" s="92"/>
      <c r="OGI158" s="53"/>
      <c r="OGJ158" s="53"/>
      <c r="OGK158" s="66"/>
      <c r="OGL158" s="53"/>
      <c r="OGS158" s="80"/>
      <c r="OGT158" s="80"/>
      <c r="OGU158" s="80"/>
      <c r="OGV158" s="80"/>
      <c r="OGW158" s="80"/>
      <c r="OGY158" s="80"/>
      <c r="OGZ158" s="178"/>
      <c r="OHA158" s="80"/>
      <c r="OHB158" s="92"/>
      <c r="OHC158" s="53"/>
      <c r="OHD158" s="53"/>
      <c r="OHE158" s="66"/>
      <c r="OHF158" s="53"/>
      <c r="OHM158" s="80"/>
      <c r="OHN158" s="80"/>
      <c r="OHO158" s="80"/>
      <c r="OHP158" s="80"/>
      <c r="OHQ158" s="80"/>
      <c r="OHS158" s="80"/>
      <c r="OHT158" s="178"/>
      <c r="OHU158" s="80"/>
      <c r="OHV158" s="92"/>
      <c r="OHW158" s="53"/>
      <c r="OHX158" s="53"/>
      <c r="OHY158" s="66"/>
      <c r="OHZ158" s="53"/>
      <c r="OIG158" s="80"/>
      <c r="OIH158" s="80"/>
      <c r="OII158" s="80"/>
      <c r="OIJ158" s="80"/>
      <c r="OIK158" s="80"/>
      <c r="OIM158" s="80"/>
      <c r="OIN158" s="178"/>
      <c r="OIO158" s="80"/>
      <c r="OIP158" s="92"/>
      <c r="OIQ158" s="53"/>
      <c r="OIR158" s="53"/>
      <c r="OIS158" s="66"/>
      <c r="OIT158" s="53"/>
      <c r="OJA158" s="80"/>
      <c r="OJB158" s="80"/>
      <c r="OJC158" s="80"/>
      <c r="OJD158" s="80"/>
      <c r="OJE158" s="80"/>
      <c r="OJG158" s="80"/>
      <c r="OJH158" s="178"/>
      <c r="OJI158" s="80"/>
      <c r="OJJ158" s="92"/>
      <c r="OJK158" s="53"/>
      <c r="OJL158" s="53"/>
      <c r="OJM158" s="66"/>
      <c r="OJN158" s="53"/>
      <c r="OJU158" s="80"/>
      <c r="OJV158" s="80"/>
      <c r="OJW158" s="80"/>
      <c r="OJX158" s="80"/>
      <c r="OJY158" s="80"/>
      <c r="OKA158" s="80"/>
      <c r="OKB158" s="178"/>
      <c r="OKC158" s="80"/>
      <c r="OKD158" s="92"/>
      <c r="OKE158" s="53"/>
      <c r="OKF158" s="53"/>
      <c r="OKG158" s="66"/>
      <c r="OKH158" s="53"/>
      <c r="OKO158" s="80"/>
      <c r="OKP158" s="80"/>
      <c r="OKQ158" s="80"/>
      <c r="OKR158" s="80"/>
      <c r="OKS158" s="80"/>
      <c r="OKU158" s="80"/>
      <c r="OKV158" s="178"/>
      <c r="OKW158" s="80"/>
      <c r="OKX158" s="92"/>
      <c r="OKY158" s="53"/>
      <c r="OKZ158" s="53"/>
      <c r="OLA158" s="66"/>
      <c r="OLB158" s="53"/>
      <c r="OLI158" s="80"/>
      <c r="OLJ158" s="80"/>
      <c r="OLK158" s="80"/>
      <c r="OLL158" s="80"/>
      <c r="OLM158" s="80"/>
      <c r="OLO158" s="80"/>
      <c r="OLP158" s="178"/>
      <c r="OLQ158" s="80"/>
      <c r="OLR158" s="92"/>
      <c r="OLS158" s="53"/>
      <c r="OLT158" s="53"/>
      <c r="OLU158" s="66"/>
      <c r="OLV158" s="53"/>
      <c r="OMC158" s="80"/>
      <c r="OMD158" s="80"/>
      <c r="OME158" s="80"/>
      <c r="OMF158" s="80"/>
      <c r="OMG158" s="80"/>
      <c r="OMI158" s="80"/>
      <c r="OMJ158" s="178"/>
      <c r="OMK158" s="80"/>
      <c r="OML158" s="92"/>
      <c r="OMM158" s="53"/>
      <c r="OMN158" s="53"/>
      <c r="OMO158" s="66"/>
      <c r="OMP158" s="53"/>
      <c r="OMW158" s="80"/>
      <c r="OMX158" s="80"/>
      <c r="OMY158" s="80"/>
      <c r="OMZ158" s="80"/>
      <c r="ONA158" s="80"/>
      <c r="ONC158" s="80"/>
      <c r="OND158" s="178"/>
      <c r="ONE158" s="80"/>
      <c r="ONF158" s="92"/>
      <c r="ONG158" s="53"/>
      <c r="ONH158" s="53"/>
      <c r="ONI158" s="66"/>
      <c r="ONJ158" s="53"/>
      <c r="ONQ158" s="80"/>
      <c r="ONR158" s="80"/>
      <c r="ONS158" s="80"/>
      <c r="ONT158" s="80"/>
      <c r="ONU158" s="80"/>
      <c r="ONW158" s="80"/>
      <c r="ONX158" s="178"/>
      <c r="ONY158" s="80"/>
      <c r="ONZ158" s="92"/>
      <c r="OOA158" s="53"/>
      <c r="OOB158" s="53"/>
      <c r="OOC158" s="66"/>
      <c r="OOD158" s="53"/>
      <c r="OOK158" s="80"/>
      <c r="OOL158" s="80"/>
      <c r="OOM158" s="80"/>
      <c r="OON158" s="80"/>
      <c r="OOO158" s="80"/>
      <c r="OOQ158" s="80"/>
      <c r="OOR158" s="178"/>
      <c r="OOS158" s="80"/>
      <c r="OOT158" s="92"/>
      <c r="OOU158" s="53"/>
      <c r="OOV158" s="53"/>
      <c r="OOW158" s="66"/>
      <c r="OOX158" s="53"/>
      <c r="OPE158" s="80"/>
      <c r="OPF158" s="80"/>
      <c r="OPG158" s="80"/>
      <c r="OPH158" s="80"/>
      <c r="OPI158" s="80"/>
      <c r="OPK158" s="80"/>
      <c r="OPL158" s="178"/>
      <c r="OPM158" s="80"/>
      <c r="OPN158" s="92"/>
      <c r="OPO158" s="53"/>
      <c r="OPP158" s="53"/>
      <c r="OPQ158" s="66"/>
      <c r="OPR158" s="53"/>
      <c r="OPY158" s="80"/>
      <c r="OPZ158" s="80"/>
      <c r="OQA158" s="80"/>
      <c r="OQB158" s="80"/>
      <c r="OQC158" s="80"/>
      <c r="OQE158" s="80"/>
      <c r="OQF158" s="178"/>
      <c r="OQG158" s="80"/>
      <c r="OQH158" s="92"/>
      <c r="OQI158" s="53"/>
      <c r="OQJ158" s="53"/>
      <c r="OQK158" s="66"/>
      <c r="OQL158" s="53"/>
      <c r="OQS158" s="80"/>
      <c r="OQT158" s="80"/>
      <c r="OQU158" s="80"/>
      <c r="OQV158" s="80"/>
      <c r="OQW158" s="80"/>
      <c r="OQY158" s="80"/>
      <c r="OQZ158" s="178"/>
      <c r="ORA158" s="80"/>
      <c r="ORB158" s="92"/>
      <c r="ORC158" s="53"/>
      <c r="ORD158" s="53"/>
      <c r="ORE158" s="66"/>
      <c r="ORF158" s="53"/>
      <c r="ORM158" s="80"/>
      <c r="ORN158" s="80"/>
      <c r="ORO158" s="80"/>
      <c r="ORP158" s="80"/>
      <c r="ORQ158" s="80"/>
      <c r="ORS158" s="80"/>
      <c r="ORT158" s="178"/>
      <c r="ORU158" s="80"/>
      <c r="ORV158" s="92"/>
      <c r="ORW158" s="53"/>
      <c r="ORX158" s="53"/>
      <c r="ORY158" s="66"/>
      <c r="ORZ158" s="53"/>
      <c r="OSG158" s="80"/>
      <c r="OSH158" s="80"/>
      <c r="OSI158" s="80"/>
      <c r="OSJ158" s="80"/>
      <c r="OSK158" s="80"/>
      <c r="OSM158" s="80"/>
      <c r="OSN158" s="178"/>
      <c r="OSO158" s="80"/>
      <c r="OSP158" s="92"/>
      <c r="OSQ158" s="53"/>
      <c r="OSR158" s="53"/>
      <c r="OSS158" s="66"/>
      <c r="OST158" s="53"/>
      <c r="OTA158" s="80"/>
      <c r="OTB158" s="80"/>
      <c r="OTC158" s="80"/>
      <c r="OTD158" s="80"/>
      <c r="OTE158" s="80"/>
      <c r="OTG158" s="80"/>
      <c r="OTH158" s="178"/>
      <c r="OTI158" s="80"/>
      <c r="OTJ158" s="92"/>
      <c r="OTK158" s="53"/>
      <c r="OTL158" s="53"/>
      <c r="OTM158" s="66"/>
      <c r="OTN158" s="53"/>
      <c r="OTU158" s="80"/>
      <c r="OTV158" s="80"/>
      <c r="OTW158" s="80"/>
      <c r="OTX158" s="80"/>
      <c r="OTY158" s="80"/>
      <c r="OUA158" s="80"/>
      <c r="OUB158" s="178"/>
      <c r="OUC158" s="80"/>
      <c r="OUD158" s="92"/>
      <c r="OUE158" s="53"/>
      <c r="OUF158" s="53"/>
      <c r="OUG158" s="66"/>
      <c r="OUH158" s="53"/>
      <c r="OUO158" s="80"/>
      <c r="OUP158" s="80"/>
      <c r="OUQ158" s="80"/>
      <c r="OUR158" s="80"/>
      <c r="OUS158" s="80"/>
      <c r="OUU158" s="80"/>
      <c r="OUV158" s="178"/>
      <c r="OUW158" s="80"/>
      <c r="OUX158" s="92"/>
      <c r="OUY158" s="53"/>
      <c r="OUZ158" s="53"/>
      <c r="OVA158" s="66"/>
      <c r="OVB158" s="53"/>
      <c r="OVI158" s="80"/>
      <c r="OVJ158" s="80"/>
      <c r="OVK158" s="80"/>
      <c r="OVL158" s="80"/>
      <c r="OVM158" s="80"/>
      <c r="OVO158" s="80"/>
      <c r="OVP158" s="178"/>
      <c r="OVQ158" s="80"/>
      <c r="OVR158" s="92"/>
      <c r="OVS158" s="53"/>
      <c r="OVT158" s="53"/>
      <c r="OVU158" s="66"/>
      <c r="OVV158" s="53"/>
      <c r="OWC158" s="80"/>
      <c r="OWD158" s="80"/>
      <c r="OWE158" s="80"/>
      <c r="OWF158" s="80"/>
      <c r="OWG158" s="80"/>
      <c r="OWI158" s="80"/>
      <c r="OWJ158" s="178"/>
      <c r="OWK158" s="80"/>
      <c r="OWL158" s="92"/>
      <c r="OWM158" s="53"/>
      <c r="OWN158" s="53"/>
      <c r="OWO158" s="66"/>
      <c r="OWP158" s="53"/>
      <c r="OWW158" s="80"/>
      <c r="OWX158" s="80"/>
      <c r="OWY158" s="80"/>
      <c r="OWZ158" s="80"/>
      <c r="OXA158" s="80"/>
      <c r="OXC158" s="80"/>
      <c r="OXD158" s="178"/>
      <c r="OXE158" s="80"/>
      <c r="OXF158" s="92"/>
      <c r="OXG158" s="53"/>
      <c r="OXH158" s="53"/>
      <c r="OXI158" s="66"/>
      <c r="OXJ158" s="53"/>
      <c r="OXQ158" s="80"/>
      <c r="OXR158" s="80"/>
      <c r="OXS158" s="80"/>
      <c r="OXT158" s="80"/>
      <c r="OXU158" s="80"/>
      <c r="OXW158" s="80"/>
      <c r="OXX158" s="178"/>
      <c r="OXY158" s="80"/>
      <c r="OXZ158" s="92"/>
      <c r="OYA158" s="53"/>
      <c r="OYB158" s="53"/>
      <c r="OYC158" s="66"/>
      <c r="OYD158" s="53"/>
      <c r="OYK158" s="80"/>
      <c r="OYL158" s="80"/>
      <c r="OYM158" s="80"/>
      <c r="OYN158" s="80"/>
      <c r="OYO158" s="80"/>
      <c r="OYQ158" s="80"/>
      <c r="OYR158" s="178"/>
      <c r="OYS158" s="80"/>
      <c r="OYT158" s="92"/>
      <c r="OYU158" s="53"/>
      <c r="OYV158" s="53"/>
      <c r="OYW158" s="66"/>
      <c r="OYX158" s="53"/>
      <c r="OZE158" s="80"/>
      <c r="OZF158" s="80"/>
      <c r="OZG158" s="80"/>
      <c r="OZH158" s="80"/>
      <c r="OZI158" s="80"/>
      <c r="OZK158" s="80"/>
      <c r="OZL158" s="178"/>
      <c r="OZM158" s="80"/>
      <c r="OZN158" s="92"/>
      <c r="OZO158" s="53"/>
      <c r="OZP158" s="53"/>
      <c r="OZQ158" s="66"/>
      <c r="OZR158" s="53"/>
      <c r="OZY158" s="80"/>
      <c r="OZZ158" s="80"/>
      <c r="PAA158" s="80"/>
      <c r="PAB158" s="80"/>
      <c r="PAC158" s="80"/>
      <c r="PAE158" s="80"/>
      <c r="PAF158" s="178"/>
      <c r="PAG158" s="80"/>
      <c r="PAH158" s="92"/>
      <c r="PAI158" s="53"/>
      <c r="PAJ158" s="53"/>
      <c r="PAK158" s="66"/>
      <c r="PAL158" s="53"/>
      <c r="PAS158" s="80"/>
      <c r="PAT158" s="80"/>
      <c r="PAU158" s="80"/>
      <c r="PAV158" s="80"/>
      <c r="PAW158" s="80"/>
      <c r="PAY158" s="80"/>
      <c r="PAZ158" s="178"/>
      <c r="PBA158" s="80"/>
      <c r="PBB158" s="92"/>
      <c r="PBC158" s="53"/>
      <c r="PBD158" s="53"/>
      <c r="PBE158" s="66"/>
      <c r="PBF158" s="53"/>
      <c r="PBM158" s="80"/>
      <c r="PBN158" s="80"/>
      <c r="PBO158" s="80"/>
      <c r="PBP158" s="80"/>
      <c r="PBQ158" s="80"/>
      <c r="PBS158" s="80"/>
      <c r="PBT158" s="178"/>
      <c r="PBU158" s="80"/>
      <c r="PBV158" s="92"/>
      <c r="PBW158" s="53"/>
      <c r="PBX158" s="53"/>
      <c r="PBY158" s="66"/>
      <c r="PBZ158" s="53"/>
      <c r="PCG158" s="80"/>
      <c r="PCH158" s="80"/>
      <c r="PCI158" s="80"/>
      <c r="PCJ158" s="80"/>
      <c r="PCK158" s="80"/>
      <c r="PCM158" s="80"/>
      <c r="PCN158" s="178"/>
      <c r="PCO158" s="80"/>
      <c r="PCP158" s="92"/>
      <c r="PCQ158" s="53"/>
      <c r="PCR158" s="53"/>
      <c r="PCS158" s="66"/>
      <c r="PCT158" s="53"/>
      <c r="PDA158" s="80"/>
      <c r="PDB158" s="80"/>
      <c r="PDC158" s="80"/>
      <c r="PDD158" s="80"/>
      <c r="PDE158" s="80"/>
      <c r="PDG158" s="80"/>
      <c r="PDH158" s="178"/>
      <c r="PDI158" s="80"/>
      <c r="PDJ158" s="92"/>
      <c r="PDK158" s="53"/>
      <c r="PDL158" s="53"/>
      <c r="PDM158" s="66"/>
      <c r="PDN158" s="53"/>
      <c r="PDU158" s="80"/>
      <c r="PDV158" s="80"/>
      <c r="PDW158" s="80"/>
      <c r="PDX158" s="80"/>
      <c r="PDY158" s="80"/>
      <c r="PEA158" s="80"/>
      <c r="PEB158" s="178"/>
      <c r="PEC158" s="80"/>
      <c r="PED158" s="92"/>
      <c r="PEE158" s="53"/>
      <c r="PEF158" s="53"/>
      <c r="PEG158" s="66"/>
      <c r="PEH158" s="53"/>
      <c r="PEO158" s="80"/>
      <c r="PEP158" s="80"/>
      <c r="PEQ158" s="80"/>
      <c r="PER158" s="80"/>
      <c r="PES158" s="80"/>
      <c r="PEU158" s="80"/>
      <c r="PEV158" s="178"/>
      <c r="PEW158" s="80"/>
      <c r="PEX158" s="92"/>
      <c r="PEY158" s="53"/>
      <c r="PEZ158" s="53"/>
      <c r="PFA158" s="66"/>
      <c r="PFB158" s="53"/>
      <c r="PFI158" s="80"/>
      <c r="PFJ158" s="80"/>
      <c r="PFK158" s="80"/>
      <c r="PFL158" s="80"/>
      <c r="PFM158" s="80"/>
      <c r="PFO158" s="80"/>
      <c r="PFP158" s="178"/>
      <c r="PFQ158" s="80"/>
      <c r="PFR158" s="92"/>
      <c r="PFS158" s="53"/>
      <c r="PFT158" s="53"/>
      <c r="PFU158" s="66"/>
      <c r="PFV158" s="53"/>
      <c r="PGC158" s="80"/>
      <c r="PGD158" s="80"/>
      <c r="PGE158" s="80"/>
      <c r="PGF158" s="80"/>
      <c r="PGG158" s="80"/>
      <c r="PGI158" s="80"/>
      <c r="PGJ158" s="178"/>
      <c r="PGK158" s="80"/>
      <c r="PGL158" s="92"/>
      <c r="PGM158" s="53"/>
      <c r="PGN158" s="53"/>
      <c r="PGO158" s="66"/>
      <c r="PGP158" s="53"/>
      <c r="PGW158" s="80"/>
      <c r="PGX158" s="80"/>
      <c r="PGY158" s="80"/>
      <c r="PGZ158" s="80"/>
      <c r="PHA158" s="80"/>
      <c r="PHC158" s="80"/>
      <c r="PHD158" s="178"/>
      <c r="PHE158" s="80"/>
      <c r="PHF158" s="92"/>
      <c r="PHG158" s="53"/>
      <c r="PHH158" s="53"/>
      <c r="PHI158" s="66"/>
      <c r="PHJ158" s="53"/>
      <c r="PHQ158" s="80"/>
      <c r="PHR158" s="80"/>
      <c r="PHS158" s="80"/>
      <c r="PHT158" s="80"/>
      <c r="PHU158" s="80"/>
      <c r="PHW158" s="80"/>
      <c r="PHX158" s="178"/>
      <c r="PHY158" s="80"/>
      <c r="PHZ158" s="92"/>
      <c r="PIA158" s="53"/>
      <c r="PIB158" s="53"/>
      <c r="PIC158" s="66"/>
      <c r="PID158" s="53"/>
      <c r="PIK158" s="80"/>
      <c r="PIL158" s="80"/>
      <c r="PIM158" s="80"/>
      <c r="PIN158" s="80"/>
      <c r="PIO158" s="80"/>
      <c r="PIQ158" s="80"/>
      <c r="PIR158" s="178"/>
      <c r="PIS158" s="80"/>
      <c r="PIT158" s="92"/>
      <c r="PIU158" s="53"/>
      <c r="PIV158" s="53"/>
      <c r="PIW158" s="66"/>
      <c r="PIX158" s="53"/>
      <c r="PJE158" s="80"/>
      <c r="PJF158" s="80"/>
      <c r="PJG158" s="80"/>
      <c r="PJH158" s="80"/>
      <c r="PJI158" s="80"/>
      <c r="PJK158" s="80"/>
      <c r="PJL158" s="178"/>
      <c r="PJM158" s="80"/>
      <c r="PJN158" s="92"/>
      <c r="PJO158" s="53"/>
      <c r="PJP158" s="53"/>
      <c r="PJQ158" s="66"/>
      <c r="PJR158" s="53"/>
      <c r="PJY158" s="80"/>
      <c r="PJZ158" s="80"/>
      <c r="PKA158" s="80"/>
      <c r="PKB158" s="80"/>
      <c r="PKC158" s="80"/>
      <c r="PKE158" s="80"/>
      <c r="PKF158" s="178"/>
      <c r="PKG158" s="80"/>
      <c r="PKH158" s="92"/>
      <c r="PKI158" s="53"/>
      <c r="PKJ158" s="53"/>
      <c r="PKK158" s="66"/>
      <c r="PKL158" s="53"/>
      <c r="PKS158" s="80"/>
      <c r="PKT158" s="80"/>
      <c r="PKU158" s="80"/>
      <c r="PKV158" s="80"/>
      <c r="PKW158" s="80"/>
      <c r="PKY158" s="80"/>
      <c r="PKZ158" s="178"/>
      <c r="PLA158" s="80"/>
      <c r="PLB158" s="92"/>
      <c r="PLC158" s="53"/>
      <c r="PLD158" s="53"/>
      <c r="PLE158" s="66"/>
      <c r="PLF158" s="53"/>
      <c r="PLM158" s="80"/>
      <c r="PLN158" s="80"/>
      <c r="PLO158" s="80"/>
      <c r="PLP158" s="80"/>
      <c r="PLQ158" s="80"/>
      <c r="PLS158" s="80"/>
      <c r="PLT158" s="178"/>
      <c r="PLU158" s="80"/>
      <c r="PLV158" s="92"/>
      <c r="PLW158" s="53"/>
      <c r="PLX158" s="53"/>
      <c r="PLY158" s="66"/>
      <c r="PLZ158" s="53"/>
      <c r="PMG158" s="80"/>
      <c r="PMH158" s="80"/>
      <c r="PMI158" s="80"/>
      <c r="PMJ158" s="80"/>
      <c r="PMK158" s="80"/>
      <c r="PMM158" s="80"/>
      <c r="PMN158" s="178"/>
      <c r="PMO158" s="80"/>
      <c r="PMP158" s="92"/>
      <c r="PMQ158" s="53"/>
      <c r="PMR158" s="53"/>
      <c r="PMS158" s="66"/>
      <c r="PMT158" s="53"/>
      <c r="PNA158" s="80"/>
      <c r="PNB158" s="80"/>
      <c r="PNC158" s="80"/>
      <c r="PND158" s="80"/>
      <c r="PNE158" s="80"/>
      <c r="PNG158" s="80"/>
      <c r="PNH158" s="178"/>
      <c r="PNI158" s="80"/>
      <c r="PNJ158" s="92"/>
      <c r="PNK158" s="53"/>
      <c r="PNL158" s="53"/>
      <c r="PNM158" s="66"/>
      <c r="PNN158" s="53"/>
      <c r="PNU158" s="80"/>
      <c r="PNV158" s="80"/>
      <c r="PNW158" s="80"/>
      <c r="PNX158" s="80"/>
      <c r="PNY158" s="80"/>
      <c r="POA158" s="80"/>
      <c r="POB158" s="178"/>
      <c r="POC158" s="80"/>
      <c r="POD158" s="92"/>
      <c r="POE158" s="53"/>
      <c r="POF158" s="53"/>
      <c r="POG158" s="66"/>
      <c r="POH158" s="53"/>
      <c r="POO158" s="80"/>
      <c r="POP158" s="80"/>
      <c r="POQ158" s="80"/>
      <c r="POR158" s="80"/>
      <c r="POS158" s="80"/>
      <c r="POU158" s="80"/>
      <c r="POV158" s="178"/>
      <c r="POW158" s="80"/>
      <c r="POX158" s="92"/>
      <c r="POY158" s="53"/>
      <c r="POZ158" s="53"/>
      <c r="PPA158" s="66"/>
      <c r="PPB158" s="53"/>
      <c r="PPI158" s="80"/>
      <c r="PPJ158" s="80"/>
      <c r="PPK158" s="80"/>
      <c r="PPL158" s="80"/>
      <c r="PPM158" s="80"/>
      <c r="PPO158" s="80"/>
      <c r="PPP158" s="178"/>
      <c r="PPQ158" s="80"/>
      <c r="PPR158" s="92"/>
      <c r="PPS158" s="53"/>
      <c r="PPT158" s="53"/>
      <c r="PPU158" s="66"/>
      <c r="PPV158" s="53"/>
      <c r="PQC158" s="80"/>
      <c r="PQD158" s="80"/>
      <c r="PQE158" s="80"/>
      <c r="PQF158" s="80"/>
      <c r="PQG158" s="80"/>
      <c r="PQI158" s="80"/>
      <c r="PQJ158" s="178"/>
      <c r="PQK158" s="80"/>
      <c r="PQL158" s="92"/>
      <c r="PQM158" s="53"/>
      <c r="PQN158" s="53"/>
      <c r="PQO158" s="66"/>
      <c r="PQP158" s="53"/>
      <c r="PQW158" s="80"/>
      <c r="PQX158" s="80"/>
      <c r="PQY158" s="80"/>
      <c r="PQZ158" s="80"/>
      <c r="PRA158" s="80"/>
      <c r="PRC158" s="80"/>
      <c r="PRD158" s="178"/>
      <c r="PRE158" s="80"/>
      <c r="PRF158" s="92"/>
      <c r="PRG158" s="53"/>
      <c r="PRH158" s="53"/>
      <c r="PRI158" s="66"/>
      <c r="PRJ158" s="53"/>
      <c r="PRQ158" s="80"/>
      <c r="PRR158" s="80"/>
      <c r="PRS158" s="80"/>
      <c r="PRT158" s="80"/>
      <c r="PRU158" s="80"/>
      <c r="PRW158" s="80"/>
      <c r="PRX158" s="178"/>
      <c r="PRY158" s="80"/>
      <c r="PRZ158" s="92"/>
      <c r="PSA158" s="53"/>
      <c r="PSB158" s="53"/>
      <c r="PSC158" s="66"/>
      <c r="PSD158" s="53"/>
      <c r="PSK158" s="80"/>
      <c r="PSL158" s="80"/>
      <c r="PSM158" s="80"/>
      <c r="PSN158" s="80"/>
      <c r="PSO158" s="80"/>
      <c r="PSQ158" s="80"/>
      <c r="PSR158" s="178"/>
      <c r="PSS158" s="80"/>
      <c r="PST158" s="92"/>
      <c r="PSU158" s="53"/>
      <c r="PSV158" s="53"/>
      <c r="PSW158" s="66"/>
      <c r="PSX158" s="53"/>
      <c r="PTE158" s="80"/>
      <c r="PTF158" s="80"/>
      <c r="PTG158" s="80"/>
      <c r="PTH158" s="80"/>
      <c r="PTI158" s="80"/>
      <c r="PTK158" s="80"/>
      <c r="PTL158" s="178"/>
      <c r="PTM158" s="80"/>
      <c r="PTN158" s="92"/>
      <c r="PTO158" s="53"/>
      <c r="PTP158" s="53"/>
      <c r="PTQ158" s="66"/>
      <c r="PTR158" s="53"/>
      <c r="PTY158" s="80"/>
      <c r="PTZ158" s="80"/>
      <c r="PUA158" s="80"/>
      <c r="PUB158" s="80"/>
      <c r="PUC158" s="80"/>
      <c r="PUE158" s="80"/>
      <c r="PUF158" s="178"/>
      <c r="PUG158" s="80"/>
      <c r="PUH158" s="92"/>
      <c r="PUI158" s="53"/>
      <c r="PUJ158" s="53"/>
      <c r="PUK158" s="66"/>
      <c r="PUL158" s="53"/>
      <c r="PUS158" s="80"/>
      <c r="PUT158" s="80"/>
      <c r="PUU158" s="80"/>
      <c r="PUV158" s="80"/>
      <c r="PUW158" s="80"/>
      <c r="PUY158" s="80"/>
      <c r="PUZ158" s="178"/>
      <c r="PVA158" s="80"/>
      <c r="PVB158" s="92"/>
      <c r="PVC158" s="53"/>
      <c r="PVD158" s="53"/>
      <c r="PVE158" s="66"/>
      <c r="PVF158" s="53"/>
      <c r="PVM158" s="80"/>
      <c r="PVN158" s="80"/>
      <c r="PVO158" s="80"/>
      <c r="PVP158" s="80"/>
      <c r="PVQ158" s="80"/>
      <c r="PVS158" s="80"/>
      <c r="PVT158" s="178"/>
      <c r="PVU158" s="80"/>
      <c r="PVV158" s="92"/>
      <c r="PVW158" s="53"/>
      <c r="PVX158" s="53"/>
      <c r="PVY158" s="66"/>
      <c r="PVZ158" s="53"/>
      <c r="PWG158" s="80"/>
      <c r="PWH158" s="80"/>
      <c r="PWI158" s="80"/>
      <c r="PWJ158" s="80"/>
      <c r="PWK158" s="80"/>
      <c r="PWM158" s="80"/>
      <c r="PWN158" s="178"/>
      <c r="PWO158" s="80"/>
      <c r="PWP158" s="92"/>
      <c r="PWQ158" s="53"/>
      <c r="PWR158" s="53"/>
      <c r="PWS158" s="66"/>
      <c r="PWT158" s="53"/>
      <c r="PXA158" s="80"/>
      <c r="PXB158" s="80"/>
      <c r="PXC158" s="80"/>
      <c r="PXD158" s="80"/>
      <c r="PXE158" s="80"/>
      <c r="PXG158" s="80"/>
      <c r="PXH158" s="178"/>
      <c r="PXI158" s="80"/>
      <c r="PXJ158" s="92"/>
      <c r="PXK158" s="53"/>
      <c r="PXL158" s="53"/>
      <c r="PXM158" s="66"/>
      <c r="PXN158" s="53"/>
      <c r="PXU158" s="80"/>
      <c r="PXV158" s="80"/>
      <c r="PXW158" s="80"/>
      <c r="PXX158" s="80"/>
      <c r="PXY158" s="80"/>
      <c r="PYA158" s="80"/>
      <c r="PYB158" s="178"/>
      <c r="PYC158" s="80"/>
      <c r="PYD158" s="92"/>
      <c r="PYE158" s="53"/>
      <c r="PYF158" s="53"/>
      <c r="PYG158" s="66"/>
      <c r="PYH158" s="53"/>
      <c r="PYO158" s="80"/>
      <c r="PYP158" s="80"/>
      <c r="PYQ158" s="80"/>
      <c r="PYR158" s="80"/>
      <c r="PYS158" s="80"/>
      <c r="PYU158" s="80"/>
      <c r="PYV158" s="178"/>
      <c r="PYW158" s="80"/>
      <c r="PYX158" s="92"/>
      <c r="PYY158" s="53"/>
      <c r="PYZ158" s="53"/>
      <c r="PZA158" s="66"/>
      <c r="PZB158" s="53"/>
      <c r="PZI158" s="80"/>
      <c r="PZJ158" s="80"/>
      <c r="PZK158" s="80"/>
      <c r="PZL158" s="80"/>
      <c r="PZM158" s="80"/>
      <c r="PZO158" s="80"/>
      <c r="PZP158" s="178"/>
      <c r="PZQ158" s="80"/>
      <c r="PZR158" s="92"/>
      <c r="PZS158" s="53"/>
      <c r="PZT158" s="53"/>
      <c r="PZU158" s="66"/>
      <c r="PZV158" s="53"/>
      <c r="QAC158" s="80"/>
      <c r="QAD158" s="80"/>
      <c r="QAE158" s="80"/>
      <c r="QAF158" s="80"/>
      <c r="QAG158" s="80"/>
      <c r="QAI158" s="80"/>
      <c r="QAJ158" s="178"/>
      <c r="QAK158" s="80"/>
      <c r="QAL158" s="92"/>
      <c r="QAM158" s="53"/>
      <c r="QAN158" s="53"/>
      <c r="QAO158" s="66"/>
      <c r="QAP158" s="53"/>
      <c r="QAW158" s="80"/>
      <c r="QAX158" s="80"/>
      <c r="QAY158" s="80"/>
      <c r="QAZ158" s="80"/>
      <c r="QBA158" s="80"/>
      <c r="QBC158" s="80"/>
      <c r="QBD158" s="178"/>
      <c r="QBE158" s="80"/>
      <c r="QBF158" s="92"/>
      <c r="QBG158" s="53"/>
      <c r="QBH158" s="53"/>
      <c r="QBI158" s="66"/>
      <c r="QBJ158" s="53"/>
      <c r="QBQ158" s="80"/>
      <c r="QBR158" s="80"/>
      <c r="QBS158" s="80"/>
      <c r="QBT158" s="80"/>
      <c r="QBU158" s="80"/>
      <c r="QBW158" s="80"/>
      <c r="QBX158" s="178"/>
      <c r="QBY158" s="80"/>
      <c r="QBZ158" s="92"/>
      <c r="QCA158" s="53"/>
      <c r="QCB158" s="53"/>
      <c r="QCC158" s="66"/>
      <c r="QCD158" s="53"/>
      <c r="QCK158" s="80"/>
      <c r="QCL158" s="80"/>
      <c r="QCM158" s="80"/>
      <c r="QCN158" s="80"/>
      <c r="QCO158" s="80"/>
      <c r="QCQ158" s="80"/>
      <c r="QCR158" s="178"/>
      <c r="QCS158" s="80"/>
      <c r="QCT158" s="92"/>
      <c r="QCU158" s="53"/>
      <c r="QCV158" s="53"/>
      <c r="QCW158" s="66"/>
      <c r="QCX158" s="53"/>
      <c r="QDE158" s="80"/>
      <c r="QDF158" s="80"/>
      <c r="QDG158" s="80"/>
      <c r="QDH158" s="80"/>
      <c r="QDI158" s="80"/>
      <c r="QDK158" s="80"/>
      <c r="QDL158" s="178"/>
      <c r="QDM158" s="80"/>
      <c r="QDN158" s="92"/>
      <c r="QDO158" s="53"/>
      <c r="QDP158" s="53"/>
      <c r="QDQ158" s="66"/>
      <c r="QDR158" s="53"/>
      <c r="QDY158" s="80"/>
      <c r="QDZ158" s="80"/>
      <c r="QEA158" s="80"/>
      <c r="QEB158" s="80"/>
      <c r="QEC158" s="80"/>
      <c r="QEE158" s="80"/>
      <c r="QEF158" s="178"/>
      <c r="QEG158" s="80"/>
      <c r="QEH158" s="92"/>
      <c r="QEI158" s="53"/>
      <c r="QEJ158" s="53"/>
      <c r="QEK158" s="66"/>
      <c r="QEL158" s="53"/>
      <c r="QES158" s="80"/>
      <c r="QET158" s="80"/>
      <c r="QEU158" s="80"/>
      <c r="QEV158" s="80"/>
      <c r="QEW158" s="80"/>
      <c r="QEY158" s="80"/>
      <c r="QEZ158" s="178"/>
      <c r="QFA158" s="80"/>
      <c r="QFB158" s="92"/>
      <c r="QFC158" s="53"/>
      <c r="QFD158" s="53"/>
      <c r="QFE158" s="66"/>
      <c r="QFF158" s="53"/>
      <c r="QFM158" s="80"/>
      <c r="QFN158" s="80"/>
      <c r="QFO158" s="80"/>
      <c r="QFP158" s="80"/>
      <c r="QFQ158" s="80"/>
      <c r="QFS158" s="80"/>
      <c r="QFT158" s="178"/>
      <c r="QFU158" s="80"/>
      <c r="QFV158" s="92"/>
      <c r="QFW158" s="53"/>
      <c r="QFX158" s="53"/>
      <c r="QFY158" s="66"/>
      <c r="QFZ158" s="53"/>
      <c r="QGG158" s="80"/>
      <c r="QGH158" s="80"/>
      <c r="QGI158" s="80"/>
      <c r="QGJ158" s="80"/>
      <c r="QGK158" s="80"/>
      <c r="QGM158" s="80"/>
      <c r="QGN158" s="178"/>
      <c r="QGO158" s="80"/>
      <c r="QGP158" s="92"/>
      <c r="QGQ158" s="53"/>
      <c r="QGR158" s="53"/>
      <c r="QGS158" s="66"/>
      <c r="QGT158" s="53"/>
      <c r="QHA158" s="80"/>
      <c r="QHB158" s="80"/>
      <c r="QHC158" s="80"/>
      <c r="QHD158" s="80"/>
      <c r="QHE158" s="80"/>
      <c r="QHG158" s="80"/>
      <c r="QHH158" s="178"/>
      <c r="QHI158" s="80"/>
      <c r="QHJ158" s="92"/>
      <c r="QHK158" s="53"/>
      <c r="QHL158" s="53"/>
      <c r="QHM158" s="66"/>
      <c r="QHN158" s="53"/>
      <c r="QHU158" s="80"/>
      <c r="QHV158" s="80"/>
      <c r="QHW158" s="80"/>
      <c r="QHX158" s="80"/>
      <c r="QHY158" s="80"/>
      <c r="QIA158" s="80"/>
      <c r="QIB158" s="178"/>
      <c r="QIC158" s="80"/>
      <c r="QID158" s="92"/>
      <c r="QIE158" s="53"/>
      <c r="QIF158" s="53"/>
      <c r="QIG158" s="66"/>
      <c r="QIH158" s="53"/>
      <c r="QIO158" s="80"/>
      <c r="QIP158" s="80"/>
      <c r="QIQ158" s="80"/>
      <c r="QIR158" s="80"/>
      <c r="QIS158" s="80"/>
      <c r="QIU158" s="80"/>
      <c r="QIV158" s="178"/>
      <c r="QIW158" s="80"/>
      <c r="QIX158" s="92"/>
      <c r="QIY158" s="53"/>
      <c r="QIZ158" s="53"/>
      <c r="QJA158" s="66"/>
      <c r="QJB158" s="53"/>
      <c r="QJI158" s="80"/>
      <c r="QJJ158" s="80"/>
      <c r="QJK158" s="80"/>
      <c r="QJL158" s="80"/>
      <c r="QJM158" s="80"/>
      <c r="QJO158" s="80"/>
      <c r="QJP158" s="178"/>
      <c r="QJQ158" s="80"/>
      <c r="QJR158" s="92"/>
      <c r="QJS158" s="53"/>
      <c r="QJT158" s="53"/>
      <c r="QJU158" s="66"/>
      <c r="QJV158" s="53"/>
      <c r="QKC158" s="80"/>
      <c r="QKD158" s="80"/>
      <c r="QKE158" s="80"/>
      <c r="QKF158" s="80"/>
      <c r="QKG158" s="80"/>
      <c r="QKI158" s="80"/>
      <c r="QKJ158" s="178"/>
      <c r="QKK158" s="80"/>
      <c r="QKL158" s="92"/>
      <c r="QKM158" s="53"/>
      <c r="QKN158" s="53"/>
      <c r="QKO158" s="66"/>
      <c r="QKP158" s="53"/>
      <c r="QKW158" s="80"/>
      <c r="QKX158" s="80"/>
      <c r="QKY158" s="80"/>
      <c r="QKZ158" s="80"/>
      <c r="QLA158" s="80"/>
      <c r="QLC158" s="80"/>
      <c r="QLD158" s="178"/>
      <c r="QLE158" s="80"/>
      <c r="QLF158" s="92"/>
      <c r="QLG158" s="53"/>
      <c r="QLH158" s="53"/>
      <c r="QLI158" s="66"/>
      <c r="QLJ158" s="53"/>
      <c r="QLQ158" s="80"/>
      <c r="QLR158" s="80"/>
      <c r="QLS158" s="80"/>
      <c r="QLT158" s="80"/>
      <c r="QLU158" s="80"/>
      <c r="QLW158" s="80"/>
      <c r="QLX158" s="178"/>
      <c r="QLY158" s="80"/>
      <c r="QLZ158" s="92"/>
      <c r="QMA158" s="53"/>
      <c r="QMB158" s="53"/>
      <c r="QMC158" s="66"/>
      <c r="QMD158" s="53"/>
      <c r="QMK158" s="80"/>
      <c r="QML158" s="80"/>
      <c r="QMM158" s="80"/>
      <c r="QMN158" s="80"/>
      <c r="QMO158" s="80"/>
      <c r="QMQ158" s="80"/>
      <c r="QMR158" s="178"/>
      <c r="QMS158" s="80"/>
      <c r="QMT158" s="92"/>
      <c r="QMU158" s="53"/>
      <c r="QMV158" s="53"/>
      <c r="QMW158" s="66"/>
      <c r="QMX158" s="53"/>
      <c r="QNE158" s="80"/>
      <c r="QNF158" s="80"/>
      <c r="QNG158" s="80"/>
      <c r="QNH158" s="80"/>
      <c r="QNI158" s="80"/>
      <c r="QNK158" s="80"/>
      <c r="QNL158" s="178"/>
      <c r="QNM158" s="80"/>
      <c r="QNN158" s="92"/>
      <c r="QNO158" s="53"/>
      <c r="QNP158" s="53"/>
      <c r="QNQ158" s="66"/>
      <c r="QNR158" s="53"/>
      <c r="QNY158" s="80"/>
      <c r="QNZ158" s="80"/>
      <c r="QOA158" s="80"/>
      <c r="QOB158" s="80"/>
      <c r="QOC158" s="80"/>
      <c r="QOE158" s="80"/>
      <c r="QOF158" s="178"/>
      <c r="QOG158" s="80"/>
      <c r="QOH158" s="92"/>
      <c r="QOI158" s="53"/>
      <c r="QOJ158" s="53"/>
      <c r="QOK158" s="66"/>
      <c r="QOL158" s="53"/>
      <c r="QOS158" s="80"/>
      <c r="QOT158" s="80"/>
      <c r="QOU158" s="80"/>
      <c r="QOV158" s="80"/>
      <c r="QOW158" s="80"/>
      <c r="QOY158" s="80"/>
      <c r="QOZ158" s="178"/>
      <c r="QPA158" s="80"/>
      <c r="QPB158" s="92"/>
      <c r="QPC158" s="53"/>
      <c r="QPD158" s="53"/>
      <c r="QPE158" s="66"/>
      <c r="QPF158" s="53"/>
      <c r="QPM158" s="80"/>
      <c r="QPN158" s="80"/>
      <c r="QPO158" s="80"/>
      <c r="QPP158" s="80"/>
      <c r="QPQ158" s="80"/>
      <c r="QPS158" s="80"/>
      <c r="QPT158" s="178"/>
      <c r="QPU158" s="80"/>
      <c r="QPV158" s="92"/>
      <c r="QPW158" s="53"/>
      <c r="QPX158" s="53"/>
      <c r="QPY158" s="66"/>
      <c r="QPZ158" s="53"/>
      <c r="QQG158" s="80"/>
      <c r="QQH158" s="80"/>
      <c r="QQI158" s="80"/>
      <c r="QQJ158" s="80"/>
      <c r="QQK158" s="80"/>
      <c r="QQM158" s="80"/>
      <c r="QQN158" s="178"/>
      <c r="QQO158" s="80"/>
      <c r="QQP158" s="92"/>
      <c r="QQQ158" s="53"/>
      <c r="QQR158" s="53"/>
      <c r="QQS158" s="66"/>
      <c r="QQT158" s="53"/>
      <c r="QRA158" s="80"/>
      <c r="QRB158" s="80"/>
      <c r="QRC158" s="80"/>
      <c r="QRD158" s="80"/>
      <c r="QRE158" s="80"/>
      <c r="QRG158" s="80"/>
      <c r="QRH158" s="178"/>
      <c r="QRI158" s="80"/>
      <c r="QRJ158" s="92"/>
      <c r="QRK158" s="53"/>
      <c r="QRL158" s="53"/>
      <c r="QRM158" s="66"/>
      <c r="QRN158" s="53"/>
      <c r="QRU158" s="80"/>
      <c r="QRV158" s="80"/>
      <c r="QRW158" s="80"/>
      <c r="QRX158" s="80"/>
      <c r="QRY158" s="80"/>
      <c r="QSA158" s="80"/>
      <c r="QSB158" s="178"/>
      <c r="QSC158" s="80"/>
      <c r="QSD158" s="92"/>
      <c r="QSE158" s="53"/>
      <c r="QSF158" s="53"/>
      <c r="QSG158" s="66"/>
      <c r="QSH158" s="53"/>
      <c r="QSO158" s="80"/>
      <c r="QSP158" s="80"/>
      <c r="QSQ158" s="80"/>
      <c r="QSR158" s="80"/>
      <c r="QSS158" s="80"/>
      <c r="QSU158" s="80"/>
      <c r="QSV158" s="178"/>
      <c r="QSW158" s="80"/>
      <c r="QSX158" s="92"/>
      <c r="QSY158" s="53"/>
      <c r="QSZ158" s="53"/>
      <c r="QTA158" s="66"/>
      <c r="QTB158" s="53"/>
      <c r="QTI158" s="80"/>
      <c r="QTJ158" s="80"/>
      <c r="QTK158" s="80"/>
      <c r="QTL158" s="80"/>
      <c r="QTM158" s="80"/>
      <c r="QTO158" s="80"/>
      <c r="QTP158" s="178"/>
      <c r="QTQ158" s="80"/>
      <c r="QTR158" s="92"/>
      <c r="QTS158" s="53"/>
      <c r="QTT158" s="53"/>
      <c r="QTU158" s="66"/>
      <c r="QTV158" s="53"/>
      <c r="QUC158" s="80"/>
      <c r="QUD158" s="80"/>
      <c r="QUE158" s="80"/>
      <c r="QUF158" s="80"/>
      <c r="QUG158" s="80"/>
      <c r="QUI158" s="80"/>
      <c r="QUJ158" s="178"/>
      <c r="QUK158" s="80"/>
      <c r="QUL158" s="92"/>
      <c r="QUM158" s="53"/>
      <c r="QUN158" s="53"/>
      <c r="QUO158" s="66"/>
      <c r="QUP158" s="53"/>
      <c r="QUW158" s="80"/>
      <c r="QUX158" s="80"/>
      <c r="QUY158" s="80"/>
      <c r="QUZ158" s="80"/>
      <c r="QVA158" s="80"/>
      <c r="QVC158" s="80"/>
      <c r="QVD158" s="178"/>
      <c r="QVE158" s="80"/>
      <c r="QVF158" s="92"/>
      <c r="QVG158" s="53"/>
      <c r="QVH158" s="53"/>
      <c r="QVI158" s="66"/>
      <c r="QVJ158" s="53"/>
      <c r="QVQ158" s="80"/>
      <c r="QVR158" s="80"/>
      <c r="QVS158" s="80"/>
      <c r="QVT158" s="80"/>
      <c r="QVU158" s="80"/>
      <c r="QVW158" s="80"/>
      <c r="QVX158" s="178"/>
      <c r="QVY158" s="80"/>
      <c r="QVZ158" s="92"/>
      <c r="QWA158" s="53"/>
      <c r="QWB158" s="53"/>
      <c r="QWC158" s="66"/>
      <c r="QWD158" s="53"/>
      <c r="QWK158" s="80"/>
      <c r="QWL158" s="80"/>
      <c r="QWM158" s="80"/>
      <c r="QWN158" s="80"/>
      <c r="QWO158" s="80"/>
      <c r="QWQ158" s="80"/>
      <c r="QWR158" s="178"/>
      <c r="QWS158" s="80"/>
      <c r="QWT158" s="92"/>
      <c r="QWU158" s="53"/>
      <c r="QWV158" s="53"/>
      <c r="QWW158" s="66"/>
      <c r="QWX158" s="53"/>
      <c r="QXE158" s="80"/>
      <c r="QXF158" s="80"/>
      <c r="QXG158" s="80"/>
      <c r="QXH158" s="80"/>
      <c r="QXI158" s="80"/>
      <c r="QXK158" s="80"/>
      <c r="QXL158" s="178"/>
      <c r="QXM158" s="80"/>
      <c r="QXN158" s="92"/>
      <c r="QXO158" s="53"/>
      <c r="QXP158" s="53"/>
      <c r="QXQ158" s="66"/>
      <c r="QXR158" s="53"/>
      <c r="QXY158" s="80"/>
      <c r="QXZ158" s="80"/>
      <c r="QYA158" s="80"/>
      <c r="QYB158" s="80"/>
      <c r="QYC158" s="80"/>
      <c r="QYE158" s="80"/>
      <c r="QYF158" s="178"/>
      <c r="QYG158" s="80"/>
      <c r="QYH158" s="92"/>
      <c r="QYI158" s="53"/>
      <c r="QYJ158" s="53"/>
      <c r="QYK158" s="66"/>
      <c r="QYL158" s="53"/>
      <c r="QYS158" s="80"/>
      <c r="QYT158" s="80"/>
      <c r="QYU158" s="80"/>
      <c r="QYV158" s="80"/>
      <c r="QYW158" s="80"/>
      <c r="QYY158" s="80"/>
      <c r="QYZ158" s="178"/>
      <c r="QZA158" s="80"/>
      <c r="QZB158" s="92"/>
      <c r="QZC158" s="53"/>
      <c r="QZD158" s="53"/>
      <c r="QZE158" s="66"/>
      <c r="QZF158" s="53"/>
      <c r="QZM158" s="80"/>
      <c r="QZN158" s="80"/>
      <c r="QZO158" s="80"/>
      <c r="QZP158" s="80"/>
      <c r="QZQ158" s="80"/>
      <c r="QZS158" s="80"/>
      <c r="QZT158" s="178"/>
      <c r="QZU158" s="80"/>
      <c r="QZV158" s="92"/>
      <c r="QZW158" s="53"/>
      <c r="QZX158" s="53"/>
      <c r="QZY158" s="66"/>
      <c r="QZZ158" s="53"/>
      <c r="RAG158" s="80"/>
      <c r="RAH158" s="80"/>
      <c r="RAI158" s="80"/>
      <c r="RAJ158" s="80"/>
      <c r="RAK158" s="80"/>
      <c r="RAM158" s="80"/>
      <c r="RAN158" s="178"/>
      <c r="RAO158" s="80"/>
      <c r="RAP158" s="92"/>
      <c r="RAQ158" s="53"/>
      <c r="RAR158" s="53"/>
      <c r="RAS158" s="66"/>
      <c r="RAT158" s="53"/>
      <c r="RBA158" s="80"/>
      <c r="RBB158" s="80"/>
      <c r="RBC158" s="80"/>
      <c r="RBD158" s="80"/>
      <c r="RBE158" s="80"/>
      <c r="RBG158" s="80"/>
      <c r="RBH158" s="178"/>
      <c r="RBI158" s="80"/>
      <c r="RBJ158" s="92"/>
      <c r="RBK158" s="53"/>
      <c r="RBL158" s="53"/>
      <c r="RBM158" s="66"/>
      <c r="RBN158" s="53"/>
      <c r="RBU158" s="80"/>
      <c r="RBV158" s="80"/>
      <c r="RBW158" s="80"/>
      <c r="RBX158" s="80"/>
      <c r="RBY158" s="80"/>
      <c r="RCA158" s="80"/>
      <c r="RCB158" s="178"/>
      <c r="RCC158" s="80"/>
      <c r="RCD158" s="92"/>
      <c r="RCE158" s="53"/>
      <c r="RCF158" s="53"/>
      <c r="RCG158" s="66"/>
      <c r="RCH158" s="53"/>
      <c r="RCO158" s="80"/>
      <c r="RCP158" s="80"/>
      <c r="RCQ158" s="80"/>
      <c r="RCR158" s="80"/>
      <c r="RCS158" s="80"/>
      <c r="RCU158" s="80"/>
      <c r="RCV158" s="178"/>
      <c r="RCW158" s="80"/>
      <c r="RCX158" s="92"/>
      <c r="RCY158" s="53"/>
      <c r="RCZ158" s="53"/>
      <c r="RDA158" s="66"/>
      <c r="RDB158" s="53"/>
      <c r="RDI158" s="80"/>
      <c r="RDJ158" s="80"/>
      <c r="RDK158" s="80"/>
      <c r="RDL158" s="80"/>
      <c r="RDM158" s="80"/>
      <c r="RDO158" s="80"/>
      <c r="RDP158" s="178"/>
      <c r="RDQ158" s="80"/>
      <c r="RDR158" s="92"/>
      <c r="RDS158" s="53"/>
      <c r="RDT158" s="53"/>
      <c r="RDU158" s="66"/>
      <c r="RDV158" s="53"/>
      <c r="REC158" s="80"/>
      <c r="RED158" s="80"/>
      <c r="REE158" s="80"/>
      <c r="REF158" s="80"/>
      <c r="REG158" s="80"/>
      <c r="REI158" s="80"/>
      <c r="REJ158" s="178"/>
      <c r="REK158" s="80"/>
      <c r="REL158" s="92"/>
      <c r="REM158" s="53"/>
      <c r="REN158" s="53"/>
      <c r="REO158" s="66"/>
      <c r="REP158" s="53"/>
      <c r="REW158" s="80"/>
      <c r="REX158" s="80"/>
      <c r="REY158" s="80"/>
      <c r="REZ158" s="80"/>
      <c r="RFA158" s="80"/>
      <c r="RFC158" s="80"/>
      <c r="RFD158" s="178"/>
      <c r="RFE158" s="80"/>
      <c r="RFF158" s="92"/>
      <c r="RFG158" s="53"/>
      <c r="RFH158" s="53"/>
      <c r="RFI158" s="66"/>
      <c r="RFJ158" s="53"/>
      <c r="RFQ158" s="80"/>
      <c r="RFR158" s="80"/>
      <c r="RFS158" s="80"/>
      <c r="RFT158" s="80"/>
      <c r="RFU158" s="80"/>
      <c r="RFW158" s="80"/>
      <c r="RFX158" s="178"/>
      <c r="RFY158" s="80"/>
      <c r="RFZ158" s="92"/>
      <c r="RGA158" s="53"/>
      <c r="RGB158" s="53"/>
      <c r="RGC158" s="66"/>
      <c r="RGD158" s="53"/>
      <c r="RGK158" s="80"/>
      <c r="RGL158" s="80"/>
      <c r="RGM158" s="80"/>
      <c r="RGN158" s="80"/>
      <c r="RGO158" s="80"/>
      <c r="RGQ158" s="80"/>
      <c r="RGR158" s="178"/>
      <c r="RGS158" s="80"/>
      <c r="RGT158" s="92"/>
      <c r="RGU158" s="53"/>
      <c r="RGV158" s="53"/>
      <c r="RGW158" s="66"/>
      <c r="RGX158" s="53"/>
      <c r="RHE158" s="80"/>
      <c r="RHF158" s="80"/>
      <c r="RHG158" s="80"/>
      <c r="RHH158" s="80"/>
      <c r="RHI158" s="80"/>
      <c r="RHK158" s="80"/>
      <c r="RHL158" s="178"/>
      <c r="RHM158" s="80"/>
      <c r="RHN158" s="92"/>
      <c r="RHO158" s="53"/>
      <c r="RHP158" s="53"/>
      <c r="RHQ158" s="66"/>
      <c r="RHR158" s="53"/>
      <c r="RHY158" s="80"/>
      <c r="RHZ158" s="80"/>
      <c r="RIA158" s="80"/>
      <c r="RIB158" s="80"/>
      <c r="RIC158" s="80"/>
      <c r="RIE158" s="80"/>
      <c r="RIF158" s="178"/>
      <c r="RIG158" s="80"/>
      <c r="RIH158" s="92"/>
      <c r="RII158" s="53"/>
      <c r="RIJ158" s="53"/>
      <c r="RIK158" s="66"/>
      <c r="RIL158" s="53"/>
      <c r="RIS158" s="80"/>
      <c r="RIT158" s="80"/>
      <c r="RIU158" s="80"/>
      <c r="RIV158" s="80"/>
      <c r="RIW158" s="80"/>
      <c r="RIY158" s="80"/>
      <c r="RIZ158" s="178"/>
      <c r="RJA158" s="80"/>
      <c r="RJB158" s="92"/>
      <c r="RJC158" s="53"/>
      <c r="RJD158" s="53"/>
      <c r="RJE158" s="66"/>
      <c r="RJF158" s="53"/>
      <c r="RJM158" s="80"/>
      <c r="RJN158" s="80"/>
      <c r="RJO158" s="80"/>
      <c r="RJP158" s="80"/>
      <c r="RJQ158" s="80"/>
      <c r="RJS158" s="80"/>
      <c r="RJT158" s="178"/>
      <c r="RJU158" s="80"/>
      <c r="RJV158" s="92"/>
      <c r="RJW158" s="53"/>
      <c r="RJX158" s="53"/>
      <c r="RJY158" s="66"/>
      <c r="RJZ158" s="53"/>
      <c r="RKG158" s="80"/>
      <c r="RKH158" s="80"/>
      <c r="RKI158" s="80"/>
      <c r="RKJ158" s="80"/>
      <c r="RKK158" s="80"/>
      <c r="RKM158" s="80"/>
      <c r="RKN158" s="178"/>
      <c r="RKO158" s="80"/>
      <c r="RKP158" s="92"/>
      <c r="RKQ158" s="53"/>
      <c r="RKR158" s="53"/>
      <c r="RKS158" s="66"/>
      <c r="RKT158" s="53"/>
      <c r="RLA158" s="80"/>
      <c r="RLB158" s="80"/>
      <c r="RLC158" s="80"/>
      <c r="RLD158" s="80"/>
      <c r="RLE158" s="80"/>
      <c r="RLG158" s="80"/>
      <c r="RLH158" s="178"/>
      <c r="RLI158" s="80"/>
      <c r="RLJ158" s="92"/>
      <c r="RLK158" s="53"/>
      <c r="RLL158" s="53"/>
      <c r="RLM158" s="66"/>
      <c r="RLN158" s="53"/>
      <c r="RLU158" s="80"/>
      <c r="RLV158" s="80"/>
      <c r="RLW158" s="80"/>
      <c r="RLX158" s="80"/>
      <c r="RLY158" s="80"/>
      <c r="RMA158" s="80"/>
      <c r="RMB158" s="178"/>
      <c r="RMC158" s="80"/>
      <c r="RMD158" s="92"/>
      <c r="RME158" s="53"/>
      <c r="RMF158" s="53"/>
      <c r="RMG158" s="66"/>
      <c r="RMH158" s="53"/>
      <c r="RMO158" s="80"/>
      <c r="RMP158" s="80"/>
      <c r="RMQ158" s="80"/>
      <c r="RMR158" s="80"/>
      <c r="RMS158" s="80"/>
      <c r="RMU158" s="80"/>
      <c r="RMV158" s="178"/>
      <c r="RMW158" s="80"/>
      <c r="RMX158" s="92"/>
      <c r="RMY158" s="53"/>
      <c r="RMZ158" s="53"/>
      <c r="RNA158" s="66"/>
      <c r="RNB158" s="53"/>
      <c r="RNI158" s="80"/>
      <c r="RNJ158" s="80"/>
      <c r="RNK158" s="80"/>
      <c r="RNL158" s="80"/>
      <c r="RNM158" s="80"/>
      <c r="RNO158" s="80"/>
      <c r="RNP158" s="178"/>
      <c r="RNQ158" s="80"/>
      <c r="RNR158" s="92"/>
      <c r="RNS158" s="53"/>
      <c r="RNT158" s="53"/>
      <c r="RNU158" s="66"/>
      <c r="RNV158" s="53"/>
      <c r="ROC158" s="80"/>
      <c r="ROD158" s="80"/>
      <c r="ROE158" s="80"/>
      <c r="ROF158" s="80"/>
      <c r="ROG158" s="80"/>
      <c r="ROI158" s="80"/>
      <c r="ROJ158" s="178"/>
      <c r="ROK158" s="80"/>
      <c r="ROL158" s="92"/>
      <c r="ROM158" s="53"/>
      <c r="RON158" s="53"/>
      <c r="ROO158" s="66"/>
      <c r="ROP158" s="53"/>
      <c r="ROW158" s="80"/>
      <c r="ROX158" s="80"/>
      <c r="ROY158" s="80"/>
      <c r="ROZ158" s="80"/>
      <c r="RPA158" s="80"/>
      <c r="RPC158" s="80"/>
      <c r="RPD158" s="178"/>
      <c r="RPE158" s="80"/>
      <c r="RPF158" s="92"/>
      <c r="RPG158" s="53"/>
      <c r="RPH158" s="53"/>
      <c r="RPI158" s="66"/>
      <c r="RPJ158" s="53"/>
      <c r="RPQ158" s="80"/>
      <c r="RPR158" s="80"/>
      <c r="RPS158" s="80"/>
      <c r="RPT158" s="80"/>
      <c r="RPU158" s="80"/>
      <c r="RPW158" s="80"/>
      <c r="RPX158" s="178"/>
      <c r="RPY158" s="80"/>
      <c r="RPZ158" s="92"/>
      <c r="RQA158" s="53"/>
      <c r="RQB158" s="53"/>
      <c r="RQC158" s="66"/>
      <c r="RQD158" s="53"/>
      <c r="RQK158" s="80"/>
      <c r="RQL158" s="80"/>
      <c r="RQM158" s="80"/>
      <c r="RQN158" s="80"/>
      <c r="RQO158" s="80"/>
      <c r="RQQ158" s="80"/>
      <c r="RQR158" s="178"/>
      <c r="RQS158" s="80"/>
      <c r="RQT158" s="92"/>
      <c r="RQU158" s="53"/>
      <c r="RQV158" s="53"/>
      <c r="RQW158" s="66"/>
      <c r="RQX158" s="53"/>
      <c r="RRE158" s="80"/>
      <c r="RRF158" s="80"/>
      <c r="RRG158" s="80"/>
      <c r="RRH158" s="80"/>
      <c r="RRI158" s="80"/>
      <c r="RRK158" s="80"/>
      <c r="RRL158" s="178"/>
      <c r="RRM158" s="80"/>
      <c r="RRN158" s="92"/>
      <c r="RRO158" s="53"/>
      <c r="RRP158" s="53"/>
      <c r="RRQ158" s="66"/>
      <c r="RRR158" s="53"/>
      <c r="RRY158" s="80"/>
      <c r="RRZ158" s="80"/>
      <c r="RSA158" s="80"/>
      <c r="RSB158" s="80"/>
      <c r="RSC158" s="80"/>
      <c r="RSE158" s="80"/>
      <c r="RSF158" s="178"/>
      <c r="RSG158" s="80"/>
      <c r="RSH158" s="92"/>
      <c r="RSI158" s="53"/>
      <c r="RSJ158" s="53"/>
      <c r="RSK158" s="66"/>
      <c r="RSL158" s="53"/>
      <c r="RSS158" s="80"/>
      <c r="RST158" s="80"/>
      <c r="RSU158" s="80"/>
      <c r="RSV158" s="80"/>
      <c r="RSW158" s="80"/>
      <c r="RSY158" s="80"/>
      <c r="RSZ158" s="178"/>
      <c r="RTA158" s="80"/>
      <c r="RTB158" s="92"/>
      <c r="RTC158" s="53"/>
      <c r="RTD158" s="53"/>
      <c r="RTE158" s="66"/>
      <c r="RTF158" s="53"/>
      <c r="RTM158" s="80"/>
      <c r="RTN158" s="80"/>
      <c r="RTO158" s="80"/>
      <c r="RTP158" s="80"/>
      <c r="RTQ158" s="80"/>
      <c r="RTS158" s="80"/>
      <c r="RTT158" s="178"/>
      <c r="RTU158" s="80"/>
      <c r="RTV158" s="92"/>
      <c r="RTW158" s="53"/>
      <c r="RTX158" s="53"/>
      <c r="RTY158" s="66"/>
      <c r="RTZ158" s="53"/>
      <c r="RUG158" s="80"/>
      <c r="RUH158" s="80"/>
      <c r="RUI158" s="80"/>
      <c r="RUJ158" s="80"/>
      <c r="RUK158" s="80"/>
      <c r="RUM158" s="80"/>
      <c r="RUN158" s="178"/>
      <c r="RUO158" s="80"/>
      <c r="RUP158" s="92"/>
      <c r="RUQ158" s="53"/>
      <c r="RUR158" s="53"/>
      <c r="RUS158" s="66"/>
      <c r="RUT158" s="53"/>
      <c r="RVA158" s="80"/>
      <c r="RVB158" s="80"/>
      <c r="RVC158" s="80"/>
      <c r="RVD158" s="80"/>
      <c r="RVE158" s="80"/>
      <c r="RVG158" s="80"/>
      <c r="RVH158" s="178"/>
      <c r="RVI158" s="80"/>
      <c r="RVJ158" s="92"/>
      <c r="RVK158" s="53"/>
      <c r="RVL158" s="53"/>
      <c r="RVM158" s="66"/>
      <c r="RVN158" s="53"/>
      <c r="RVU158" s="80"/>
      <c r="RVV158" s="80"/>
      <c r="RVW158" s="80"/>
      <c r="RVX158" s="80"/>
      <c r="RVY158" s="80"/>
      <c r="RWA158" s="80"/>
      <c r="RWB158" s="178"/>
      <c r="RWC158" s="80"/>
      <c r="RWD158" s="92"/>
      <c r="RWE158" s="53"/>
      <c r="RWF158" s="53"/>
      <c r="RWG158" s="66"/>
      <c r="RWH158" s="53"/>
      <c r="RWO158" s="80"/>
      <c r="RWP158" s="80"/>
      <c r="RWQ158" s="80"/>
      <c r="RWR158" s="80"/>
      <c r="RWS158" s="80"/>
      <c r="RWU158" s="80"/>
      <c r="RWV158" s="178"/>
      <c r="RWW158" s="80"/>
      <c r="RWX158" s="92"/>
      <c r="RWY158" s="53"/>
      <c r="RWZ158" s="53"/>
      <c r="RXA158" s="66"/>
      <c r="RXB158" s="53"/>
      <c r="RXI158" s="80"/>
      <c r="RXJ158" s="80"/>
      <c r="RXK158" s="80"/>
      <c r="RXL158" s="80"/>
      <c r="RXM158" s="80"/>
      <c r="RXO158" s="80"/>
      <c r="RXP158" s="178"/>
      <c r="RXQ158" s="80"/>
      <c r="RXR158" s="92"/>
      <c r="RXS158" s="53"/>
      <c r="RXT158" s="53"/>
      <c r="RXU158" s="66"/>
      <c r="RXV158" s="53"/>
      <c r="RYC158" s="80"/>
      <c r="RYD158" s="80"/>
      <c r="RYE158" s="80"/>
      <c r="RYF158" s="80"/>
      <c r="RYG158" s="80"/>
      <c r="RYI158" s="80"/>
      <c r="RYJ158" s="178"/>
      <c r="RYK158" s="80"/>
      <c r="RYL158" s="92"/>
      <c r="RYM158" s="53"/>
      <c r="RYN158" s="53"/>
      <c r="RYO158" s="66"/>
      <c r="RYP158" s="53"/>
      <c r="RYW158" s="80"/>
      <c r="RYX158" s="80"/>
      <c r="RYY158" s="80"/>
      <c r="RYZ158" s="80"/>
      <c r="RZA158" s="80"/>
      <c r="RZC158" s="80"/>
      <c r="RZD158" s="178"/>
      <c r="RZE158" s="80"/>
      <c r="RZF158" s="92"/>
      <c r="RZG158" s="53"/>
      <c r="RZH158" s="53"/>
      <c r="RZI158" s="66"/>
      <c r="RZJ158" s="53"/>
      <c r="RZQ158" s="80"/>
      <c r="RZR158" s="80"/>
      <c r="RZS158" s="80"/>
      <c r="RZT158" s="80"/>
      <c r="RZU158" s="80"/>
      <c r="RZW158" s="80"/>
      <c r="RZX158" s="178"/>
      <c r="RZY158" s="80"/>
      <c r="RZZ158" s="92"/>
      <c r="SAA158" s="53"/>
      <c r="SAB158" s="53"/>
      <c r="SAC158" s="66"/>
      <c r="SAD158" s="53"/>
      <c r="SAK158" s="80"/>
      <c r="SAL158" s="80"/>
      <c r="SAM158" s="80"/>
      <c r="SAN158" s="80"/>
      <c r="SAO158" s="80"/>
      <c r="SAQ158" s="80"/>
      <c r="SAR158" s="178"/>
      <c r="SAS158" s="80"/>
      <c r="SAT158" s="92"/>
      <c r="SAU158" s="53"/>
      <c r="SAV158" s="53"/>
      <c r="SAW158" s="66"/>
      <c r="SAX158" s="53"/>
      <c r="SBE158" s="80"/>
      <c r="SBF158" s="80"/>
      <c r="SBG158" s="80"/>
      <c r="SBH158" s="80"/>
      <c r="SBI158" s="80"/>
      <c r="SBK158" s="80"/>
      <c r="SBL158" s="178"/>
      <c r="SBM158" s="80"/>
      <c r="SBN158" s="92"/>
      <c r="SBO158" s="53"/>
      <c r="SBP158" s="53"/>
      <c r="SBQ158" s="66"/>
      <c r="SBR158" s="53"/>
      <c r="SBY158" s="80"/>
      <c r="SBZ158" s="80"/>
      <c r="SCA158" s="80"/>
      <c r="SCB158" s="80"/>
      <c r="SCC158" s="80"/>
      <c r="SCE158" s="80"/>
      <c r="SCF158" s="178"/>
      <c r="SCG158" s="80"/>
      <c r="SCH158" s="92"/>
      <c r="SCI158" s="53"/>
      <c r="SCJ158" s="53"/>
      <c r="SCK158" s="66"/>
      <c r="SCL158" s="53"/>
      <c r="SCS158" s="80"/>
      <c r="SCT158" s="80"/>
      <c r="SCU158" s="80"/>
      <c r="SCV158" s="80"/>
      <c r="SCW158" s="80"/>
      <c r="SCY158" s="80"/>
      <c r="SCZ158" s="178"/>
      <c r="SDA158" s="80"/>
      <c r="SDB158" s="92"/>
      <c r="SDC158" s="53"/>
      <c r="SDD158" s="53"/>
      <c r="SDE158" s="66"/>
      <c r="SDF158" s="53"/>
      <c r="SDM158" s="80"/>
      <c r="SDN158" s="80"/>
      <c r="SDO158" s="80"/>
      <c r="SDP158" s="80"/>
      <c r="SDQ158" s="80"/>
      <c r="SDS158" s="80"/>
      <c r="SDT158" s="178"/>
      <c r="SDU158" s="80"/>
      <c r="SDV158" s="92"/>
      <c r="SDW158" s="53"/>
      <c r="SDX158" s="53"/>
      <c r="SDY158" s="66"/>
      <c r="SDZ158" s="53"/>
      <c r="SEG158" s="80"/>
      <c r="SEH158" s="80"/>
      <c r="SEI158" s="80"/>
      <c r="SEJ158" s="80"/>
      <c r="SEK158" s="80"/>
      <c r="SEM158" s="80"/>
      <c r="SEN158" s="178"/>
      <c r="SEO158" s="80"/>
      <c r="SEP158" s="92"/>
      <c r="SEQ158" s="53"/>
      <c r="SER158" s="53"/>
      <c r="SES158" s="66"/>
      <c r="SET158" s="53"/>
      <c r="SFA158" s="80"/>
      <c r="SFB158" s="80"/>
      <c r="SFC158" s="80"/>
      <c r="SFD158" s="80"/>
      <c r="SFE158" s="80"/>
      <c r="SFG158" s="80"/>
      <c r="SFH158" s="178"/>
      <c r="SFI158" s="80"/>
      <c r="SFJ158" s="92"/>
      <c r="SFK158" s="53"/>
      <c r="SFL158" s="53"/>
      <c r="SFM158" s="66"/>
      <c r="SFN158" s="53"/>
      <c r="SFU158" s="80"/>
      <c r="SFV158" s="80"/>
      <c r="SFW158" s="80"/>
      <c r="SFX158" s="80"/>
      <c r="SFY158" s="80"/>
      <c r="SGA158" s="80"/>
      <c r="SGB158" s="178"/>
      <c r="SGC158" s="80"/>
      <c r="SGD158" s="92"/>
      <c r="SGE158" s="53"/>
      <c r="SGF158" s="53"/>
      <c r="SGG158" s="66"/>
      <c r="SGH158" s="53"/>
      <c r="SGO158" s="80"/>
      <c r="SGP158" s="80"/>
      <c r="SGQ158" s="80"/>
      <c r="SGR158" s="80"/>
      <c r="SGS158" s="80"/>
      <c r="SGU158" s="80"/>
      <c r="SGV158" s="178"/>
      <c r="SGW158" s="80"/>
      <c r="SGX158" s="92"/>
      <c r="SGY158" s="53"/>
      <c r="SGZ158" s="53"/>
      <c r="SHA158" s="66"/>
      <c r="SHB158" s="53"/>
      <c r="SHI158" s="80"/>
      <c r="SHJ158" s="80"/>
      <c r="SHK158" s="80"/>
      <c r="SHL158" s="80"/>
      <c r="SHM158" s="80"/>
      <c r="SHO158" s="80"/>
      <c r="SHP158" s="178"/>
      <c r="SHQ158" s="80"/>
      <c r="SHR158" s="92"/>
      <c r="SHS158" s="53"/>
      <c r="SHT158" s="53"/>
      <c r="SHU158" s="66"/>
      <c r="SHV158" s="53"/>
      <c r="SIC158" s="80"/>
      <c r="SID158" s="80"/>
      <c r="SIE158" s="80"/>
      <c r="SIF158" s="80"/>
      <c r="SIG158" s="80"/>
      <c r="SII158" s="80"/>
      <c r="SIJ158" s="178"/>
      <c r="SIK158" s="80"/>
      <c r="SIL158" s="92"/>
      <c r="SIM158" s="53"/>
      <c r="SIN158" s="53"/>
      <c r="SIO158" s="66"/>
      <c r="SIP158" s="53"/>
      <c r="SIW158" s="80"/>
      <c r="SIX158" s="80"/>
      <c r="SIY158" s="80"/>
      <c r="SIZ158" s="80"/>
      <c r="SJA158" s="80"/>
      <c r="SJC158" s="80"/>
      <c r="SJD158" s="178"/>
      <c r="SJE158" s="80"/>
      <c r="SJF158" s="92"/>
      <c r="SJG158" s="53"/>
      <c r="SJH158" s="53"/>
      <c r="SJI158" s="66"/>
      <c r="SJJ158" s="53"/>
      <c r="SJQ158" s="80"/>
      <c r="SJR158" s="80"/>
      <c r="SJS158" s="80"/>
      <c r="SJT158" s="80"/>
      <c r="SJU158" s="80"/>
      <c r="SJW158" s="80"/>
      <c r="SJX158" s="178"/>
      <c r="SJY158" s="80"/>
      <c r="SJZ158" s="92"/>
      <c r="SKA158" s="53"/>
      <c r="SKB158" s="53"/>
      <c r="SKC158" s="66"/>
      <c r="SKD158" s="53"/>
      <c r="SKK158" s="80"/>
      <c r="SKL158" s="80"/>
      <c r="SKM158" s="80"/>
      <c r="SKN158" s="80"/>
      <c r="SKO158" s="80"/>
      <c r="SKQ158" s="80"/>
      <c r="SKR158" s="178"/>
      <c r="SKS158" s="80"/>
      <c r="SKT158" s="92"/>
      <c r="SKU158" s="53"/>
      <c r="SKV158" s="53"/>
      <c r="SKW158" s="66"/>
      <c r="SKX158" s="53"/>
      <c r="SLE158" s="80"/>
      <c r="SLF158" s="80"/>
      <c r="SLG158" s="80"/>
      <c r="SLH158" s="80"/>
      <c r="SLI158" s="80"/>
      <c r="SLK158" s="80"/>
      <c r="SLL158" s="178"/>
      <c r="SLM158" s="80"/>
      <c r="SLN158" s="92"/>
      <c r="SLO158" s="53"/>
      <c r="SLP158" s="53"/>
      <c r="SLQ158" s="66"/>
      <c r="SLR158" s="53"/>
      <c r="SLY158" s="80"/>
      <c r="SLZ158" s="80"/>
      <c r="SMA158" s="80"/>
      <c r="SMB158" s="80"/>
      <c r="SMC158" s="80"/>
      <c r="SME158" s="80"/>
      <c r="SMF158" s="178"/>
      <c r="SMG158" s="80"/>
      <c r="SMH158" s="92"/>
      <c r="SMI158" s="53"/>
      <c r="SMJ158" s="53"/>
      <c r="SMK158" s="66"/>
      <c r="SML158" s="53"/>
      <c r="SMS158" s="80"/>
      <c r="SMT158" s="80"/>
      <c r="SMU158" s="80"/>
      <c r="SMV158" s="80"/>
      <c r="SMW158" s="80"/>
      <c r="SMY158" s="80"/>
      <c r="SMZ158" s="178"/>
      <c r="SNA158" s="80"/>
      <c r="SNB158" s="92"/>
      <c r="SNC158" s="53"/>
      <c r="SND158" s="53"/>
      <c r="SNE158" s="66"/>
      <c r="SNF158" s="53"/>
      <c r="SNM158" s="80"/>
      <c r="SNN158" s="80"/>
      <c r="SNO158" s="80"/>
      <c r="SNP158" s="80"/>
      <c r="SNQ158" s="80"/>
      <c r="SNS158" s="80"/>
      <c r="SNT158" s="178"/>
      <c r="SNU158" s="80"/>
      <c r="SNV158" s="92"/>
      <c r="SNW158" s="53"/>
      <c r="SNX158" s="53"/>
      <c r="SNY158" s="66"/>
      <c r="SNZ158" s="53"/>
      <c r="SOG158" s="80"/>
      <c r="SOH158" s="80"/>
      <c r="SOI158" s="80"/>
      <c r="SOJ158" s="80"/>
      <c r="SOK158" s="80"/>
      <c r="SOM158" s="80"/>
      <c r="SON158" s="178"/>
      <c r="SOO158" s="80"/>
      <c r="SOP158" s="92"/>
      <c r="SOQ158" s="53"/>
      <c r="SOR158" s="53"/>
      <c r="SOS158" s="66"/>
      <c r="SOT158" s="53"/>
      <c r="SPA158" s="80"/>
      <c r="SPB158" s="80"/>
      <c r="SPC158" s="80"/>
      <c r="SPD158" s="80"/>
      <c r="SPE158" s="80"/>
      <c r="SPG158" s="80"/>
      <c r="SPH158" s="178"/>
      <c r="SPI158" s="80"/>
      <c r="SPJ158" s="92"/>
      <c r="SPK158" s="53"/>
      <c r="SPL158" s="53"/>
      <c r="SPM158" s="66"/>
      <c r="SPN158" s="53"/>
      <c r="SPU158" s="80"/>
      <c r="SPV158" s="80"/>
      <c r="SPW158" s="80"/>
      <c r="SPX158" s="80"/>
      <c r="SPY158" s="80"/>
      <c r="SQA158" s="80"/>
      <c r="SQB158" s="178"/>
      <c r="SQC158" s="80"/>
      <c r="SQD158" s="92"/>
      <c r="SQE158" s="53"/>
      <c r="SQF158" s="53"/>
      <c r="SQG158" s="66"/>
      <c r="SQH158" s="53"/>
      <c r="SQO158" s="80"/>
      <c r="SQP158" s="80"/>
      <c r="SQQ158" s="80"/>
      <c r="SQR158" s="80"/>
      <c r="SQS158" s="80"/>
      <c r="SQU158" s="80"/>
      <c r="SQV158" s="178"/>
      <c r="SQW158" s="80"/>
      <c r="SQX158" s="92"/>
      <c r="SQY158" s="53"/>
      <c r="SQZ158" s="53"/>
      <c r="SRA158" s="66"/>
      <c r="SRB158" s="53"/>
      <c r="SRI158" s="80"/>
      <c r="SRJ158" s="80"/>
      <c r="SRK158" s="80"/>
      <c r="SRL158" s="80"/>
      <c r="SRM158" s="80"/>
      <c r="SRO158" s="80"/>
      <c r="SRP158" s="178"/>
      <c r="SRQ158" s="80"/>
      <c r="SRR158" s="92"/>
      <c r="SRS158" s="53"/>
      <c r="SRT158" s="53"/>
      <c r="SRU158" s="66"/>
      <c r="SRV158" s="53"/>
      <c r="SSC158" s="80"/>
      <c r="SSD158" s="80"/>
      <c r="SSE158" s="80"/>
      <c r="SSF158" s="80"/>
      <c r="SSG158" s="80"/>
      <c r="SSI158" s="80"/>
      <c r="SSJ158" s="178"/>
      <c r="SSK158" s="80"/>
      <c r="SSL158" s="92"/>
      <c r="SSM158" s="53"/>
      <c r="SSN158" s="53"/>
      <c r="SSO158" s="66"/>
      <c r="SSP158" s="53"/>
      <c r="SSW158" s="80"/>
      <c r="SSX158" s="80"/>
      <c r="SSY158" s="80"/>
      <c r="SSZ158" s="80"/>
      <c r="STA158" s="80"/>
      <c r="STC158" s="80"/>
      <c r="STD158" s="178"/>
      <c r="STE158" s="80"/>
      <c r="STF158" s="92"/>
      <c r="STG158" s="53"/>
      <c r="STH158" s="53"/>
      <c r="STI158" s="66"/>
      <c r="STJ158" s="53"/>
      <c r="STQ158" s="80"/>
      <c r="STR158" s="80"/>
      <c r="STS158" s="80"/>
      <c r="STT158" s="80"/>
      <c r="STU158" s="80"/>
      <c r="STW158" s="80"/>
      <c r="STX158" s="178"/>
      <c r="STY158" s="80"/>
      <c r="STZ158" s="92"/>
      <c r="SUA158" s="53"/>
      <c r="SUB158" s="53"/>
      <c r="SUC158" s="66"/>
      <c r="SUD158" s="53"/>
      <c r="SUK158" s="80"/>
      <c r="SUL158" s="80"/>
      <c r="SUM158" s="80"/>
      <c r="SUN158" s="80"/>
      <c r="SUO158" s="80"/>
      <c r="SUQ158" s="80"/>
      <c r="SUR158" s="178"/>
      <c r="SUS158" s="80"/>
      <c r="SUT158" s="92"/>
      <c r="SUU158" s="53"/>
      <c r="SUV158" s="53"/>
      <c r="SUW158" s="66"/>
      <c r="SUX158" s="53"/>
      <c r="SVE158" s="80"/>
      <c r="SVF158" s="80"/>
      <c r="SVG158" s="80"/>
      <c r="SVH158" s="80"/>
      <c r="SVI158" s="80"/>
      <c r="SVK158" s="80"/>
      <c r="SVL158" s="178"/>
      <c r="SVM158" s="80"/>
      <c r="SVN158" s="92"/>
      <c r="SVO158" s="53"/>
      <c r="SVP158" s="53"/>
      <c r="SVQ158" s="66"/>
      <c r="SVR158" s="53"/>
      <c r="SVY158" s="80"/>
      <c r="SVZ158" s="80"/>
      <c r="SWA158" s="80"/>
      <c r="SWB158" s="80"/>
      <c r="SWC158" s="80"/>
      <c r="SWE158" s="80"/>
      <c r="SWF158" s="178"/>
      <c r="SWG158" s="80"/>
      <c r="SWH158" s="92"/>
      <c r="SWI158" s="53"/>
      <c r="SWJ158" s="53"/>
      <c r="SWK158" s="66"/>
      <c r="SWL158" s="53"/>
      <c r="SWS158" s="80"/>
      <c r="SWT158" s="80"/>
      <c r="SWU158" s="80"/>
      <c r="SWV158" s="80"/>
      <c r="SWW158" s="80"/>
      <c r="SWY158" s="80"/>
      <c r="SWZ158" s="178"/>
      <c r="SXA158" s="80"/>
      <c r="SXB158" s="92"/>
      <c r="SXC158" s="53"/>
      <c r="SXD158" s="53"/>
      <c r="SXE158" s="66"/>
      <c r="SXF158" s="53"/>
      <c r="SXM158" s="80"/>
      <c r="SXN158" s="80"/>
      <c r="SXO158" s="80"/>
      <c r="SXP158" s="80"/>
      <c r="SXQ158" s="80"/>
      <c r="SXS158" s="80"/>
      <c r="SXT158" s="178"/>
      <c r="SXU158" s="80"/>
      <c r="SXV158" s="92"/>
      <c r="SXW158" s="53"/>
      <c r="SXX158" s="53"/>
      <c r="SXY158" s="66"/>
      <c r="SXZ158" s="53"/>
      <c r="SYG158" s="80"/>
      <c r="SYH158" s="80"/>
      <c r="SYI158" s="80"/>
      <c r="SYJ158" s="80"/>
      <c r="SYK158" s="80"/>
      <c r="SYM158" s="80"/>
      <c r="SYN158" s="178"/>
      <c r="SYO158" s="80"/>
      <c r="SYP158" s="92"/>
      <c r="SYQ158" s="53"/>
      <c r="SYR158" s="53"/>
      <c r="SYS158" s="66"/>
      <c r="SYT158" s="53"/>
      <c r="SZA158" s="80"/>
      <c r="SZB158" s="80"/>
      <c r="SZC158" s="80"/>
      <c r="SZD158" s="80"/>
      <c r="SZE158" s="80"/>
      <c r="SZG158" s="80"/>
      <c r="SZH158" s="178"/>
      <c r="SZI158" s="80"/>
      <c r="SZJ158" s="92"/>
      <c r="SZK158" s="53"/>
      <c r="SZL158" s="53"/>
      <c r="SZM158" s="66"/>
      <c r="SZN158" s="53"/>
      <c r="SZU158" s="80"/>
      <c r="SZV158" s="80"/>
      <c r="SZW158" s="80"/>
      <c r="SZX158" s="80"/>
      <c r="SZY158" s="80"/>
      <c r="TAA158" s="80"/>
      <c r="TAB158" s="178"/>
      <c r="TAC158" s="80"/>
      <c r="TAD158" s="92"/>
      <c r="TAE158" s="53"/>
      <c r="TAF158" s="53"/>
      <c r="TAG158" s="66"/>
      <c r="TAH158" s="53"/>
      <c r="TAO158" s="80"/>
      <c r="TAP158" s="80"/>
      <c r="TAQ158" s="80"/>
      <c r="TAR158" s="80"/>
      <c r="TAS158" s="80"/>
      <c r="TAU158" s="80"/>
      <c r="TAV158" s="178"/>
      <c r="TAW158" s="80"/>
      <c r="TAX158" s="92"/>
      <c r="TAY158" s="53"/>
      <c r="TAZ158" s="53"/>
      <c r="TBA158" s="66"/>
      <c r="TBB158" s="53"/>
      <c r="TBI158" s="80"/>
      <c r="TBJ158" s="80"/>
      <c r="TBK158" s="80"/>
      <c r="TBL158" s="80"/>
      <c r="TBM158" s="80"/>
      <c r="TBO158" s="80"/>
      <c r="TBP158" s="178"/>
      <c r="TBQ158" s="80"/>
      <c r="TBR158" s="92"/>
      <c r="TBS158" s="53"/>
      <c r="TBT158" s="53"/>
      <c r="TBU158" s="66"/>
      <c r="TBV158" s="53"/>
      <c r="TCC158" s="80"/>
      <c r="TCD158" s="80"/>
      <c r="TCE158" s="80"/>
      <c r="TCF158" s="80"/>
      <c r="TCG158" s="80"/>
      <c r="TCI158" s="80"/>
      <c r="TCJ158" s="178"/>
      <c r="TCK158" s="80"/>
      <c r="TCL158" s="92"/>
      <c r="TCM158" s="53"/>
      <c r="TCN158" s="53"/>
      <c r="TCO158" s="66"/>
      <c r="TCP158" s="53"/>
      <c r="TCW158" s="80"/>
      <c r="TCX158" s="80"/>
      <c r="TCY158" s="80"/>
      <c r="TCZ158" s="80"/>
      <c r="TDA158" s="80"/>
      <c r="TDC158" s="80"/>
      <c r="TDD158" s="178"/>
      <c r="TDE158" s="80"/>
      <c r="TDF158" s="92"/>
      <c r="TDG158" s="53"/>
      <c r="TDH158" s="53"/>
      <c r="TDI158" s="66"/>
      <c r="TDJ158" s="53"/>
      <c r="TDQ158" s="80"/>
      <c r="TDR158" s="80"/>
      <c r="TDS158" s="80"/>
      <c r="TDT158" s="80"/>
      <c r="TDU158" s="80"/>
      <c r="TDW158" s="80"/>
      <c r="TDX158" s="178"/>
      <c r="TDY158" s="80"/>
      <c r="TDZ158" s="92"/>
      <c r="TEA158" s="53"/>
      <c r="TEB158" s="53"/>
      <c r="TEC158" s="66"/>
      <c r="TED158" s="53"/>
      <c r="TEK158" s="80"/>
      <c r="TEL158" s="80"/>
      <c r="TEM158" s="80"/>
      <c r="TEN158" s="80"/>
      <c r="TEO158" s="80"/>
      <c r="TEQ158" s="80"/>
      <c r="TER158" s="178"/>
      <c r="TES158" s="80"/>
      <c r="TET158" s="92"/>
      <c r="TEU158" s="53"/>
      <c r="TEV158" s="53"/>
      <c r="TEW158" s="66"/>
      <c r="TEX158" s="53"/>
      <c r="TFE158" s="80"/>
      <c r="TFF158" s="80"/>
      <c r="TFG158" s="80"/>
      <c r="TFH158" s="80"/>
      <c r="TFI158" s="80"/>
      <c r="TFK158" s="80"/>
      <c r="TFL158" s="178"/>
      <c r="TFM158" s="80"/>
      <c r="TFN158" s="92"/>
      <c r="TFO158" s="53"/>
      <c r="TFP158" s="53"/>
      <c r="TFQ158" s="66"/>
      <c r="TFR158" s="53"/>
      <c r="TFY158" s="80"/>
      <c r="TFZ158" s="80"/>
      <c r="TGA158" s="80"/>
      <c r="TGB158" s="80"/>
      <c r="TGC158" s="80"/>
      <c r="TGE158" s="80"/>
      <c r="TGF158" s="178"/>
      <c r="TGG158" s="80"/>
      <c r="TGH158" s="92"/>
      <c r="TGI158" s="53"/>
      <c r="TGJ158" s="53"/>
      <c r="TGK158" s="66"/>
      <c r="TGL158" s="53"/>
      <c r="TGS158" s="80"/>
      <c r="TGT158" s="80"/>
      <c r="TGU158" s="80"/>
      <c r="TGV158" s="80"/>
      <c r="TGW158" s="80"/>
      <c r="TGY158" s="80"/>
      <c r="TGZ158" s="178"/>
      <c r="THA158" s="80"/>
      <c r="THB158" s="92"/>
      <c r="THC158" s="53"/>
      <c r="THD158" s="53"/>
      <c r="THE158" s="66"/>
      <c r="THF158" s="53"/>
      <c r="THM158" s="80"/>
      <c r="THN158" s="80"/>
      <c r="THO158" s="80"/>
      <c r="THP158" s="80"/>
      <c r="THQ158" s="80"/>
      <c r="THS158" s="80"/>
      <c r="THT158" s="178"/>
      <c r="THU158" s="80"/>
      <c r="THV158" s="92"/>
      <c r="THW158" s="53"/>
      <c r="THX158" s="53"/>
      <c r="THY158" s="66"/>
      <c r="THZ158" s="53"/>
      <c r="TIG158" s="80"/>
      <c r="TIH158" s="80"/>
      <c r="TII158" s="80"/>
      <c r="TIJ158" s="80"/>
      <c r="TIK158" s="80"/>
      <c r="TIM158" s="80"/>
      <c r="TIN158" s="178"/>
      <c r="TIO158" s="80"/>
      <c r="TIP158" s="92"/>
      <c r="TIQ158" s="53"/>
      <c r="TIR158" s="53"/>
      <c r="TIS158" s="66"/>
      <c r="TIT158" s="53"/>
      <c r="TJA158" s="80"/>
      <c r="TJB158" s="80"/>
      <c r="TJC158" s="80"/>
      <c r="TJD158" s="80"/>
      <c r="TJE158" s="80"/>
      <c r="TJG158" s="80"/>
      <c r="TJH158" s="178"/>
      <c r="TJI158" s="80"/>
      <c r="TJJ158" s="92"/>
      <c r="TJK158" s="53"/>
      <c r="TJL158" s="53"/>
      <c r="TJM158" s="66"/>
      <c r="TJN158" s="53"/>
      <c r="TJU158" s="80"/>
      <c r="TJV158" s="80"/>
      <c r="TJW158" s="80"/>
      <c r="TJX158" s="80"/>
      <c r="TJY158" s="80"/>
      <c r="TKA158" s="80"/>
      <c r="TKB158" s="178"/>
      <c r="TKC158" s="80"/>
      <c r="TKD158" s="92"/>
      <c r="TKE158" s="53"/>
      <c r="TKF158" s="53"/>
      <c r="TKG158" s="66"/>
      <c r="TKH158" s="53"/>
      <c r="TKO158" s="80"/>
      <c r="TKP158" s="80"/>
      <c r="TKQ158" s="80"/>
      <c r="TKR158" s="80"/>
      <c r="TKS158" s="80"/>
      <c r="TKU158" s="80"/>
      <c r="TKV158" s="178"/>
      <c r="TKW158" s="80"/>
      <c r="TKX158" s="92"/>
      <c r="TKY158" s="53"/>
      <c r="TKZ158" s="53"/>
      <c r="TLA158" s="66"/>
      <c r="TLB158" s="53"/>
      <c r="TLI158" s="80"/>
      <c r="TLJ158" s="80"/>
      <c r="TLK158" s="80"/>
      <c r="TLL158" s="80"/>
      <c r="TLM158" s="80"/>
      <c r="TLO158" s="80"/>
      <c r="TLP158" s="178"/>
      <c r="TLQ158" s="80"/>
      <c r="TLR158" s="92"/>
      <c r="TLS158" s="53"/>
      <c r="TLT158" s="53"/>
      <c r="TLU158" s="66"/>
      <c r="TLV158" s="53"/>
      <c r="TMC158" s="80"/>
      <c r="TMD158" s="80"/>
      <c r="TME158" s="80"/>
      <c r="TMF158" s="80"/>
      <c r="TMG158" s="80"/>
      <c r="TMI158" s="80"/>
      <c r="TMJ158" s="178"/>
      <c r="TMK158" s="80"/>
      <c r="TML158" s="92"/>
      <c r="TMM158" s="53"/>
      <c r="TMN158" s="53"/>
      <c r="TMO158" s="66"/>
      <c r="TMP158" s="53"/>
      <c r="TMW158" s="80"/>
      <c r="TMX158" s="80"/>
      <c r="TMY158" s="80"/>
      <c r="TMZ158" s="80"/>
      <c r="TNA158" s="80"/>
      <c r="TNC158" s="80"/>
      <c r="TND158" s="178"/>
      <c r="TNE158" s="80"/>
      <c r="TNF158" s="92"/>
      <c r="TNG158" s="53"/>
      <c r="TNH158" s="53"/>
      <c r="TNI158" s="66"/>
      <c r="TNJ158" s="53"/>
      <c r="TNQ158" s="80"/>
      <c r="TNR158" s="80"/>
      <c r="TNS158" s="80"/>
      <c r="TNT158" s="80"/>
      <c r="TNU158" s="80"/>
      <c r="TNW158" s="80"/>
      <c r="TNX158" s="178"/>
      <c r="TNY158" s="80"/>
      <c r="TNZ158" s="92"/>
      <c r="TOA158" s="53"/>
      <c r="TOB158" s="53"/>
      <c r="TOC158" s="66"/>
      <c r="TOD158" s="53"/>
      <c r="TOK158" s="80"/>
      <c r="TOL158" s="80"/>
      <c r="TOM158" s="80"/>
      <c r="TON158" s="80"/>
      <c r="TOO158" s="80"/>
      <c r="TOQ158" s="80"/>
      <c r="TOR158" s="178"/>
      <c r="TOS158" s="80"/>
      <c r="TOT158" s="92"/>
      <c r="TOU158" s="53"/>
      <c r="TOV158" s="53"/>
      <c r="TOW158" s="66"/>
      <c r="TOX158" s="53"/>
      <c r="TPE158" s="80"/>
      <c r="TPF158" s="80"/>
      <c r="TPG158" s="80"/>
      <c r="TPH158" s="80"/>
      <c r="TPI158" s="80"/>
      <c r="TPK158" s="80"/>
      <c r="TPL158" s="178"/>
      <c r="TPM158" s="80"/>
      <c r="TPN158" s="92"/>
      <c r="TPO158" s="53"/>
      <c r="TPP158" s="53"/>
      <c r="TPQ158" s="66"/>
      <c r="TPR158" s="53"/>
      <c r="TPY158" s="80"/>
      <c r="TPZ158" s="80"/>
      <c r="TQA158" s="80"/>
      <c r="TQB158" s="80"/>
      <c r="TQC158" s="80"/>
      <c r="TQE158" s="80"/>
      <c r="TQF158" s="178"/>
      <c r="TQG158" s="80"/>
      <c r="TQH158" s="92"/>
      <c r="TQI158" s="53"/>
      <c r="TQJ158" s="53"/>
      <c r="TQK158" s="66"/>
      <c r="TQL158" s="53"/>
      <c r="TQS158" s="80"/>
      <c r="TQT158" s="80"/>
      <c r="TQU158" s="80"/>
      <c r="TQV158" s="80"/>
      <c r="TQW158" s="80"/>
      <c r="TQY158" s="80"/>
      <c r="TQZ158" s="178"/>
      <c r="TRA158" s="80"/>
      <c r="TRB158" s="92"/>
      <c r="TRC158" s="53"/>
      <c r="TRD158" s="53"/>
      <c r="TRE158" s="66"/>
      <c r="TRF158" s="53"/>
      <c r="TRM158" s="80"/>
      <c r="TRN158" s="80"/>
      <c r="TRO158" s="80"/>
      <c r="TRP158" s="80"/>
      <c r="TRQ158" s="80"/>
      <c r="TRS158" s="80"/>
      <c r="TRT158" s="178"/>
      <c r="TRU158" s="80"/>
      <c r="TRV158" s="92"/>
      <c r="TRW158" s="53"/>
      <c r="TRX158" s="53"/>
      <c r="TRY158" s="66"/>
      <c r="TRZ158" s="53"/>
      <c r="TSG158" s="80"/>
      <c r="TSH158" s="80"/>
      <c r="TSI158" s="80"/>
      <c r="TSJ158" s="80"/>
      <c r="TSK158" s="80"/>
      <c r="TSM158" s="80"/>
      <c r="TSN158" s="178"/>
      <c r="TSO158" s="80"/>
      <c r="TSP158" s="92"/>
      <c r="TSQ158" s="53"/>
      <c r="TSR158" s="53"/>
      <c r="TSS158" s="66"/>
      <c r="TST158" s="53"/>
      <c r="TTA158" s="80"/>
      <c r="TTB158" s="80"/>
      <c r="TTC158" s="80"/>
      <c r="TTD158" s="80"/>
      <c r="TTE158" s="80"/>
      <c r="TTG158" s="80"/>
      <c r="TTH158" s="178"/>
      <c r="TTI158" s="80"/>
      <c r="TTJ158" s="92"/>
      <c r="TTK158" s="53"/>
      <c r="TTL158" s="53"/>
      <c r="TTM158" s="66"/>
      <c r="TTN158" s="53"/>
      <c r="TTU158" s="80"/>
      <c r="TTV158" s="80"/>
      <c r="TTW158" s="80"/>
      <c r="TTX158" s="80"/>
      <c r="TTY158" s="80"/>
      <c r="TUA158" s="80"/>
      <c r="TUB158" s="178"/>
      <c r="TUC158" s="80"/>
      <c r="TUD158" s="92"/>
      <c r="TUE158" s="53"/>
      <c r="TUF158" s="53"/>
      <c r="TUG158" s="66"/>
      <c r="TUH158" s="53"/>
      <c r="TUO158" s="80"/>
      <c r="TUP158" s="80"/>
      <c r="TUQ158" s="80"/>
      <c r="TUR158" s="80"/>
      <c r="TUS158" s="80"/>
      <c r="TUU158" s="80"/>
      <c r="TUV158" s="178"/>
      <c r="TUW158" s="80"/>
      <c r="TUX158" s="92"/>
      <c r="TUY158" s="53"/>
      <c r="TUZ158" s="53"/>
      <c r="TVA158" s="66"/>
      <c r="TVB158" s="53"/>
      <c r="TVI158" s="80"/>
      <c r="TVJ158" s="80"/>
      <c r="TVK158" s="80"/>
      <c r="TVL158" s="80"/>
      <c r="TVM158" s="80"/>
      <c r="TVO158" s="80"/>
      <c r="TVP158" s="178"/>
      <c r="TVQ158" s="80"/>
      <c r="TVR158" s="92"/>
      <c r="TVS158" s="53"/>
      <c r="TVT158" s="53"/>
      <c r="TVU158" s="66"/>
      <c r="TVV158" s="53"/>
      <c r="TWC158" s="80"/>
      <c r="TWD158" s="80"/>
      <c r="TWE158" s="80"/>
      <c r="TWF158" s="80"/>
      <c r="TWG158" s="80"/>
      <c r="TWI158" s="80"/>
      <c r="TWJ158" s="178"/>
      <c r="TWK158" s="80"/>
      <c r="TWL158" s="92"/>
      <c r="TWM158" s="53"/>
      <c r="TWN158" s="53"/>
      <c r="TWO158" s="66"/>
      <c r="TWP158" s="53"/>
      <c r="TWW158" s="80"/>
      <c r="TWX158" s="80"/>
      <c r="TWY158" s="80"/>
      <c r="TWZ158" s="80"/>
      <c r="TXA158" s="80"/>
      <c r="TXC158" s="80"/>
      <c r="TXD158" s="178"/>
      <c r="TXE158" s="80"/>
      <c r="TXF158" s="92"/>
      <c r="TXG158" s="53"/>
      <c r="TXH158" s="53"/>
      <c r="TXI158" s="66"/>
      <c r="TXJ158" s="53"/>
      <c r="TXQ158" s="80"/>
      <c r="TXR158" s="80"/>
      <c r="TXS158" s="80"/>
      <c r="TXT158" s="80"/>
      <c r="TXU158" s="80"/>
      <c r="TXW158" s="80"/>
      <c r="TXX158" s="178"/>
      <c r="TXY158" s="80"/>
      <c r="TXZ158" s="92"/>
      <c r="TYA158" s="53"/>
      <c r="TYB158" s="53"/>
      <c r="TYC158" s="66"/>
      <c r="TYD158" s="53"/>
      <c r="TYK158" s="80"/>
      <c r="TYL158" s="80"/>
      <c r="TYM158" s="80"/>
      <c r="TYN158" s="80"/>
      <c r="TYO158" s="80"/>
      <c r="TYQ158" s="80"/>
      <c r="TYR158" s="178"/>
      <c r="TYS158" s="80"/>
      <c r="TYT158" s="92"/>
      <c r="TYU158" s="53"/>
      <c r="TYV158" s="53"/>
      <c r="TYW158" s="66"/>
      <c r="TYX158" s="53"/>
      <c r="TZE158" s="80"/>
      <c r="TZF158" s="80"/>
      <c r="TZG158" s="80"/>
      <c r="TZH158" s="80"/>
      <c r="TZI158" s="80"/>
      <c r="TZK158" s="80"/>
      <c r="TZL158" s="178"/>
      <c r="TZM158" s="80"/>
      <c r="TZN158" s="92"/>
      <c r="TZO158" s="53"/>
      <c r="TZP158" s="53"/>
      <c r="TZQ158" s="66"/>
      <c r="TZR158" s="53"/>
      <c r="TZY158" s="80"/>
      <c r="TZZ158" s="80"/>
      <c r="UAA158" s="80"/>
      <c r="UAB158" s="80"/>
      <c r="UAC158" s="80"/>
      <c r="UAE158" s="80"/>
      <c r="UAF158" s="178"/>
      <c r="UAG158" s="80"/>
      <c r="UAH158" s="92"/>
      <c r="UAI158" s="53"/>
      <c r="UAJ158" s="53"/>
      <c r="UAK158" s="66"/>
      <c r="UAL158" s="53"/>
      <c r="UAS158" s="80"/>
      <c r="UAT158" s="80"/>
      <c r="UAU158" s="80"/>
      <c r="UAV158" s="80"/>
      <c r="UAW158" s="80"/>
      <c r="UAY158" s="80"/>
      <c r="UAZ158" s="178"/>
      <c r="UBA158" s="80"/>
      <c r="UBB158" s="92"/>
      <c r="UBC158" s="53"/>
      <c r="UBD158" s="53"/>
      <c r="UBE158" s="66"/>
      <c r="UBF158" s="53"/>
      <c r="UBM158" s="80"/>
      <c r="UBN158" s="80"/>
      <c r="UBO158" s="80"/>
      <c r="UBP158" s="80"/>
      <c r="UBQ158" s="80"/>
      <c r="UBS158" s="80"/>
      <c r="UBT158" s="178"/>
      <c r="UBU158" s="80"/>
      <c r="UBV158" s="92"/>
      <c r="UBW158" s="53"/>
      <c r="UBX158" s="53"/>
      <c r="UBY158" s="66"/>
      <c r="UBZ158" s="53"/>
      <c r="UCG158" s="80"/>
      <c r="UCH158" s="80"/>
      <c r="UCI158" s="80"/>
      <c r="UCJ158" s="80"/>
      <c r="UCK158" s="80"/>
      <c r="UCM158" s="80"/>
      <c r="UCN158" s="178"/>
      <c r="UCO158" s="80"/>
      <c r="UCP158" s="92"/>
      <c r="UCQ158" s="53"/>
      <c r="UCR158" s="53"/>
      <c r="UCS158" s="66"/>
      <c r="UCT158" s="53"/>
      <c r="UDA158" s="80"/>
      <c r="UDB158" s="80"/>
      <c r="UDC158" s="80"/>
      <c r="UDD158" s="80"/>
      <c r="UDE158" s="80"/>
      <c r="UDG158" s="80"/>
      <c r="UDH158" s="178"/>
      <c r="UDI158" s="80"/>
      <c r="UDJ158" s="92"/>
      <c r="UDK158" s="53"/>
      <c r="UDL158" s="53"/>
      <c r="UDM158" s="66"/>
      <c r="UDN158" s="53"/>
      <c r="UDU158" s="80"/>
      <c r="UDV158" s="80"/>
      <c r="UDW158" s="80"/>
      <c r="UDX158" s="80"/>
      <c r="UDY158" s="80"/>
      <c r="UEA158" s="80"/>
      <c r="UEB158" s="178"/>
      <c r="UEC158" s="80"/>
      <c r="UED158" s="92"/>
      <c r="UEE158" s="53"/>
      <c r="UEF158" s="53"/>
      <c r="UEG158" s="66"/>
      <c r="UEH158" s="53"/>
      <c r="UEO158" s="80"/>
      <c r="UEP158" s="80"/>
      <c r="UEQ158" s="80"/>
      <c r="UER158" s="80"/>
      <c r="UES158" s="80"/>
      <c r="UEU158" s="80"/>
      <c r="UEV158" s="178"/>
      <c r="UEW158" s="80"/>
      <c r="UEX158" s="92"/>
      <c r="UEY158" s="53"/>
      <c r="UEZ158" s="53"/>
      <c r="UFA158" s="66"/>
      <c r="UFB158" s="53"/>
      <c r="UFI158" s="80"/>
      <c r="UFJ158" s="80"/>
      <c r="UFK158" s="80"/>
      <c r="UFL158" s="80"/>
      <c r="UFM158" s="80"/>
      <c r="UFO158" s="80"/>
      <c r="UFP158" s="178"/>
      <c r="UFQ158" s="80"/>
      <c r="UFR158" s="92"/>
      <c r="UFS158" s="53"/>
      <c r="UFT158" s="53"/>
      <c r="UFU158" s="66"/>
      <c r="UFV158" s="53"/>
      <c r="UGC158" s="80"/>
      <c r="UGD158" s="80"/>
      <c r="UGE158" s="80"/>
      <c r="UGF158" s="80"/>
      <c r="UGG158" s="80"/>
      <c r="UGI158" s="80"/>
      <c r="UGJ158" s="178"/>
      <c r="UGK158" s="80"/>
      <c r="UGL158" s="92"/>
      <c r="UGM158" s="53"/>
      <c r="UGN158" s="53"/>
      <c r="UGO158" s="66"/>
      <c r="UGP158" s="53"/>
      <c r="UGW158" s="80"/>
      <c r="UGX158" s="80"/>
      <c r="UGY158" s="80"/>
      <c r="UGZ158" s="80"/>
      <c r="UHA158" s="80"/>
      <c r="UHC158" s="80"/>
      <c r="UHD158" s="178"/>
      <c r="UHE158" s="80"/>
      <c r="UHF158" s="92"/>
      <c r="UHG158" s="53"/>
      <c r="UHH158" s="53"/>
      <c r="UHI158" s="66"/>
      <c r="UHJ158" s="53"/>
      <c r="UHQ158" s="80"/>
      <c r="UHR158" s="80"/>
      <c r="UHS158" s="80"/>
      <c r="UHT158" s="80"/>
      <c r="UHU158" s="80"/>
      <c r="UHW158" s="80"/>
      <c r="UHX158" s="178"/>
      <c r="UHY158" s="80"/>
      <c r="UHZ158" s="92"/>
      <c r="UIA158" s="53"/>
      <c r="UIB158" s="53"/>
      <c r="UIC158" s="66"/>
      <c r="UID158" s="53"/>
      <c r="UIK158" s="80"/>
      <c r="UIL158" s="80"/>
      <c r="UIM158" s="80"/>
      <c r="UIN158" s="80"/>
      <c r="UIO158" s="80"/>
      <c r="UIQ158" s="80"/>
      <c r="UIR158" s="178"/>
      <c r="UIS158" s="80"/>
      <c r="UIT158" s="92"/>
      <c r="UIU158" s="53"/>
      <c r="UIV158" s="53"/>
      <c r="UIW158" s="66"/>
      <c r="UIX158" s="53"/>
      <c r="UJE158" s="80"/>
      <c r="UJF158" s="80"/>
      <c r="UJG158" s="80"/>
      <c r="UJH158" s="80"/>
      <c r="UJI158" s="80"/>
      <c r="UJK158" s="80"/>
      <c r="UJL158" s="178"/>
      <c r="UJM158" s="80"/>
      <c r="UJN158" s="92"/>
      <c r="UJO158" s="53"/>
      <c r="UJP158" s="53"/>
      <c r="UJQ158" s="66"/>
      <c r="UJR158" s="53"/>
      <c r="UJY158" s="80"/>
      <c r="UJZ158" s="80"/>
      <c r="UKA158" s="80"/>
      <c r="UKB158" s="80"/>
      <c r="UKC158" s="80"/>
      <c r="UKE158" s="80"/>
      <c r="UKF158" s="178"/>
      <c r="UKG158" s="80"/>
      <c r="UKH158" s="92"/>
      <c r="UKI158" s="53"/>
      <c r="UKJ158" s="53"/>
      <c r="UKK158" s="66"/>
      <c r="UKL158" s="53"/>
      <c r="UKS158" s="80"/>
      <c r="UKT158" s="80"/>
      <c r="UKU158" s="80"/>
      <c r="UKV158" s="80"/>
      <c r="UKW158" s="80"/>
      <c r="UKY158" s="80"/>
      <c r="UKZ158" s="178"/>
      <c r="ULA158" s="80"/>
      <c r="ULB158" s="92"/>
      <c r="ULC158" s="53"/>
      <c r="ULD158" s="53"/>
      <c r="ULE158" s="66"/>
      <c r="ULF158" s="53"/>
      <c r="ULM158" s="80"/>
      <c r="ULN158" s="80"/>
      <c r="ULO158" s="80"/>
      <c r="ULP158" s="80"/>
      <c r="ULQ158" s="80"/>
      <c r="ULS158" s="80"/>
      <c r="ULT158" s="178"/>
      <c r="ULU158" s="80"/>
      <c r="ULV158" s="92"/>
      <c r="ULW158" s="53"/>
      <c r="ULX158" s="53"/>
      <c r="ULY158" s="66"/>
      <c r="ULZ158" s="53"/>
      <c r="UMG158" s="80"/>
      <c r="UMH158" s="80"/>
      <c r="UMI158" s="80"/>
      <c r="UMJ158" s="80"/>
      <c r="UMK158" s="80"/>
      <c r="UMM158" s="80"/>
      <c r="UMN158" s="178"/>
      <c r="UMO158" s="80"/>
      <c r="UMP158" s="92"/>
      <c r="UMQ158" s="53"/>
      <c r="UMR158" s="53"/>
      <c r="UMS158" s="66"/>
      <c r="UMT158" s="53"/>
      <c r="UNA158" s="80"/>
      <c r="UNB158" s="80"/>
      <c r="UNC158" s="80"/>
      <c r="UND158" s="80"/>
      <c r="UNE158" s="80"/>
      <c r="UNG158" s="80"/>
      <c r="UNH158" s="178"/>
      <c r="UNI158" s="80"/>
      <c r="UNJ158" s="92"/>
      <c r="UNK158" s="53"/>
      <c r="UNL158" s="53"/>
      <c r="UNM158" s="66"/>
      <c r="UNN158" s="53"/>
      <c r="UNU158" s="80"/>
      <c r="UNV158" s="80"/>
      <c r="UNW158" s="80"/>
      <c r="UNX158" s="80"/>
      <c r="UNY158" s="80"/>
      <c r="UOA158" s="80"/>
      <c r="UOB158" s="178"/>
      <c r="UOC158" s="80"/>
      <c r="UOD158" s="92"/>
      <c r="UOE158" s="53"/>
      <c r="UOF158" s="53"/>
      <c r="UOG158" s="66"/>
      <c r="UOH158" s="53"/>
      <c r="UOO158" s="80"/>
      <c r="UOP158" s="80"/>
      <c r="UOQ158" s="80"/>
      <c r="UOR158" s="80"/>
      <c r="UOS158" s="80"/>
      <c r="UOU158" s="80"/>
      <c r="UOV158" s="178"/>
      <c r="UOW158" s="80"/>
      <c r="UOX158" s="92"/>
      <c r="UOY158" s="53"/>
      <c r="UOZ158" s="53"/>
      <c r="UPA158" s="66"/>
      <c r="UPB158" s="53"/>
      <c r="UPI158" s="80"/>
      <c r="UPJ158" s="80"/>
      <c r="UPK158" s="80"/>
      <c r="UPL158" s="80"/>
      <c r="UPM158" s="80"/>
      <c r="UPO158" s="80"/>
      <c r="UPP158" s="178"/>
      <c r="UPQ158" s="80"/>
      <c r="UPR158" s="92"/>
      <c r="UPS158" s="53"/>
      <c r="UPT158" s="53"/>
      <c r="UPU158" s="66"/>
      <c r="UPV158" s="53"/>
      <c r="UQC158" s="80"/>
      <c r="UQD158" s="80"/>
      <c r="UQE158" s="80"/>
      <c r="UQF158" s="80"/>
      <c r="UQG158" s="80"/>
      <c r="UQI158" s="80"/>
      <c r="UQJ158" s="178"/>
      <c r="UQK158" s="80"/>
      <c r="UQL158" s="92"/>
      <c r="UQM158" s="53"/>
      <c r="UQN158" s="53"/>
      <c r="UQO158" s="66"/>
      <c r="UQP158" s="53"/>
      <c r="UQW158" s="80"/>
      <c r="UQX158" s="80"/>
      <c r="UQY158" s="80"/>
      <c r="UQZ158" s="80"/>
      <c r="URA158" s="80"/>
      <c r="URC158" s="80"/>
      <c r="URD158" s="178"/>
      <c r="URE158" s="80"/>
      <c r="URF158" s="92"/>
      <c r="URG158" s="53"/>
      <c r="URH158" s="53"/>
      <c r="URI158" s="66"/>
      <c r="URJ158" s="53"/>
      <c r="URQ158" s="80"/>
      <c r="URR158" s="80"/>
      <c r="URS158" s="80"/>
      <c r="URT158" s="80"/>
      <c r="URU158" s="80"/>
      <c r="URW158" s="80"/>
      <c r="URX158" s="178"/>
      <c r="URY158" s="80"/>
      <c r="URZ158" s="92"/>
      <c r="USA158" s="53"/>
      <c r="USB158" s="53"/>
      <c r="USC158" s="66"/>
      <c r="USD158" s="53"/>
      <c r="USK158" s="80"/>
      <c r="USL158" s="80"/>
      <c r="USM158" s="80"/>
      <c r="USN158" s="80"/>
      <c r="USO158" s="80"/>
      <c r="USQ158" s="80"/>
      <c r="USR158" s="178"/>
      <c r="USS158" s="80"/>
      <c r="UST158" s="92"/>
      <c r="USU158" s="53"/>
      <c r="USV158" s="53"/>
      <c r="USW158" s="66"/>
      <c r="USX158" s="53"/>
      <c r="UTE158" s="80"/>
      <c r="UTF158" s="80"/>
      <c r="UTG158" s="80"/>
      <c r="UTH158" s="80"/>
      <c r="UTI158" s="80"/>
      <c r="UTK158" s="80"/>
      <c r="UTL158" s="178"/>
      <c r="UTM158" s="80"/>
      <c r="UTN158" s="92"/>
      <c r="UTO158" s="53"/>
      <c r="UTP158" s="53"/>
      <c r="UTQ158" s="66"/>
      <c r="UTR158" s="53"/>
      <c r="UTY158" s="80"/>
      <c r="UTZ158" s="80"/>
      <c r="UUA158" s="80"/>
      <c r="UUB158" s="80"/>
      <c r="UUC158" s="80"/>
      <c r="UUE158" s="80"/>
      <c r="UUF158" s="178"/>
      <c r="UUG158" s="80"/>
      <c r="UUH158" s="92"/>
      <c r="UUI158" s="53"/>
      <c r="UUJ158" s="53"/>
      <c r="UUK158" s="66"/>
      <c r="UUL158" s="53"/>
      <c r="UUS158" s="80"/>
      <c r="UUT158" s="80"/>
      <c r="UUU158" s="80"/>
      <c r="UUV158" s="80"/>
      <c r="UUW158" s="80"/>
      <c r="UUY158" s="80"/>
      <c r="UUZ158" s="178"/>
      <c r="UVA158" s="80"/>
      <c r="UVB158" s="92"/>
      <c r="UVC158" s="53"/>
      <c r="UVD158" s="53"/>
      <c r="UVE158" s="66"/>
      <c r="UVF158" s="53"/>
      <c r="UVM158" s="80"/>
      <c r="UVN158" s="80"/>
      <c r="UVO158" s="80"/>
      <c r="UVP158" s="80"/>
      <c r="UVQ158" s="80"/>
      <c r="UVS158" s="80"/>
      <c r="UVT158" s="178"/>
      <c r="UVU158" s="80"/>
      <c r="UVV158" s="92"/>
      <c r="UVW158" s="53"/>
      <c r="UVX158" s="53"/>
      <c r="UVY158" s="66"/>
      <c r="UVZ158" s="53"/>
      <c r="UWG158" s="80"/>
      <c r="UWH158" s="80"/>
      <c r="UWI158" s="80"/>
      <c r="UWJ158" s="80"/>
      <c r="UWK158" s="80"/>
      <c r="UWM158" s="80"/>
      <c r="UWN158" s="178"/>
      <c r="UWO158" s="80"/>
      <c r="UWP158" s="92"/>
      <c r="UWQ158" s="53"/>
      <c r="UWR158" s="53"/>
      <c r="UWS158" s="66"/>
      <c r="UWT158" s="53"/>
      <c r="UXA158" s="80"/>
      <c r="UXB158" s="80"/>
      <c r="UXC158" s="80"/>
      <c r="UXD158" s="80"/>
      <c r="UXE158" s="80"/>
      <c r="UXG158" s="80"/>
      <c r="UXH158" s="178"/>
      <c r="UXI158" s="80"/>
      <c r="UXJ158" s="92"/>
      <c r="UXK158" s="53"/>
      <c r="UXL158" s="53"/>
      <c r="UXM158" s="66"/>
      <c r="UXN158" s="53"/>
      <c r="UXU158" s="80"/>
      <c r="UXV158" s="80"/>
      <c r="UXW158" s="80"/>
      <c r="UXX158" s="80"/>
      <c r="UXY158" s="80"/>
      <c r="UYA158" s="80"/>
      <c r="UYB158" s="178"/>
      <c r="UYC158" s="80"/>
      <c r="UYD158" s="92"/>
      <c r="UYE158" s="53"/>
      <c r="UYF158" s="53"/>
      <c r="UYG158" s="66"/>
      <c r="UYH158" s="53"/>
      <c r="UYO158" s="80"/>
      <c r="UYP158" s="80"/>
      <c r="UYQ158" s="80"/>
      <c r="UYR158" s="80"/>
      <c r="UYS158" s="80"/>
      <c r="UYU158" s="80"/>
      <c r="UYV158" s="178"/>
      <c r="UYW158" s="80"/>
      <c r="UYX158" s="92"/>
      <c r="UYY158" s="53"/>
      <c r="UYZ158" s="53"/>
      <c r="UZA158" s="66"/>
      <c r="UZB158" s="53"/>
      <c r="UZI158" s="80"/>
      <c r="UZJ158" s="80"/>
      <c r="UZK158" s="80"/>
      <c r="UZL158" s="80"/>
      <c r="UZM158" s="80"/>
      <c r="UZO158" s="80"/>
      <c r="UZP158" s="178"/>
      <c r="UZQ158" s="80"/>
      <c r="UZR158" s="92"/>
      <c r="UZS158" s="53"/>
      <c r="UZT158" s="53"/>
      <c r="UZU158" s="66"/>
      <c r="UZV158" s="53"/>
      <c r="VAC158" s="80"/>
      <c r="VAD158" s="80"/>
      <c r="VAE158" s="80"/>
      <c r="VAF158" s="80"/>
      <c r="VAG158" s="80"/>
      <c r="VAI158" s="80"/>
      <c r="VAJ158" s="178"/>
      <c r="VAK158" s="80"/>
      <c r="VAL158" s="92"/>
      <c r="VAM158" s="53"/>
      <c r="VAN158" s="53"/>
      <c r="VAO158" s="66"/>
      <c r="VAP158" s="53"/>
      <c r="VAW158" s="80"/>
      <c r="VAX158" s="80"/>
      <c r="VAY158" s="80"/>
      <c r="VAZ158" s="80"/>
      <c r="VBA158" s="80"/>
      <c r="VBC158" s="80"/>
      <c r="VBD158" s="178"/>
      <c r="VBE158" s="80"/>
      <c r="VBF158" s="92"/>
      <c r="VBG158" s="53"/>
      <c r="VBH158" s="53"/>
      <c r="VBI158" s="66"/>
      <c r="VBJ158" s="53"/>
      <c r="VBQ158" s="80"/>
      <c r="VBR158" s="80"/>
      <c r="VBS158" s="80"/>
      <c r="VBT158" s="80"/>
      <c r="VBU158" s="80"/>
      <c r="VBW158" s="80"/>
      <c r="VBX158" s="178"/>
      <c r="VBY158" s="80"/>
      <c r="VBZ158" s="92"/>
      <c r="VCA158" s="53"/>
      <c r="VCB158" s="53"/>
      <c r="VCC158" s="66"/>
      <c r="VCD158" s="53"/>
      <c r="VCK158" s="80"/>
      <c r="VCL158" s="80"/>
      <c r="VCM158" s="80"/>
      <c r="VCN158" s="80"/>
      <c r="VCO158" s="80"/>
      <c r="VCQ158" s="80"/>
      <c r="VCR158" s="178"/>
      <c r="VCS158" s="80"/>
      <c r="VCT158" s="92"/>
      <c r="VCU158" s="53"/>
      <c r="VCV158" s="53"/>
      <c r="VCW158" s="66"/>
      <c r="VCX158" s="53"/>
      <c r="VDE158" s="80"/>
      <c r="VDF158" s="80"/>
      <c r="VDG158" s="80"/>
      <c r="VDH158" s="80"/>
      <c r="VDI158" s="80"/>
      <c r="VDK158" s="80"/>
      <c r="VDL158" s="178"/>
      <c r="VDM158" s="80"/>
      <c r="VDN158" s="92"/>
      <c r="VDO158" s="53"/>
      <c r="VDP158" s="53"/>
      <c r="VDQ158" s="66"/>
      <c r="VDR158" s="53"/>
      <c r="VDY158" s="80"/>
      <c r="VDZ158" s="80"/>
      <c r="VEA158" s="80"/>
      <c r="VEB158" s="80"/>
      <c r="VEC158" s="80"/>
      <c r="VEE158" s="80"/>
      <c r="VEF158" s="178"/>
      <c r="VEG158" s="80"/>
      <c r="VEH158" s="92"/>
      <c r="VEI158" s="53"/>
      <c r="VEJ158" s="53"/>
      <c r="VEK158" s="66"/>
      <c r="VEL158" s="53"/>
      <c r="VES158" s="80"/>
      <c r="VET158" s="80"/>
      <c r="VEU158" s="80"/>
      <c r="VEV158" s="80"/>
      <c r="VEW158" s="80"/>
      <c r="VEY158" s="80"/>
      <c r="VEZ158" s="178"/>
      <c r="VFA158" s="80"/>
      <c r="VFB158" s="92"/>
      <c r="VFC158" s="53"/>
      <c r="VFD158" s="53"/>
      <c r="VFE158" s="66"/>
      <c r="VFF158" s="53"/>
      <c r="VFM158" s="80"/>
      <c r="VFN158" s="80"/>
      <c r="VFO158" s="80"/>
      <c r="VFP158" s="80"/>
      <c r="VFQ158" s="80"/>
      <c r="VFS158" s="80"/>
      <c r="VFT158" s="178"/>
      <c r="VFU158" s="80"/>
      <c r="VFV158" s="92"/>
      <c r="VFW158" s="53"/>
      <c r="VFX158" s="53"/>
      <c r="VFY158" s="66"/>
      <c r="VFZ158" s="53"/>
      <c r="VGG158" s="80"/>
      <c r="VGH158" s="80"/>
      <c r="VGI158" s="80"/>
      <c r="VGJ158" s="80"/>
      <c r="VGK158" s="80"/>
      <c r="VGM158" s="80"/>
      <c r="VGN158" s="178"/>
      <c r="VGO158" s="80"/>
      <c r="VGP158" s="92"/>
      <c r="VGQ158" s="53"/>
      <c r="VGR158" s="53"/>
      <c r="VGS158" s="66"/>
      <c r="VGT158" s="53"/>
      <c r="VHA158" s="80"/>
      <c r="VHB158" s="80"/>
      <c r="VHC158" s="80"/>
      <c r="VHD158" s="80"/>
      <c r="VHE158" s="80"/>
      <c r="VHG158" s="80"/>
      <c r="VHH158" s="178"/>
      <c r="VHI158" s="80"/>
      <c r="VHJ158" s="92"/>
      <c r="VHK158" s="53"/>
      <c r="VHL158" s="53"/>
      <c r="VHM158" s="66"/>
      <c r="VHN158" s="53"/>
      <c r="VHU158" s="80"/>
      <c r="VHV158" s="80"/>
      <c r="VHW158" s="80"/>
      <c r="VHX158" s="80"/>
      <c r="VHY158" s="80"/>
      <c r="VIA158" s="80"/>
      <c r="VIB158" s="178"/>
      <c r="VIC158" s="80"/>
      <c r="VID158" s="92"/>
      <c r="VIE158" s="53"/>
      <c r="VIF158" s="53"/>
      <c r="VIG158" s="66"/>
      <c r="VIH158" s="53"/>
      <c r="VIO158" s="80"/>
      <c r="VIP158" s="80"/>
      <c r="VIQ158" s="80"/>
      <c r="VIR158" s="80"/>
      <c r="VIS158" s="80"/>
      <c r="VIU158" s="80"/>
      <c r="VIV158" s="178"/>
      <c r="VIW158" s="80"/>
      <c r="VIX158" s="92"/>
      <c r="VIY158" s="53"/>
      <c r="VIZ158" s="53"/>
      <c r="VJA158" s="66"/>
      <c r="VJB158" s="53"/>
      <c r="VJI158" s="80"/>
      <c r="VJJ158" s="80"/>
      <c r="VJK158" s="80"/>
      <c r="VJL158" s="80"/>
      <c r="VJM158" s="80"/>
      <c r="VJO158" s="80"/>
      <c r="VJP158" s="178"/>
      <c r="VJQ158" s="80"/>
      <c r="VJR158" s="92"/>
      <c r="VJS158" s="53"/>
      <c r="VJT158" s="53"/>
      <c r="VJU158" s="66"/>
      <c r="VJV158" s="53"/>
      <c r="VKC158" s="80"/>
      <c r="VKD158" s="80"/>
      <c r="VKE158" s="80"/>
      <c r="VKF158" s="80"/>
      <c r="VKG158" s="80"/>
      <c r="VKI158" s="80"/>
      <c r="VKJ158" s="178"/>
      <c r="VKK158" s="80"/>
      <c r="VKL158" s="92"/>
      <c r="VKM158" s="53"/>
      <c r="VKN158" s="53"/>
      <c r="VKO158" s="66"/>
      <c r="VKP158" s="53"/>
      <c r="VKW158" s="80"/>
      <c r="VKX158" s="80"/>
      <c r="VKY158" s="80"/>
      <c r="VKZ158" s="80"/>
      <c r="VLA158" s="80"/>
      <c r="VLC158" s="80"/>
      <c r="VLD158" s="178"/>
      <c r="VLE158" s="80"/>
      <c r="VLF158" s="92"/>
      <c r="VLG158" s="53"/>
      <c r="VLH158" s="53"/>
      <c r="VLI158" s="66"/>
      <c r="VLJ158" s="53"/>
      <c r="VLQ158" s="80"/>
      <c r="VLR158" s="80"/>
      <c r="VLS158" s="80"/>
      <c r="VLT158" s="80"/>
      <c r="VLU158" s="80"/>
      <c r="VLW158" s="80"/>
      <c r="VLX158" s="178"/>
      <c r="VLY158" s="80"/>
      <c r="VLZ158" s="92"/>
      <c r="VMA158" s="53"/>
      <c r="VMB158" s="53"/>
      <c r="VMC158" s="66"/>
      <c r="VMD158" s="53"/>
      <c r="VMK158" s="80"/>
      <c r="VML158" s="80"/>
      <c r="VMM158" s="80"/>
      <c r="VMN158" s="80"/>
      <c r="VMO158" s="80"/>
      <c r="VMQ158" s="80"/>
      <c r="VMR158" s="178"/>
      <c r="VMS158" s="80"/>
      <c r="VMT158" s="92"/>
      <c r="VMU158" s="53"/>
      <c r="VMV158" s="53"/>
      <c r="VMW158" s="66"/>
      <c r="VMX158" s="53"/>
      <c r="VNE158" s="80"/>
      <c r="VNF158" s="80"/>
      <c r="VNG158" s="80"/>
      <c r="VNH158" s="80"/>
      <c r="VNI158" s="80"/>
      <c r="VNK158" s="80"/>
      <c r="VNL158" s="178"/>
      <c r="VNM158" s="80"/>
      <c r="VNN158" s="92"/>
      <c r="VNO158" s="53"/>
      <c r="VNP158" s="53"/>
      <c r="VNQ158" s="66"/>
      <c r="VNR158" s="53"/>
      <c r="VNY158" s="80"/>
      <c r="VNZ158" s="80"/>
      <c r="VOA158" s="80"/>
      <c r="VOB158" s="80"/>
      <c r="VOC158" s="80"/>
      <c r="VOE158" s="80"/>
      <c r="VOF158" s="178"/>
      <c r="VOG158" s="80"/>
      <c r="VOH158" s="92"/>
      <c r="VOI158" s="53"/>
      <c r="VOJ158" s="53"/>
      <c r="VOK158" s="66"/>
      <c r="VOL158" s="53"/>
      <c r="VOS158" s="80"/>
      <c r="VOT158" s="80"/>
      <c r="VOU158" s="80"/>
      <c r="VOV158" s="80"/>
      <c r="VOW158" s="80"/>
      <c r="VOY158" s="80"/>
      <c r="VOZ158" s="178"/>
      <c r="VPA158" s="80"/>
      <c r="VPB158" s="92"/>
      <c r="VPC158" s="53"/>
      <c r="VPD158" s="53"/>
      <c r="VPE158" s="66"/>
      <c r="VPF158" s="53"/>
      <c r="VPM158" s="80"/>
      <c r="VPN158" s="80"/>
      <c r="VPO158" s="80"/>
      <c r="VPP158" s="80"/>
      <c r="VPQ158" s="80"/>
      <c r="VPS158" s="80"/>
      <c r="VPT158" s="178"/>
      <c r="VPU158" s="80"/>
      <c r="VPV158" s="92"/>
      <c r="VPW158" s="53"/>
      <c r="VPX158" s="53"/>
      <c r="VPY158" s="66"/>
      <c r="VPZ158" s="53"/>
      <c r="VQG158" s="80"/>
      <c r="VQH158" s="80"/>
      <c r="VQI158" s="80"/>
      <c r="VQJ158" s="80"/>
      <c r="VQK158" s="80"/>
      <c r="VQM158" s="80"/>
      <c r="VQN158" s="178"/>
      <c r="VQO158" s="80"/>
      <c r="VQP158" s="92"/>
      <c r="VQQ158" s="53"/>
      <c r="VQR158" s="53"/>
      <c r="VQS158" s="66"/>
      <c r="VQT158" s="53"/>
      <c r="VRA158" s="80"/>
      <c r="VRB158" s="80"/>
      <c r="VRC158" s="80"/>
      <c r="VRD158" s="80"/>
      <c r="VRE158" s="80"/>
      <c r="VRG158" s="80"/>
      <c r="VRH158" s="178"/>
      <c r="VRI158" s="80"/>
      <c r="VRJ158" s="92"/>
      <c r="VRK158" s="53"/>
      <c r="VRL158" s="53"/>
      <c r="VRM158" s="66"/>
      <c r="VRN158" s="53"/>
      <c r="VRU158" s="80"/>
      <c r="VRV158" s="80"/>
      <c r="VRW158" s="80"/>
      <c r="VRX158" s="80"/>
      <c r="VRY158" s="80"/>
      <c r="VSA158" s="80"/>
      <c r="VSB158" s="178"/>
      <c r="VSC158" s="80"/>
      <c r="VSD158" s="92"/>
      <c r="VSE158" s="53"/>
      <c r="VSF158" s="53"/>
      <c r="VSG158" s="66"/>
      <c r="VSH158" s="53"/>
      <c r="VSO158" s="80"/>
      <c r="VSP158" s="80"/>
      <c r="VSQ158" s="80"/>
      <c r="VSR158" s="80"/>
      <c r="VSS158" s="80"/>
      <c r="VSU158" s="80"/>
      <c r="VSV158" s="178"/>
      <c r="VSW158" s="80"/>
      <c r="VSX158" s="92"/>
      <c r="VSY158" s="53"/>
      <c r="VSZ158" s="53"/>
      <c r="VTA158" s="66"/>
      <c r="VTB158" s="53"/>
      <c r="VTI158" s="80"/>
      <c r="VTJ158" s="80"/>
      <c r="VTK158" s="80"/>
      <c r="VTL158" s="80"/>
      <c r="VTM158" s="80"/>
      <c r="VTO158" s="80"/>
      <c r="VTP158" s="178"/>
      <c r="VTQ158" s="80"/>
      <c r="VTR158" s="92"/>
      <c r="VTS158" s="53"/>
      <c r="VTT158" s="53"/>
      <c r="VTU158" s="66"/>
      <c r="VTV158" s="53"/>
      <c r="VUC158" s="80"/>
      <c r="VUD158" s="80"/>
      <c r="VUE158" s="80"/>
      <c r="VUF158" s="80"/>
      <c r="VUG158" s="80"/>
      <c r="VUI158" s="80"/>
      <c r="VUJ158" s="178"/>
      <c r="VUK158" s="80"/>
      <c r="VUL158" s="92"/>
      <c r="VUM158" s="53"/>
      <c r="VUN158" s="53"/>
      <c r="VUO158" s="66"/>
      <c r="VUP158" s="53"/>
      <c r="VUW158" s="80"/>
      <c r="VUX158" s="80"/>
      <c r="VUY158" s="80"/>
      <c r="VUZ158" s="80"/>
      <c r="VVA158" s="80"/>
      <c r="VVC158" s="80"/>
      <c r="VVD158" s="178"/>
      <c r="VVE158" s="80"/>
      <c r="VVF158" s="92"/>
      <c r="VVG158" s="53"/>
      <c r="VVH158" s="53"/>
      <c r="VVI158" s="66"/>
      <c r="VVJ158" s="53"/>
      <c r="VVQ158" s="80"/>
      <c r="VVR158" s="80"/>
      <c r="VVS158" s="80"/>
      <c r="VVT158" s="80"/>
      <c r="VVU158" s="80"/>
      <c r="VVW158" s="80"/>
      <c r="VVX158" s="178"/>
      <c r="VVY158" s="80"/>
      <c r="VVZ158" s="92"/>
      <c r="VWA158" s="53"/>
      <c r="VWB158" s="53"/>
      <c r="VWC158" s="66"/>
      <c r="VWD158" s="53"/>
      <c r="VWK158" s="80"/>
      <c r="VWL158" s="80"/>
      <c r="VWM158" s="80"/>
      <c r="VWN158" s="80"/>
      <c r="VWO158" s="80"/>
      <c r="VWQ158" s="80"/>
      <c r="VWR158" s="178"/>
      <c r="VWS158" s="80"/>
      <c r="VWT158" s="92"/>
      <c r="VWU158" s="53"/>
      <c r="VWV158" s="53"/>
      <c r="VWW158" s="66"/>
      <c r="VWX158" s="53"/>
      <c r="VXE158" s="80"/>
      <c r="VXF158" s="80"/>
      <c r="VXG158" s="80"/>
      <c r="VXH158" s="80"/>
      <c r="VXI158" s="80"/>
      <c r="VXK158" s="80"/>
      <c r="VXL158" s="178"/>
      <c r="VXM158" s="80"/>
      <c r="VXN158" s="92"/>
      <c r="VXO158" s="53"/>
      <c r="VXP158" s="53"/>
      <c r="VXQ158" s="66"/>
      <c r="VXR158" s="53"/>
      <c r="VXY158" s="80"/>
      <c r="VXZ158" s="80"/>
      <c r="VYA158" s="80"/>
      <c r="VYB158" s="80"/>
      <c r="VYC158" s="80"/>
      <c r="VYE158" s="80"/>
      <c r="VYF158" s="178"/>
      <c r="VYG158" s="80"/>
      <c r="VYH158" s="92"/>
      <c r="VYI158" s="53"/>
      <c r="VYJ158" s="53"/>
      <c r="VYK158" s="66"/>
      <c r="VYL158" s="53"/>
      <c r="VYS158" s="80"/>
      <c r="VYT158" s="80"/>
      <c r="VYU158" s="80"/>
      <c r="VYV158" s="80"/>
      <c r="VYW158" s="80"/>
      <c r="VYY158" s="80"/>
      <c r="VYZ158" s="178"/>
      <c r="VZA158" s="80"/>
      <c r="VZB158" s="92"/>
      <c r="VZC158" s="53"/>
      <c r="VZD158" s="53"/>
      <c r="VZE158" s="66"/>
      <c r="VZF158" s="53"/>
      <c r="VZM158" s="80"/>
      <c r="VZN158" s="80"/>
      <c r="VZO158" s="80"/>
      <c r="VZP158" s="80"/>
      <c r="VZQ158" s="80"/>
      <c r="VZS158" s="80"/>
      <c r="VZT158" s="178"/>
      <c r="VZU158" s="80"/>
      <c r="VZV158" s="92"/>
      <c r="VZW158" s="53"/>
      <c r="VZX158" s="53"/>
      <c r="VZY158" s="66"/>
      <c r="VZZ158" s="53"/>
      <c r="WAG158" s="80"/>
      <c r="WAH158" s="80"/>
      <c r="WAI158" s="80"/>
      <c r="WAJ158" s="80"/>
      <c r="WAK158" s="80"/>
      <c r="WAM158" s="80"/>
      <c r="WAN158" s="178"/>
      <c r="WAO158" s="80"/>
      <c r="WAP158" s="92"/>
      <c r="WAQ158" s="53"/>
      <c r="WAR158" s="53"/>
      <c r="WAS158" s="66"/>
      <c r="WAT158" s="53"/>
      <c r="WBA158" s="80"/>
      <c r="WBB158" s="80"/>
      <c r="WBC158" s="80"/>
      <c r="WBD158" s="80"/>
      <c r="WBE158" s="80"/>
      <c r="WBG158" s="80"/>
      <c r="WBH158" s="178"/>
      <c r="WBI158" s="80"/>
      <c r="WBJ158" s="92"/>
      <c r="WBK158" s="53"/>
      <c r="WBL158" s="53"/>
      <c r="WBM158" s="66"/>
      <c r="WBN158" s="53"/>
      <c r="WBU158" s="80"/>
      <c r="WBV158" s="80"/>
      <c r="WBW158" s="80"/>
      <c r="WBX158" s="80"/>
      <c r="WBY158" s="80"/>
      <c r="WCA158" s="80"/>
      <c r="WCB158" s="178"/>
      <c r="WCC158" s="80"/>
      <c r="WCD158" s="92"/>
      <c r="WCE158" s="53"/>
      <c r="WCF158" s="53"/>
      <c r="WCG158" s="66"/>
      <c r="WCH158" s="53"/>
      <c r="WCO158" s="80"/>
      <c r="WCP158" s="80"/>
      <c r="WCQ158" s="80"/>
      <c r="WCR158" s="80"/>
      <c r="WCS158" s="80"/>
      <c r="WCU158" s="80"/>
      <c r="WCV158" s="178"/>
      <c r="WCW158" s="80"/>
      <c r="WCX158" s="92"/>
      <c r="WCY158" s="53"/>
      <c r="WCZ158" s="53"/>
      <c r="WDA158" s="66"/>
      <c r="WDB158" s="53"/>
      <c r="WDI158" s="80"/>
      <c r="WDJ158" s="80"/>
      <c r="WDK158" s="80"/>
      <c r="WDL158" s="80"/>
      <c r="WDM158" s="80"/>
      <c r="WDO158" s="80"/>
      <c r="WDP158" s="178"/>
      <c r="WDQ158" s="80"/>
      <c r="WDR158" s="92"/>
      <c r="WDS158" s="53"/>
      <c r="WDT158" s="53"/>
      <c r="WDU158" s="66"/>
      <c r="WDV158" s="53"/>
      <c r="WEC158" s="80"/>
      <c r="WED158" s="80"/>
      <c r="WEE158" s="80"/>
      <c r="WEF158" s="80"/>
      <c r="WEG158" s="80"/>
      <c r="WEI158" s="80"/>
      <c r="WEJ158" s="178"/>
      <c r="WEK158" s="80"/>
      <c r="WEL158" s="92"/>
      <c r="WEM158" s="53"/>
      <c r="WEN158" s="53"/>
      <c r="WEO158" s="66"/>
      <c r="WEP158" s="53"/>
      <c r="WEW158" s="80"/>
      <c r="WEX158" s="80"/>
      <c r="WEY158" s="80"/>
      <c r="WEZ158" s="80"/>
      <c r="WFA158" s="80"/>
      <c r="WFC158" s="80"/>
      <c r="WFD158" s="178"/>
      <c r="WFE158" s="80"/>
      <c r="WFF158" s="92"/>
      <c r="WFG158" s="53"/>
      <c r="WFH158" s="53"/>
      <c r="WFI158" s="66"/>
      <c r="WFJ158" s="53"/>
      <c r="WFQ158" s="80"/>
      <c r="WFR158" s="80"/>
      <c r="WFS158" s="80"/>
      <c r="WFT158" s="80"/>
      <c r="WFU158" s="80"/>
      <c r="WFW158" s="80"/>
      <c r="WFX158" s="178"/>
      <c r="WFY158" s="80"/>
      <c r="WFZ158" s="92"/>
      <c r="WGA158" s="53"/>
      <c r="WGB158" s="53"/>
      <c r="WGC158" s="66"/>
      <c r="WGD158" s="53"/>
      <c r="WGK158" s="80"/>
      <c r="WGL158" s="80"/>
      <c r="WGM158" s="80"/>
      <c r="WGN158" s="80"/>
      <c r="WGO158" s="80"/>
      <c r="WGQ158" s="80"/>
      <c r="WGR158" s="178"/>
      <c r="WGS158" s="80"/>
      <c r="WGT158" s="92"/>
      <c r="WGU158" s="53"/>
      <c r="WGV158" s="53"/>
      <c r="WGW158" s="66"/>
      <c r="WGX158" s="53"/>
      <c r="WHE158" s="80"/>
      <c r="WHF158" s="80"/>
      <c r="WHG158" s="80"/>
      <c r="WHH158" s="80"/>
      <c r="WHI158" s="80"/>
      <c r="WHK158" s="80"/>
      <c r="WHL158" s="178"/>
      <c r="WHM158" s="80"/>
      <c r="WHN158" s="92"/>
      <c r="WHO158" s="53"/>
      <c r="WHP158" s="53"/>
      <c r="WHQ158" s="66"/>
      <c r="WHR158" s="53"/>
      <c r="WHY158" s="80"/>
      <c r="WHZ158" s="80"/>
      <c r="WIA158" s="80"/>
      <c r="WIB158" s="80"/>
      <c r="WIC158" s="80"/>
      <c r="WIE158" s="80"/>
      <c r="WIF158" s="178"/>
      <c r="WIG158" s="80"/>
      <c r="WIH158" s="92"/>
      <c r="WII158" s="53"/>
      <c r="WIJ158" s="53"/>
      <c r="WIK158" s="66"/>
      <c r="WIL158" s="53"/>
      <c r="WIS158" s="80"/>
      <c r="WIT158" s="80"/>
      <c r="WIU158" s="80"/>
      <c r="WIV158" s="80"/>
      <c r="WIW158" s="80"/>
      <c r="WIY158" s="80"/>
      <c r="WIZ158" s="178"/>
      <c r="WJA158" s="80"/>
      <c r="WJB158" s="92"/>
      <c r="WJC158" s="53"/>
      <c r="WJD158" s="53"/>
      <c r="WJE158" s="66"/>
      <c r="WJF158" s="53"/>
      <c r="WJM158" s="80"/>
      <c r="WJN158" s="80"/>
      <c r="WJO158" s="80"/>
      <c r="WJP158" s="80"/>
      <c r="WJQ158" s="80"/>
      <c r="WJS158" s="80"/>
      <c r="WJT158" s="178"/>
      <c r="WJU158" s="80"/>
      <c r="WJV158" s="92"/>
      <c r="WJW158" s="53"/>
      <c r="WJX158" s="53"/>
      <c r="WJY158" s="66"/>
      <c r="WJZ158" s="53"/>
      <c r="WKG158" s="80"/>
      <c r="WKH158" s="80"/>
      <c r="WKI158" s="80"/>
      <c r="WKJ158" s="80"/>
      <c r="WKK158" s="80"/>
      <c r="WKM158" s="80"/>
      <c r="WKN158" s="178"/>
      <c r="WKO158" s="80"/>
      <c r="WKP158" s="92"/>
      <c r="WKQ158" s="53"/>
      <c r="WKR158" s="53"/>
      <c r="WKS158" s="66"/>
      <c r="WKT158" s="53"/>
      <c r="WLA158" s="80"/>
      <c r="WLB158" s="80"/>
      <c r="WLC158" s="80"/>
      <c r="WLD158" s="80"/>
      <c r="WLE158" s="80"/>
      <c r="WLG158" s="80"/>
      <c r="WLH158" s="178"/>
      <c r="WLI158" s="80"/>
      <c r="WLJ158" s="92"/>
      <c r="WLK158" s="53"/>
      <c r="WLL158" s="53"/>
      <c r="WLM158" s="66"/>
      <c r="WLN158" s="53"/>
      <c r="WLU158" s="80"/>
      <c r="WLV158" s="80"/>
      <c r="WLW158" s="80"/>
      <c r="WLX158" s="80"/>
      <c r="WLY158" s="80"/>
      <c r="WMA158" s="80"/>
      <c r="WMB158" s="178"/>
      <c r="WMC158" s="80"/>
      <c r="WMD158" s="92"/>
      <c r="WME158" s="53"/>
      <c r="WMF158" s="53"/>
      <c r="WMG158" s="66"/>
      <c r="WMH158" s="53"/>
      <c r="WMO158" s="80"/>
      <c r="WMP158" s="80"/>
      <c r="WMQ158" s="80"/>
      <c r="WMR158" s="80"/>
      <c r="WMS158" s="80"/>
      <c r="WMU158" s="80"/>
      <c r="WMV158" s="178"/>
      <c r="WMW158" s="80"/>
      <c r="WMX158" s="92"/>
      <c r="WMY158" s="53"/>
      <c r="WMZ158" s="53"/>
      <c r="WNA158" s="66"/>
      <c r="WNB158" s="53"/>
      <c r="WNI158" s="80"/>
      <c r="WNJ158" s="80"/>
      <c r="WNK158" s="80"/>
      <c r="WNL158" s="80"/>
      <c r="WNM158" s="80"/>
      <c r="WNO158" s="80"/>
      <c r="WNP158" s="178"/>
      <c r="WNQ158" s="80"/>
      <c r="WNR158" s="92"/>
      <c r="WNS158" s="53"/>
      <c r="WNT158" s="53"/>
      <c r="WNU158" s="66"/>
      <c r="WNV158" s="53"/>
      <c r="WOC158" s="80"/>
      <c r="WOD158" s="80"/>
      <c r="WOE158" s="80"/>
      <c r="WOF158" s="80"/>
      <c r="WOG158" s="80"/>
      <c r="WOI158" s="80"/>
      <c r="WOJ158" s="178"/>
      <c r="WOK158" s="80"/>
      <c r="WOL158" s="92"/>
      <c r="WOM158" s="53"/>
      <c r="WON158" s="53"/>
      <c r="WOO158" s="66"/>
      <c r="WOP158" s="53"/>
      <c r="WOW158" s="80"/>
      <c r="WOX158" s="80"/>
      <c r="WOY158" s="80"/>
      <c r="WOZ158" s="80"/>
      <c r="WPA158" s="80"/>
      <c r="WPC158" s="80"/>
      <c r="WPD158" s="178"/>
      <c r="WPE158" s="80"/>
      <c r="WPF158" s="92"/>
      <c r="WPG158" s="53"/>
      <c r="WPH158" s="53"/>
      <c r="WPI158" s="66"/>
      <c r="WPJ158" s="53"/>
      <c r="WPQ158" s="80"/>
      <c r="WPR158" s="80"/>
      <c r="WPS158" s="80"/>
      <c r="WPT158" s="80"/>
      <c r="WPU158" s="80"/>
      <c r="WPW158" s="80"/>
      <c r="WPX158" s="178"/>
      <c r="WPY158" s="80"/>
      <c r="WPZ158" s="92"/>
      <c r="WQA158" s="53"/>
      <c r="WQB158" s="53"/>
      <c r="WQC158" s="66"/>
      <c r="WQD158" s="53"/>
      <c r="WQK158" s="80"/>
      <c r="WQL158" s="80"/>
      <c r="WQM158" s="80"/>
      <c r="WQN158" s="80"/>
      <c r="WQO158" s="80"/>
      <c r="WQQ158" s="80"/>
      <c r="WQR158" s="178"/>
      <c r="WQS158" s="80"/>
      <c r="WQT158" s="92"/>
      <c r="WQU158" s="53"/>
      <c r="WQV158" s="53"/>
      <c r="WQW158" s="66"/>
      <c r="WQX158" s="53"/>
      <c r="WRE158" s="80"/>
      <c r="WRF158" s="80"/>
      <c r="WRG158" s="80"/>
      <c r="WRH158" s="80"/>
      <c r="WRI158" s="80"/>
      <c r="WRK158" s="80"/>
      <c r="WRL158" s="178"/>
      <c r="WRM158" s="80"/>
      <c r="WRN158" s="92"/>
      <c r="WRO158" s="53"/>
      <c r="WRP158" s="53"/>
      <c r="WRQ158" s="66"/>
      <c r="WRR158" s="53"/>
      <c r="WRY158" s="80"/>
      <c r="WRZ158" s="80"/>
      <c r="WSA158" s="80"/>
      <c r="WSB158" s="80"/>
      <c r="WSC158" s="80"/>
      <c r="WSE158" s="80"/>
      <c r="WSF158" s="178"/>
      <c r="WSG158" s="80"/>
      <c r="WSH158" s="92"/>
      <c r="WSI158" s="53"/>
      <c r="WSJ158" s="53"/>
      <c r="WSK158" s="66"/>
      <c r="WSL158" s="53"/>
      <c r="WSS158" s="80"/>
      <c r="WST158" s="80"/>
      <c r="WSU158" s="80"/>
      <c r="WSV158" s="80"/>
      <c r="WSW158" s="80"/>
      <c r="WSY158" s="80"/>
      <c r="WSZ158" s="178"/>
      <c r="WTA158" s="80"/>
      <c r="WTB158" s="92"/>
      <c r="WTC158" s="53"/>
      <c r="WTD158" s="53"/>
      <c r="WTE158" s="66"/>
      <c r="WTF158" s="53"/>
      <c r="WTM158" s="80"/>
      <c r="WTN158" s="80"/>
      <c r="WTO158" s="80"/>
      <c r="WTP158" s="80"/>
      <c r="WTQ158" s="80"/>
      <c r="WTS158" s="80"/>
      <c r="WTT158" s="178"/>
      <c r="WTU158" s="80"/>
      <c r="WTV158" s="92"/>
      <c r="WTW158" s="53"/>
      <c r="WTX158" s="53"/>
      <c r="WTY158" s="66"/>
      <c r="WTZ158" s="53"/>
      <c r="WUG158" s="80"/>
      <c r="WUH158" s="80"/>
      <c r="WUI158" s="80"/>
      <c r="WUJ158" s="80"/>
      <c r="WUK158" s="80"/>
      <c r="WUM158" s="80"/>
      <c r="WUN158" s="178"/>
      <c r="WUO158" s="80"/>
      <c r="WUP158" s="92"/>
      <c r="WUQ158" s="53"/>
      <c r="WUR158" s="53"/>
      <c r="WUS158" s="66"/>
      <c r="WUT158" s="53"/>
      <c r="WVA158" s="80"/>
      <c r="WVB158" s="80"/>
      <c r="WVC158" s="80"/>
      <c r="WVD158" s="80"/>
      <c r="WVE158" s="80"/>
      <c r="WVG158" s="80"/>
      <c r="WVH158" s="178"/>
      <c r="WVI158" s="80"/>
      <c r="WVJ158" s="92"/>
      <c r="WVK158" s="53"/>
      <c r="WVL158" s="53"/>
      <c r="WVM158" s="66"/>
      <c r="WVN158" s="53"/>
      <c r="WVU158" s="80"/>
      <c r="WVV158" s="80"/>
      <c r="WVW158" s="80"/>
      <c r="WVX158" s="80"/>
      <c r="WVY158" s="80"/>
      <c r="WWA158" s="80"/>
      <c r="WWB158" s="178"/>
      <c r="WWC158" s="80"/>
      <c r="WWD158" s="92"/>
      <c r="WWE158" s="53"/>
      <c r="WWF158" s="53"/>
      <c r="WWG158" s="66"/>
      <c r="WWH158" s="53"/>
      <c r="WWO158" s="80"/>
      <c r="WWP158" s="80"/>
      <c r="WWQ158" s="80"/>
      <c r="WWR158" s="80"/>
      <c r="WWS158" s="80"/>
      <c r="WWU158" s="80"/>
      <c r="WWV158" s="178"/>
      <c r="WWW158" s="80"/>
      <c r="WWX158" s="92"/>
      <c r="WWY158" s="53"/>
      <c r="WWZ158" s="53"/>
      <c r="WXA158" s="66"/>
      <c r="WXB158" s="53"/>
      <c r="WXI158" s="80"/>
      <c r="WXJ158" s="80"/>
      <c r="WXK158" s="80"/>
      <c r="WXL158" s="80"/>
      <c r="WXM158" s="80"/>
      <c r="WXO158" s="80"/>
      <c r="WXP158" s="178"/>
      <c r="WXQ158" s="80"/>
      <c r="WXR158" s="92"/>
      <c r="WXS158" s="53"/>
      <c r="WXT158" s="53"/>
      <c r="WXU158" s="66"/>
      <c r="WXV158" s="53"/>
      <c r="WYC158" s="80"/>
      <c r="WYD158" s="80"/>
      <c r="WYE158" s="80"/>
      <c r="WYF158" s="80"/>
      <c r="WYG158" s="80"/>
      <c r="WYI158" s="80"/>
      <c r="WYJ158" s="178"/>
      <c r="WYK158" s="80"/>
      <c r="WYL158" s="92"/>
      <c r="WYM158" s="53"/>
      <c r="WYN158" s="53"/>
      <c r="WYO158" s="66"/>
      <c r="WYP158" s="53"/>
      <c r="WYW158" s="80"/>
      <c r="WYX158" s="80"/>
      <c r="WYY158" s="80"/>
      <c r="WYZ158" s="80"/>
      <c r="WZA158" s="80"/>
      <c r="WZC158" s="80"/>
      <c r="WZD158" s="178"/>
      <c r="WZE158" s="80"/>
      <c r="WZF158" s="92"/>
      <c r="WZG158" s="53"/>
      <c r="WZH158" s="53"/>
      <c r="WZI158" s="66"/>
      <c r="WZJ158" s="53"/>
      <c r="WZQ158" s="80"/>
      <c r="WZR158" s="80"/>
      <c r="WZS158" s="80"/>
      <c r="WZT158" s="80"/>
      <c r="WZU158" s="80"/>
      <c r="WZW158" s="80"/>
      <c r="WZX158" s="178"/>
      <c r="WZY158" s="80"/>
      <c r="WZZ158" s="92"/>
      <c r="XAA158" s="53"/>
      <c r="XAB158" s="53"/>
      <c r="XAC158" s="66"/>
      <c r="XAD158" s="53"/>
      <c r="XAK158" s="80"/>
      <c r="XAL158" s="80"/>
      <c r="XAM158" s="80"/>
      <c r="XAN158" s="80"/>
      <c r="XAO158" s="80"/>
      <c r="XAQ158" s="80"/>
      <c r="XAR158" s="178"/>
      <c r="XAS158" s="80"/>
      <c r="XAT158" s="92"/>
      <c r="XAU158" s="53"/>
      <c r="XAV158" s="53"/>
      <c r="XAW158" s="66"/>
      <c r="XAX158" s="53"/>
      <c r="XBE158" s="80"/>
      <c r="XBF158" s="80"/>
      <c r="XBG158" s="80"/>
      <c r="XBH158" s="80"/>
      <c r="XBI158" s="80"/>
      <c r="XBK158" s="80"/>
      <c r="XBL158" s="178"/>
      <c r="XBM158" s="80"/>
      <c r="XBN158" s="92"/>
      <c r="XBO158" s="53"/>
      <c r="XBP158" s="53"/>
      <c r="XBQ158" s="66"/>
      <c r="XBR158" s="53"/>
      <c r="XBY158" s="80"/>
      <c r="XBZ158" s="80"/>
      <c r="XCA158" s="80"/>
      <c r="XCB158" s="80"/>
      <c r="XCC158" s="80"/>
      <c r="XCE158" s="80"/>
      <c r="XCF158" s="178"/>
      <c r="XCG158" s="80"/>
      <c r="XCH158" s="92"/>
      <c r="XCI158" s="53"/>
      <c r="XCJ158" s="53"/>
      <c r="XCK158" s="66"/>
      <c r="XCL158" s="53"/>
      <c r="XCS158" s="80"/>
      <c r="XCT158" s="80"/>
      <c r="XCU158" s="80"/>
      <c r="XCV158" s="80"/>
      <c r="XCW158" s="80"/>
      <c r="XCY158" s="80"/>
      <c r="XCZ158" s="178"/>
      <c r="XDA158" s="80"/>
      <c r="XDB158" s="92"/>
      <c r="XDC158" s="53"/>
      <c r="XDD158" s="53"/>
      <c r="XDE158" s="66"/>
      <c r="XDF158" s="53"/>
      <c r="XDM158" s="80"/>
      <c r="XDN158" s="80"/>
      <c r="XDO158" s="80"/>
      <c r="XDP158" s="80"/>
      <c r="XDQ158" s="80"/>
      <c r="XDS158" s="80"/>
      <c r="XDT158" s="178"/>
      <c r="XDU158" s="80"/>
      <c r="XDV158" s="92"/>
      <c r="XDW158" s="53"/>
      <c r="XDX158" s="53"/>
      <c r="XDY158" s="66"/>
      <c r="XDZ158" s="53"/>
      <c r="XEG158" s="80"/>
      <c r="XEH158" s="80"/>
      <c r="XEI158" s="80"/>
      <c r="XEJ158" s="80"/>
      <c r="XEK158" s="80"/>
      <c r="XEM158" s="80"/>
      <c r="XEN158" s="178"/>
      <c r="XEO158" s="80"/>
      <c r="XEP158" s="92"/>
      <c r="XEQ158" s="53"/>
      <c r="XER158" s="53"/>
      <c r="XES158" s="66"/>
      <c r="XET158" s="53"/>
      <c r="XFA158" s="80"/>
      <c r="XFB158" s="80"/>
      <c r="XFC158" s="80"/>
      <c r="XFD158" s="80"/>
    </row>
    <row r="159" spans="1:4094 4101:5114 5121:9214 9221:10234 10241:14334 14341:15354 15361:16384" s="248" customFormat="1" ht="32.25" customHeight="1">
      <c r="A159" s="43">
        <v>169</v>
      </c>
      <c r="B159" s="261" t="s">
        <v>517</v>
      </c>
      <c r="C159" s="261">
        <v>216</v>
      </c>
      <c r="D159" s="261">
        <v>242</v>
      </c>
      <c r="E159" s="261" t="s">
        <v>515</v>
      </c>
      <c r="F159" s="93" t="s">
        <v>7</v>
      </c>
      <c r="G159" s="43">
        <v>7</v>
      </c>
      <c r="H159" s="93" t="s">
        <v>129</v>
      </c>
      <c r="I159" s="93" t="s">
        <v>55</v>
      </c>
      <c r="J159" s="44">
        <v>46189</v>
      </c>
      <c r="K159" s="43"/>
      <c r="L159" s="204" t="s">
        <v>133</v>
      </c>
      <c r="M159" s="63"/>
      <c r="N159" s="43"/>
      <c r="O159" s="43"/>
      <c r="P159" s="43"/>
      <c r="Q159" s="43"/>
      <c r="R159" s="43"/>
      <c r="S159" s="43"/>
      <c r="T159" s="43" t="s">
        <v>528</v>
      </c>
      <c r="U159" s="43"/>
      <c r="V159" s="45"/>
      <c r="W159" s="249"/>
      <c r="X159" s="249"/>
      <c r="Y159" s="249"/>
      <c r="AA159" s="249"/>
      <c r="AB159" s="250"/>
      <c r="AC159" s="249"/>
      <c r="AD159" s="251"/>
      <c r="AE159" s="252"/>
      <c r="AF159" s="252"/>
      <c r="AG159" s="253"/>
      <c r="AH159" s="252"/>
      <c r="AO159" s="249"/>
      <c r="AP159" s="249"/>
      <c r="AQ159" s="249"/>
      <c r="AR159" s="249"/>
      <c r="AS159" s="249"/>
      <c r="AU159" s="249"/>
      <c r="AV159" s="250"/>
      <c r="AW159" s="249"/>
      <c r="AX159" s="251"/>
      <c r="AY159" s="252"/>
      <c r="AZ159" s="252"/>
      <c r="BA159" s="253"/>
      <c r="BB159" s="252"/>
      <c r="BI159" s="249"/>
      <c r="BJ159" s="249"/>
      <c r="BK159" s="249"/>
      <c r="BL159" s="249"/>
      <c r="BM159" s="249"/>
      <c r="BO159" s="249"/>
      <c r="BP159" s="250"/>
      <c r="BQ159" s="249"/>
      <c r="BR159" s="251"/>
      <c r="BS159" s="252"/>
      <c r="BT159" s="252"/>
      <c r="BU159" s="253"/>
      <c r="BV159" s="252"/>
      <c r="CC159" s="249"/>
      <c r="CD159" s="249"/>
      <c r="CE159" s="249"/>
      <c r="CF159" s="249"/>
      <c r="CG159" s="249"/>
      <c r="CI159" s="249"/>
      <c r="CJ159" s="250"/>
      <c r="CK159" s="249"/>
      <c r="CL159" s="251"/>
      <c r="CM159" s="252"/>
      <c r="CN159" s="252"/>
      <c r="CO159" s="253"/>
      <c r="CP159" s="252"/>
      <c r="CW159" s="249"/>
      <c r="CX159" s="249"/>
      <c r="CY159" s="249"/>
      <c r="CZ159" s="249"/>
      <c r="DA159" s="249"/>
      <c r="DC159" s="249"/>
      <c r="DD159" s="250"/>
      <c r="DE159" s="249"/>
      <c r="DF159" s="251"/>
      <c r="DG159" s="252"/>
      <c r="DH159" s="252"/>
      <c r="DI159" s="253"/>
      <c r="DJ159" s="252"/>
      <c r="DQ159" s="249"/>
      <c r="DR159" s="249"/>
      <c r="DS159" s="249"/>
      <c r="DT159" s="249"/>
      <c r="DU159" s="249"/>
      <c r="DW159" s="249"/>
      <c r="DX159" s="250"/>
      <c r="DY159" s="249"/>
      <c r="DZ159" s="251"/>
      <c r="EA159" s="252"/>
      <c r="EB159" s="252"/>
      <c r="EC159" s="253"/>
      <c r="ED159" s="252"/>
      <c r="EK159" s="249"/>
      <c r="EL159" s="249"/>
      <c r="EM159" s="249"/>
      <c r="EN159" s="249"/>
      <c r="EO159" s="249"/>
      <c r="EQ159" s="249"/>
      <c r="ER159" s="250"/>
      <c r="ES159" s="249"/>
      <c r="ET159" s="251"/>
      <c r="EU159" s="252"/>
      <c r="EV159" s="252"/>
      <c r="EW159" s="253"/>
      <c r="EX159" s="252"/>
      <c r="FE159" s="249"/>
      <c r="FF159" s="249"/>
      <c r="FG159" s="249"/>
      <c r="FH159" s="249"/>
      <c r="FI159" s="249"/>
      <c r="FK159" s="249"/>
      <c r="FL159" s="250"/>
      <c r="FM159" s="249"/>
      <c r="FN159" s="251"/>
      <c r="FO159" s="252"/>
      <c r="FP159" s="252"/>
      <c r="FQ159" s="253"/>
      <c r="FR159" s="252"/>
      <c r="FY159" s="249"/>
      <c r="FZ159" s="249"/>
      <c r="GA159" s="249"/>
      <c r="GB159" s="249"/>
      <c r="GC159" s="249"/>
      <c r="GE159" s="249"/>
      <c r="GF159" s="250"/>
      <c r="GG159" s="249"/>
      <c r="GH159" s="251"/>
      <c r="GI159" s="252"/>
      <c r="GJ159" s="252"/>
      <c r="GK159" s="253"/>
      <c r="GL159" s="252"/>
      <c r="GS159" s="249"/>
      <c r="GT159" s="249"/>
      <c r="GU159" s="249"/>
      <c r="GV159" s="249"/>
      <c r="GW159" s="249"/>
      <c r="GY159" s="249"/>
      <c r="GZ159" s="250"/>
      <c r="HA159" s="249"/>
      <c r="HB159" s="251"/>
      <c r="HC159" s="252"/>
      <c r="HD159" s="252"/>
      <c r="HE159" s="253"/>
      <c r="HF159" s="252"/>
      <c r="HM159" s="249"/>
      <c r="HN159" s="249"/>
      <c r="HO159" s="249"/>
      <c r="HP159" s="249"/>
      <c r="HQ159" s="249"/>
      <c r="HS159" s="249"/>
      <c r="HT159" s="250"/>
      <c r="HU159" s="249"/>
      <c r="HV159" s="251"/>
      <c r="HW159" s="252"/>
      <c r="HX159" s="252"/>
      <c r="HY159" s="253"/>
      <c r="HZ159" s="252"/>
      <c r="IG159" s="249"/>
      <c r="IH159" s="249"/>
      <c r="II159" s="249"/>
      <c r="IJ159" s="249"/>
      <c r="IK159" s="249"/>
      <c r="IM159" s="249"/>
      <c r="IN159" s="250"/>
      <c r="IO159" s="249"/>
      <c r="IP159" s="251"/>
      <c r="IQ159" s="252"/>
      <c r="IR159" s="252"/>
      <c r="IS159" s="253"/>
      <c r="IT159" s="252"/>
      <c r="JA159" s="249"/>
      <c r="JB159" s="249"/>
      <c r="JC159" s="249"/>
      <c r="JD159" s="249"/>
      <c r="JE159" s="249"/>
      <c r="JG159" s="249"/>
      <c r="JH159" s="250"/>
      <c r="JI159" s="249"/>
      <c r="JJ159" s="251"/>
      <c r="JK159" s="252"/>
      <c r="JL159" s="252"/>
      <c r="JM159" s="253"/>
      <c r="JN159" s="252"/>
      <c r="JU159" s="249"/>
      <c r="JV159" s="249"/>
      <c r="JW159" s="249"/>
      <c r="JX159" s="249"/>
      <c r="JY159" s="249"/>
      <c r="KA159" s="249"/>
      <c r="KB159" s="250"/>
      <c r="KC159" s="249"/>
      <c r="KD159" s="251"/>
      <c r="KE159" s="252"/>
      <c r="KF159" s="252"/>
      <c r="KG159" s="253"/>
      <c r="KH159" s="252"/>
      <c r="KO159" s="249"/>
      <c r="KP159" s="249"/>
      <c r="KQ159" s="249"/>
      <c r="KR159" s="249"/>
      <c r="KS159" s="249"/>
      <c r="KU159" s="249"/>
      <c r="KV159" s="250"/>
      <c r="KW159" s="249"/>
      <c r="KX159" s="251"/>
      <c r="KY159" s="252"/>
      <c r="KZ159" s="252"/>
      <c r="LA159" s="253"/>
      <c r="LB159" s="252"/>
      <c r="LI159" s="249"/>
      <c r="LJ159" s="249"/>
      <c r="LK159" s="249"/>
      <c r="LL159" s="249"/>
      <c r="LM159" s="249"/>
      <c r="LO159" s="249"/>
      <c r="LP159" s="250"/>
      <c r="LQ159" s="249"/>
      <c r="LR159" s="251"/>
      <c r="LS159" s="252"/>
      <c r="LT159" s="252"/>
      <c r="LU159" s="253"/>
      <c r="LV159" s="252"/>
      <c r="MC159" s="249"/>
      <c r="MD159" s="249"/>
      <c r="ME159" s="249"/>
      <c r="MF159" s="249"/>
      <c r="MG159" s="249"/>
      <c r="MI159" s="249"/>
      <c r="MJ159" s="250"/>
      <c r="MK159" s="249"/>
      <c r="ML159" s="251"/>
      <c r="MM159" s="252"/>
      <c r="MN159" s="252"/>
      <c r="MO159" s="253"/>
      <c r="MP159" s="252"/>
      <c r="MW159" s="249"/>
      <c r="MX159" s="249"/>
      <c r="MY159" s="249"/>
      <c r="MZ159" s="249"/>
      <c r="NA159" s="249"/>
      <c r="NC159" s="249"/>
      <c r="ND159" s="250"/>
      <c r="NE159" s="249"/>
      <c r="NF159" s="251"/>
      <c r="NG159" s="252"/>
      <c r="NH159" s="252"/>
      <c r="NI159" s="253"/>
      <c r="NJ159" s="252"/>
      <c r="NQ159" s="249"/>
      <c r="NR159" s="249"/>
      <c r="NS159" s="249"/>
      <c r="NT159" s="249"/>
      <c r="NU159" s="249"/>
      <c r="NW159" s="249"/>
      <c r="NX159" s="250"/>
      <c r="NY159" s="249"/>
      <c r="NZ159" s="251"/>
      <c r="OA159" s="252"/>
      <c r="OB159" s="252"/>
      <c r="OC159" s="253"/>
      <c r="OD159" s="252"/>
      <c r="OK159" s="249"/>
      <c r="OL159" s="249"/>
      <c r="OM159" s="249"/>
      <c r="ON159" s="249"/>
      <c r="OO159" s="249"/>
      <c r="OQ159" s="249"/>
      <c r="OR159" s="250"/>
      <c r="OS159" s="249"/>
      <c r="OT159" s="251"/>
      <c r="OU159" s="252"/>
      <c r="OV159" s="252"/>
      <c r="OW159" s="253"/>
      <c r="OX159" s="252"/>
      <c r="PE159" s="249"/>
      <c r="PF159" s="249"/>
      <c r="PG159" s="249"/>
      <c r="PH159" s="249"/>
      <c r="PI159" s="249"/>
      <c r="PK159" s="249"/>
      <c r="PL159" s="250"/>
      <c r="PM159" s="249"/>
      <c r="PN159" s="251"/>
      <c r="PO159" s="252"/>
      <c r="PP159" s="252"/>
      <c r="PQ159" s="253"/>
      <c r="PR159" s="252"/>
      <c r="PY159" s="249"/>
      <c r="PZ159" s="249"/>
      <c r="QA159" s="249"/>
      <c r="QB159" s="249"/>
      <c r="QC159" s="249"/>
      <c r="QE159" s="249"/>
      <c r="QF159" s="250"/>
      <c r="QG159" s="249"/>
      <c r="QH159" s="251"/>
      <c r="QI159" s="252"/>
      <c r="QJ159" s="252"/>
      <c r="QK159" s="253"/>
      <c r="QL159" s="252"/>
      <c r="QS159" s="249"/>
      <c r="QT159" s="249"/>
      <c r="QU159" s="249"/>
      <c r="QV159" s="249"/>
      <c r="QW159" s="249"/>
      <c r="QY159" s="249"/>
      <c r="QZ159" s="250"/>
      <c r="RA159" s="249"/>
      <c r="RB159" s="251"/>
      <c r="RC159" s="252"/>
      <c r="RD159" s="252"/>
      <c r="RE159" s="253"/>
      <c r="RF159" s="252"/>
      <c r="RM159" s="249"/>
      <c r="RN159" s="249"/>
      <c r="RO159" s="249"/>
      <c r="RP159" s="249"/>
      <c r="RQ159" s="249"/>
      <c r="RS159" s="249"/>
      <c r="RT159" s="250"/>
      <c r="RU159" s="249"/>
      <c r="RV159" s="251"/>
      <c r="RW159" s="252"/>
      <c r="RX159" s="252"/>
      <c r="RY159" s="253"/>
      <c r="RZ159" s="252"/>
      <c r="SG159" s="249"/>
      <c r="SH159" s="249"/>
      <c r="SI159" s="249"/>
      <c r="SJ159" s="249"/>
      <c r="SK159" s="249"/>
      <c r="SM159" s="249"/>
      <c r="SN159" s="250"/>
      <c r="SO159" s="249"/>
      <c r="SP159" s="251"/>
      <c r="SQ159" s="252"/>
      <c r="SR159" s="252"/>
      <c r="SS159" s="253"/>
      <c r="ST159" s="252"/>
      <c r="TA159" s="249"/>
      <c r="TB159" s="249"/>
      <c r="TC159" s="249"/>
      <c r="TD159" s="249"/>
      <c r="TE159" s="249"/>
      <c r="TG159" s="249"/>
      <c r="TH159" s="250"/>
      <c r="TI159" s="249"/>
      <c r="TJ159" s="251"/>
      <c r="TK159" s="252"/>
      <c r="TL159" s="252"/>
      <c r="TM159" s="253"/>
      <c r="TN159" s="252"/>
      <c r="TU159" s="249"/>
      <c r="TV159" s="249"/>
      <c r="TW159" s="249"/>
      <c r="TX159" s="249"/>
      <c r="TY159" s="249"/>
      <c r="UA159" s="249"/>
      <c r="UB159" s="250"/>
      <c r="UC159" s="249"/>
      <c r="UD159" s="251"/>
      <c r="UE159" s="252"/>
      <c r="UF159" s="252"/>
      <c r="UG159" s="253"/>
      <c r="UH159" s="252"/>
      <c r="UO159" s="249"/>
      <c r="UP159" s="249"/>
      <c r="UQ159" s="249"/>
      <c r="UR159" s="249"/>
      <c r="US159" s="249"/>
      <c r="UU159" s="249"/>
      <c r="UV159" s="250"/>
      <c r="UW159" s="249"/>
      <c r="UX159" s="251"/>
      <c r="UY159" s="252"/>
      <c r="UZ159" s="252"/>
      <c r="VA159" s="253"/>
      <c r="VB159" s="252"/>
      <c r="VI159" s="249"/>
      <c r="VJ159" s="249"/>
      <c r="VK159" s="249"/>
      <c r="VL159" s="249"/>
      <c r="VM159" s="249"/>
      <c r="VO159" s="249"/>
      <c r="VP159" s="250"/>
      <c r="VQ159" s="249"/>
      <c r="VR159" s="251"/>
      <c r="VS159" s="252"/>
      <c r="VT159" s="252"/>
      <c r="VU159" s="253"/>
      <c r="VV159" s="252"/>
      <c r="WC159" s="249"/>
      <c r="WD159" s="249"/>
      <c r="WE159" s="249"/>
      <c r="WF159" s="249"/>
      <c r="WG159" s="249"/>
      <c r="WI159" s="249"/>
      <c r="WJ159" s="250"/>
      <c r="WK159" s="249"/>
      <c r="WL159" s="251"/>
      <c r="WM159" s="252"/>
      <c r="WN159" s="252"/>
      <c r="WO159" s="253"/>
      <c r="WP159" s="252"/>
      <c r="WW159" s="249"/>
      <c r="WX159" s="249"/>
      <c r="WY159" s="249"/>
      <c r="WZ159" s="249"/>
      <c r="XA159" s="249"/>
      <c r="XC159" s="249"/>
      <c r="XD159" s="250"/>
      <c r="XE159" s="249"/>
      <c r="XF159" s="251"/>
      <c r="XG159" s="252"/>
      <c r="XH159" s="252"/>
      <c r="XI159" s="253"/>
      <c r="XJ159" s="252"/>
      <c r="XQ159" s="249"/>
      <c r="XR159" s="249"/>
      <c r="XS159" s="249"/>
      <c r="XT159" s="249"/>
      <c r="XU159" s="249"/>
      <c r="XW159" s="249"/>
      <c r="XX159" s="250"/>
      <c r="XY159" s="249"/>
      <c r="XZ159" s="251"/>
      <c r="YA159" s="252"/>
      <c r="YB159" s="252"/>
      <c r="YC159" s="253"/>
      <c r="YD159" s="252"/>
      <c r="YK159" s="249"/>
      <c r="YL159" s="249"/>
      <c r="YM159" s="249"/>
      <c r="YN159" s="249"/>
      <c r="YO159" s="249"/>
      <c r="YQ159" s="249"/>
      <c r="YR159" s="250"/>
      <c r="YS159" s="249"/>
      <c r="YT159" s="251"/>
      <c r="YU159" s="252"/>
      <c r="YV159" s="252"/>
      <c r="YW159" s="253"/>
      <c r="YX159" s="252"/>
      <c r="ZE159" s="249"/>
      <c r="ZF159" s="249"/>
      <c r="ZG159" s="249"/>
      <c r="ZH159" s="249"/>
      <c r="ZI159" s="249"/>
      <c r="ZK159" s="249"/>
      <c r="ZL159" s="250"/>
      <c r="ZM159" s="249"/>
      <c r="ZN159" s="251"/>
      <c r="ZO159" s="252"/>
      <c r="ZP159" s="252"/>
      <c r="ZQ159" s="253"/>
      <c r="ZR159" s="252"/>
      <c r="ZY159" s="249"/>
      <c r="ZZ159" s="249"/>
      <c r="AAA159" s="249"/>
      <c r="AAB159" s="249"/>
      <c r="AAC159" s="249"/>
      <c r="AAE159" s="249"/>
      <c r="AAF159" s="250"/>
      <c r="AAG159" s="249"/>
      <c r="AAH159" s="251"/>
      <c r="AAI159" s="252"/>
      <c r="AAJ159" s="252"/>
      <c r="AAK159" s="253"/>
      <c r="AAL159" s="252"/>
      <c r="AAS159" s="249"/>
      <c r="AAT159" s="249"/>
      <c r="AAU159" s="249"/>
      <c r="AAV159" s="249"/>
      <c r="AAW159" s="249"/>
      <c r="AAY159" s="249"/>
      <c r="AAZ159" s="250"/>
      <c r="ABA159" s="249"/>
      <c r="ABB159" s="251"/>
      <c r="ABC159" s="252"/>
      <c r="ABD159" s="252"/>
      <c r="ABE159" s="253"/>
      <c r="ABF159" s="252"/>
      <c r="ABM159" s="249"/>
      <c r="ABN159" s="249"/>
      <c r="ABO159" s="249"/>
      <c r="ABP159" s="249"/>
      <c r="ABQ159" s="249"/>
      <c r="ABS159" s="249"/>
      <c r="ABT159" s="250"/>
      <c r="ABU159" s="249"/>
      <c r="ABV159" s="251"/>
      <c r="ABW159" s="252"/>
      <c r="ABX159" s="252"/>
      <c r="ABY159" s="253"/>
      <c r="ABZ159" s="252"/>
      <c r="ACG159" s="249"/>
      <c r="ACH159" s="249"/>
      <c r="ACI159" s="249"/>
      <c r="ACJ159" s="249"/>
      <c r="ACK159" s="249"/>
      <c r="ACM159" s="249"/>
      <c r="ACN159" s="250"/>
      <c r="ACO159" s="249"/>
      <c r="ACP159" s="251"/>
      <c r="ACQ159" s="252"/>
      <c r="ACR159" s="252"/>
      <c r="ACS159" s="253"/>
      <c r="ACT159" s="252"/>
      <c r="ADA159" s="249"/>
      <c r="ADB159" s="249"/>
      <c r="ADC159" s="249"/>
      <c r="ADD159" s="249"/>
      <c r="ADE159" s="249"/>
      <c r="ADG159" s="249"/>
      <c r="ADH159" s="250"/>
      <c r="ADI159" s="249"/>
      <c r="ADJ159" s="251"/>
      <c r="ADK159" s="252"/>
      <c r="ADL159" s="252"/>
      <c r="ADM159" s="253"/>
      <c r="ADN159" s="252"/>
      <c r="ADU159" s="249"/>
      <c r="ADV159" s="249"/>
      <c r="ADW159" s="249"/>
      <c r="ADX159" s="249"/>
      <c r="ADY159" s="249"/>
      <c r="AEA159" s="249"/>
      <c r="AEB159" s="250"/>
      <c r="AEC159" s="249"/>
      <c r="AED159" s="251"/>
      <c r="AEE159" s="252"/>
      <c r="AEF159" s="252"/>
      <c r="AEG159" s="253"/>
      <c r="AEH159" s="252"/>
      <c r="AEO159" s="249"/>
      <c r="AEP159" s="249"/>
      <c r="AEQ159" s="249"/>
      <c r="AER159" s="249"/>
      <c r="AES159" s="249"/>
      <c r="AEU159" s="249"/>
      <c r="AEV159" s="250"/>
      <c r="AEW159" s="249"/>
      <c r="AEX159" s="251"/>
      <c r="AEY159" s="252"/>
      <c r="AEZ159" s="252"/>
      <c r="AFA159" s="253"/>
      <c r="AFB159" s="252"/>
      <c r="AFI159" s="249"/>
      <c r="AFJ159" s="249"/>
      <c r="AFK159" s="249"/>
      <c r="AFL159" s="249"/>
      <c r="AFM159" s="249"/>
      <c r="AFO159" s="249"/>
      <c r="AFP159" s="250"/>
      <c r="AFQ159" s="249"/>
      <c r="AFR159" s="251"/>
      <c r="AFS159" s="252"/>
      <c r="AFT159" s="252"/>
      <c r="AFU159" s="253"/>
      <c r="AFV159" s="252"/>
      <c r="AGC159" s="249"/>
      <c r="AGD159" s="249"/>
      <c r="AGE159" s="249"/>
      <c r="AGF159" s="249"/>
      <c r="AGG159" s="249"/>
      <c r="AGI159" s="249"/>
      <c r="AGJ159" s="250"/>
      <c r="AGK159" s="249"/>
      <c r="AGL159" s="251"/>
      <c r="AGM159" s="252"/>
      <c r="AGN159" s="252"/>
      <c r="AGO159" s="253"/>
      <c r="AGP159" s="252"/>
      <c r="AGW159" s="249"/>
      <c r="AGX159" s="249"/>
      <c r="AGY159" s="249"/>
      <c r="AGZ159" s="249"/>
      <c r="AHA159" s="249"/>
      <c r="AHC159" s="249"/>
      <c r="AHD159" s="250"/>
      <c r="AHE159" s="249"/>
      <c r="AHF159" s="251"/>
      <c r="AHG159" s="252"/>
      <c r="AHH159" s="252"/>
      <c r="AHI159" s="253"/>
      <c r="AHJ159" s="252"/>
      <c r="AHQ159" s="249"/>
      <c r="AHR159" s="249"/>
      <c r="AHS159" s="249"/>
      <c r="AHT159" s="249"/>
      <c r="AHU159" s="249"/>
      <c r="AHW159" s="249"/>
      <c r="AHX159" s="250"/>
      <c r="AHY159" s="249"/>
      <c r="AHZ159" s="251"/>
      <c r="AIA159" s="252"/>
      <c r="AIB159" s="252"/>
      <c r="AIC159" s="253"/>
      <c r="AID159" s="252"/>
      <c r="AIK159" s="249"/>
      <c r="AIL159" s="249"/>
      <c r="AIM159" s="249"/>
      <c r="AIN159" s="249"/>
      <c r="AIO159" s="249"/>
      <c r="AIQ159" s="249"/>
      <c r="AIR159" s="250"/>
      <c r="AIS159" s="249"/>
      <c r="AIT159" s="251"/>
      <c r="AIU159" s="252"/>
      <c r="AIV159" s="252"/>
      <c r="AIW159" s="253"/>
      <c r="AIX159" s="252"/>
      <c r="AJE159" s="249"/>
      <c r="AJF159" s="249"/>
      <c r="AJG159" s="249"/>
      <c r="AJH159" s="249"/>
      <c r="AJI159" s="249"/>
      <c r="AJK159" s="249"/>
      <c r="AJL159" s="250"/>
      <c r="AJM159" s="249"/>
      <c r="AJN159" s="251"/>
      <c r="AJO159" s="252"/>
      <c r="AJP159" s="252"/>
      <c r="AJQ159" s="253"/>
      <c r="AJR159" s="252"/>
      <c r="AJY159" s="249"/>
      <c r="AJZ159" s="249"/>
      <c r="AKA159" s="249"/>
      <c r="AKB159" s="249"/>
      <c r="AKC159" s="249"/>
      <c r="AKE159" s="249"/>
      <c r="AKF159" s="250"/>
      <c r="AKG159" s="249"/>
      <c r="AKH159" s="251"/>
      <c r="AKI159" s="252"/>
      <c r="AKJ159" s="252"/>
      <c r="AKK159" s="253"/>
      <c r="AKL159" s="252"/>
      <c r="AKS159" s="249"/>
      <c r="AKT159" s="249"/>
      <c r="AKU159" s="249"/>
      <c r="AKV159" s="249"/>
      <c r="AKW159" s="249"/>
      <c r="AKY159" s="249"/>
      <c r="AKZ159" s="250"/>
      <c r="ALA159" s="249"/>
      <c r="ALB159" s="251"/>
      <c r="ALC159" s="252"/>
      <c r="ALD159" s="252"/>
      <c r="ALE159" s="253"/>
      <c r="ALF159" s="252"/>
      <c r="ALM159" s="249"/>
      <c r="ALN159" s="249"/>
      <c r="ALO159" s="249"/>
      <c r="ALP159" s="249"/>
      <c r="ALQ159" s="249"/>
      <c r="ALS159" s="249"/>
      <c r="ALT159" s="250"/>
      <c r="ALU159" s="249"/>
      <c r="ALV159" s="251"/>
      <c r="ALW159" s="252"/>
      <c r="ALX159" s="252"/>
      <c r="ALY159" s="253"/>
      <c r="ALZ159" s="252"/>
      <c r="AMG159" s="249"/>
      <c r="AMH159" s="249"/>
      <c r="AMI159" s="249"/>
      <c r="AMJ159" s="249"/>
      <c r="AMK159" s="249"/>
      <c r="AMM159" s="249"/>
      <c r="AMN159" s="250"/>
      <c r="AMO159" s="249"/>
      <c r="AMP159" s="251"/>
      <c r="AMQ159" s="252"/>
      <c r="AMR159" s="252"/>
      <c r="AMS159" s="253"/>
      <c r="AMT159" s="252"/>
      <c r="ANA159" s="249"/>
      <c r="ANB159" s="249"/>
      <c r="ANC159" s="249"/>
      <c r="AND159" s="249"/>
      <c r="ANE159" s="249"/>
      <c r="ANG159" s="249"/>
      <c r="ANH159" s="250"/>
      <c r="ANI159" s="249"/>
      <c r="ANJ159" s="251"/>
      <c r="ANK159" s="252"/>
      <c r="ANL159" s="252"/>
      <c r="ANM159" s="253"/>
      <c r="ANN159" s="252"/>
      <c r="ANU159" s="249"/>
      <c r="ANV159" s="249"/>
      <c r="ANW159" s="249"/>
      <c r="ANX159" s="249"/>
      <c r="ANY159" s="249"/>
      <c r="AOA159" s="249"/>
      <c r="AOB159" s="250"/>
      <c r="AOC159" s="249"/>
      <c r="AOD159" s="251"/>
      <c r="AOE159" s="252"/>
      <c r="AOF159" s="252"/>
      <c r="AOG159" s="253"/>
      <c r="AOH159" s="252"/>
      <c r="AOO159" s="249"/>
      <c r="AOP159" s="249"/>
      <c r="AOQ159" s="249"/>
      <c r="AOR159" s="249"/>
      <c r="AOS159" s="249"/>
      <c r="AOU159" s="249"/>
      <c r="AOV159" s="250"/>
      <c r="AOW159" s="249"/>
      <c r="AOX159" s="251"/>
      <c r="AOY159" s="252"/>
      <c r="AOZ159" s="252"/>
      <c r="APA159" s="253"/>
      <c r="APB159" s="252"/>
      <c r="API159" s="249"/>
      <c r="APJ159" s="249"/>
      <c r="APK159" s="249"/>
      <c r="APL159" s="249"/>
      <c r="APM159" s="249"/>
      <c r="APO159" s="249"/>
      <c r="APP159" s="250"/>
      <c r="APQ159" s="249"/>
      <c r="APR159" s="251"/>
      <c r="APS159" s="252"/>
      <c r="APT159" s="252"/>
      <c r="APU159" s="253"/>
      <c r="APV159" s="252"/>
      <c r="AQC159" s="249"/>
      <c r="AQD159" s="249"/>
      <c r="AQE159" s="249"/>
      <c r="AQF159" s="249"/>
      <c r="AQG159" s="249"/>
      <c r="AQI159" s="249"/>
      <c r="AQJ159" s="250"/>
      <c r="AQK159" s="249"/>
      <c r="AQL159" s="251"/>
      <c r="AQM159" s="252"/>
      <c r="AQN159" s="252"/>
      <c r="AQO159" s="253"/>
      <c r="AQP159" s="252"/>
      <c r="AQW159" s="249"/>
      <c r="AQX159" s="249"/>
      <c r="AQY159" s="249"/>
      <c r="AQZ159" s="249"/>
      <c r="ARA159" s="249"/>
      <c r="ARC159" s="249"/>
      <c r="ARD159" s="250"/>
      <c r="ARE159" s="249"/>
      <c r="ARF159" s="251"/>
      <c r="ARG159" s="252"/>
      <c r="ARH159" s="252"/>
      <c r="ARI159" s="253"/>
      <c r="ARJ159" s="252"/>
      <c r="ARQ159" s="249"/>
      <c r="ARR159" s="249"/>
      <c r="ARS159" s="249"/>
      <c r="ART159" s="249"/>
      <c r="ARU159" s="249"/>
      <c r="ARW159" s="249"/>
      <c r="ARX159" s="250"/>
      <c r="ARY159" s="249"/>
      <c r="ARZ159" s="251"/>
      <c r="ASA159" s="252"/>
      <c r="ASB159" s="252"/>
      <c r="ASC159" s="253"/>
      <c r="ASD159" s="252"/>
      <c r="ASK159" s="249"/>
      <c r="ASL159" s="249"/>
      <c r="ASM159" s="249"/>
      <c r="ASN159" s="249"/>
      <c r="ASO159" s="249"/>
      <c r="ASQ159" s="249"/>
      <c r="ASR159" s="250"/>
      <c r="ASS159" s="249"/>
      <c r="AST159" s="251"/>
      <c r="ASU159" s="252"/>
      <c r="ASV159" s="252"/>
      <c r="ASW159" s="253"/>
      <c r="ASX159" s="252"/>
      <c r="ATE159" s="249"/>
      <c r="ATF159" s="249"/>
      <c r="ATG159" s="249"/>
      <c r="ATH159" s="249"/>
      <c r="ATI159" s="249"/>
      <c r="ATK159" s="249"/>
      <c r="ATL159" s="250"/>
      <c r="ATM159" s="249"/>
      <c r="ATN159" s="251"/>
      <c r="ATO159" s="252"/>
      <c r="ATP159" s="252"/>
      <c r="ATQ159" s="253"/>
      <c r="ATR159" s="252"/>
      <c r="ATY159" s="249"/>
      <c r="ATZ159" s="249"/>
      <c r="AUA159" s="249"/>
      <c r="AUB159" s="249"/>
      <c r="AUC159" s="249"/>
      <c r="AUE159" s="249"/>
      <c r="AUF159" s="250"/>
      <c r="AUG159" s="249"/>
      <c r="AUH159" s="251"/>
      <c r="AUI159" s="252"/>
      <c r="AUJ159" s="252"/>
      <c r="AUK159" s="253"/>
      <c r="AUL159" s="252"/>
      <c r="AUS159" s="249"/>
      <c r="AUT159" s="249"/>
      <c r="AUU159" s="249"/>
      <c r="AUV159" s="249"/>
      <c r="AUW159" s="249"/>
      <c r="AUY159" s="249"/>
      <c r="AUZ159" s="250"/>
      <c r="AVA159" s="249"/>
      <c r="AVB159" s="251"/>
      <c r="AVC159" s="252"/>
      <c r="AVD159" s="252"/>
      <c r="AVE159" s="253"/>
      <c r="AVF159" s="252"/>
      <c r="AVM159" s="249"/>
      <c r="AVN159" s="249"/>
      <c r="AVO159" s="249"/>
      <c r="AVP159" s="249"/>
      <c r="AVQ159" s="249"/>
      <c r="AVS159" s="249"/>
      <c r="AVT159" s="250"/>
      <c r="AVU159" s="249"/>
      <c r="AVV159" s="251"/>
      <c r="AVW159" s="252"/>
      <c r="AVX159" s="252"/>
      <c r="AVY159" s="253"/>
      <c r="AVZ159" s="252"/>
      <c r="AWG159" s="249"/>
      <c r="AWH159" s="249"/>
      <c r="AWI159" s="249"/>
      <c r="AWJ159" s="249"/>
      <c r="AWK159" s="249"/>
      <c r="AWM159" s="249"/>
      <c r="AWN159" s="250"/>
      <c r="AWO159" s="249"/>
      <c r="AWP159" s="251"/>
      <c r="AWQ159" s="252"/>
      <c r="AWR159" s="252"/>
      <c r="AWS159" s="253"/>
      <c r="AWT159" s="252"/>
      <c r="AXA159" s="249"/>
      <c r="AXB159" s="249"/>
      <c r="AXC159" s="249"/>
      <c r="AXD159" s="249"/>
      <c r="AXE159" s="249"/>
      <c r="AXG159" s="249"/>
      <c r="AXH159" s="250"/>
      <c r="AXI159" s="249"/>
      <c r="AXJ159" s="251"/>
      <c r="AXK159" s="252"/>
      <c r="AXL159" s="252"/>
      <c r="AXM159" s="253"/>
      <c r="AXN159" s="252"/>
      <c r="AXU159" s="249"/>
      <c r="AXV159" s="249"/>
      <c r="AXW159" s="249"/>
      <c r="AXX159" s="249"/>
      <c r="AXY159" s="249"/>
      <c r="AYA159" s="249"/>
      <c r="AYB159" s="250"/>
      <c r="AYC159" s="249"/>
      <c r="AYD159" s="251"/>
      <c r="AYE159" s="252"/>
      <c r="AYF159" s="252"/>
      <c r="AYG159" s="253"/>
      <c r="AYH159" s="252"/>
      <c r="AYO159" s="249"/>
      <c r="AYP159" s="249"/>
      <c r="AYQ159" s="249"/>
      <c r="AYR159" s="249"/>
      <c r="AYS159" s="249"/>
      <c r="AYU159" s="249"/>
      <c r="AYV159" s="250"/>
      <c r="AYW159" s="249"/>
      <c r="AYX159" s="251"/>
      <c r="AYY159" s="252"/>
      <c r="AYZ159" s="252"/>
      <c r="AZA159" s="253"/>
      <c r="AZB159" s="252"/>
      <c r="AZI159" s="249"/>
      <c r="AZJ159" s="249"/>
      <c r="AZK159" s="249"/>
      <c r="AZL159" s="249"/>
      <c r="AZM159" s="249"/>
      <c r="AZO159" s="249"/>
      <c r="AZP159" s="250"/>
      <c r="AZQ159" s="249"/>
      <c r="AZR159" s="251"/>
      <c r="AZS159" s="252"/>
      <c r="AZT159" s="252"/>
      <c r="AZU159" s="253"/>
      <c r="AZV159" s="252"/>
      <c r="BAC159" s="249"/>
      <c r="BAD159" s="249"/>
      <c r="BAE159" s="249"/>
      <c r="BAF159" s="249"/>
      <c r="BAG159" s="249"/>
      <c r="BAI159" s="249"/>
      <c r="BAJ159" s="250"/>
      <c r="BAK159" s="249"/>
      <c r="BAL159" s="251"/>
      <c r="BAM159" s="252"/>
      <c r="BAN159" s="252"/>
      <c r="BAO159" s="253"/>
      <c r="BAP159" s="252"/>
      <c r="BAW159" s="249"/>
      <c r="BAX159" s="249"/>
      <c r="BAY159" s="249"/>
      <c r="BAZ159" s="249"/>
      <c r="BBA159" s="249"/>
      <c r="BBC159" s="249"/>
      <c r="BBD159" s="250"/>
      <c r="BBE159" s="249"/>
      <c r="BBF159" s="251"/>
      <c r="BBG159" s="252"/>
      <c r="BBH159" s="252"/>
      <c r="BBI159" s="253"/>
      <c r="BBJ159" s="252"/>
      <c r="BBQ159" s="249"/>
      <c r="BBR159" s="249"/>
      <c r="BBS159" s="249"/>
      <c r="BBT159" s="249"/>
      <c r="BBU159" s="249"/>
      <c r="BBW159" s="249"/>
      <c r="BBX159" s="250"/>
      <c r="BBY159" s="249"/>
      <c r="BBZ159" s="251"/>
      <c r="BCA159" s="252"/>
      <c r="BCB159" s="252"/>
      <c r="BCC159" s="253"/>
      <c r="BCD159" s="252"/>
      <c r="BCK159" s="249"/>
      <c r="BCL159" s="249"/>
      <c r="BCM159" s="249"/>
      <c r="BCN159" s="249"/>
      <c r="BCO159" s="249"/>
      <c r="BCQ159" s="249"/>
      <c r="BCR159" s="250"/>
      <c r="BCS159" s="249"/>
      <c r="BCT159" s="251"/>
      <c r="BCU159" s="252"/>
      <c r="BCV159" s="252"/>
      <c r="BCW159" s="253"/>
      <c r="BCX159" s="252"/>
      <c r="BDE159" s="249"/>
      <c r="BDF159" s="249"/>
      <c r="BDG159" s="249"/>
      <c r="BDH159" s="249"/>
      <c r="BDI159" s="249"/>
      <c r="BDK159" s="249"/>
      <c r="BDL159" s="250"/>
      <c r="BDM159" s="249"/>
      <c r="BDN159" s="251"/>
      <c r="BDO159" s="252"/>
      <c r="BDP159" s="252"/>
      <c r="BDQ159" s="253"/>
      <c r="BDR159" s="252"/>
      <c r="BDY159" s="249"/>
      <c r="BDZ159" s="249"/>
      <c r="BEA159" s="249"/>
      <c r="BEB159" s="249"/>
      <c r="BEC159" s="249"/>
      <c r="BEE159" s="249"/>
      <c r="BEF159" s="250"/>
      <c r="BEG159" s="249"/>
      <c r="BEH159" s="251"/>
      <c r="BEI159" s="252"/>
      <c r="BEJ159" s="252"/>
      <c r="BEK159" s="253"/>
      <c r="BEL159" s="252"/>
      <c r="BES159" s="249"/>
      <c r="BET159" s="249"/>
      <c r="BEU159" s="249"/>
      <c r="BEV159" s="249"/>
      <c r="BEW159" s="249"/>
      <c r="BEY159" s="249"/>
      <c r="BEZ159" s="250"/>
      <c r="BFA159" s="249"/>
      <c r="BFB159" s="251"/>
      <c r="BFC159" s="252"/>
      <c r="BFD159" s="252"/>
      <c r="BFE159" s="253"/>
      <c r="BFF159" s="252"/>
      <c r="BFM159" s="249"/>
      <c r="BFN159" s="249"/>
      <c r="BFO159" s="249"/>
      <c r="BFP159" s="249"/>
      <c r="BFQ159" s="249"/>
      <c r="BFS159" s="249"/>
      <c r="BFT159" s="250"/>
      <c r="BFU159" s="249"/>
      <c r="BFV159" s="251"/>
      <c r="BFW159" s="252"/>
      <c r="BFX159" s="252"/>
      <c r="BFY159" s="253"/>
      <c r="BFZ159" s="252"/>
      <c r="BGG159" s="249"/>
      <c r="BGH159" s="249"/>
      <c r="BGI159" s="249"/>
      <c r="BGJ159" s="249"/>
      <c r="BGK159" s="249"/>
      <c r="BGM159" s="249"/>
      <c r="BGN159" s="250"/>
      <c r="BGO159" s="249"/>
      <c r="BGP159" s="251"/>
      <c r="BGQ159" s="252"/>
      <c r="BGR159" s="252"/>
      <c r="BGS159" s="253"/>
      <c r="BGT159" s="252"/>
      <c r="BHA159" s="249"/>
      <c r="BHB159" s="249"/>
      <c r="BHC159" s="249"/>
      <c r="BHD159" s="249"/>
      <c r="BHE159" s="249"/>
      <c r="BHG159" s="249"/>
      <c r="BHH159" s="250"/>
      <c r="BHI159" s="249"/>
      <c r="BHJ159" s="251"/>
      <c r="BHK159" s="252"/>
      <c r="BHL159" s="252"/>
      <c r="BHM159" s="253"/>
      <c r="BHN159" s="252"/>
      <c r="BHU159" s="249"/>
      <c r="BHV159" s="249"/>
      <c r="BHW159" s="249"/>
      <c r="BHX159" s="249"/>
      <c r="BHY159" s="249"/>
      <c r="BIA159" s="249"/>
      <c r="BIB159" s="250"/>
      <c r="BIC159" s="249"/>
      <c r="BID159" s="251"/>
      <c r="BIE159" s="252"/>
      <c r="BIF159" s="252"/>
      <c r="BIG159" s="253"/>
      <c r="BIH159" s="252"/>
      <c r="BIO159" s="249"/>
      <c r="BIP159" s="249"/>
      <c r="BIQ159" s="249"/>
      <c r="BIR159" s="249"/>
      <c r="BIS159" s="249"/>
      <c r="BIU159" s="249"/>
      <c r="BIV159" s="250"/>
      <c r="BIW159" s="249"/>
      <c r="BIX159" s="251"/>
      <c r="BIY159" s="252"/>
      <c r="BIZ159" s="252"/>
      <c r="BJA159" s="253"/>
      <c r="BJB159" s="252"/>
      <c r="BJI159" s="249"/>
      <c r="BJJ159" s="249"/>
      <c r="BJK159" s="249"/>
      <c r="BJL159" s="249"/>
      <c r="BJM159" s="249"/>
      <c r="BJO159" s="249"/>
      <c r="BJP159" s="250"/>
      <c r="BJQ159" s="249"/>
      <c r="BJR159" s="251"/>
      <c r="BJS159" s="252"/>
      <c r="BJT159" s="252"/>
      <c r="BJU159" s="253"/>
      <c r="BJV159" s="252"/>
      <c r="BKC159" s="249"/>
      <c r="BKD159" s="249"/>
      <c r="BKE159" s="249"/>
      <c r="BKF159" s="249"/>
      <c r="BKG159" s="249"/>
      <c r="BKI159" s="249"/>
      <c r="BKJ159" s="250"/>
      <c r="BKK159" s="249"/>
      <c r="BKL159" s="251"/>
      <c r="BKM159" s="252"/>
      <c r="BKN159" s="252"/>
      <c r="BKO159" s="253"/>
      <c r="BKP159" s="252"/>
      <c r="BKW159" s="249"/>
      <c r="BKX159" s="249"/>
      <c r="BKY159" s="249"/>
      <c r="BKZ159" s="249"/>
      <c r="BLA159" s="249"/>
      <c r="BLC159" s="249"/>
      <c r="BLD159" s="250"/>
      <c r="BLE159" s="249"/>
      <c r="BLF159" s="251"/>
      <c r="BLG159" s="252"/>
      <c r="BLH159" s="252"/>
      <c r="BLI159" s="253"/>
      <c r="BLJ159" s="252"/>
      <c r="BLQ159" s="249"/>
      <c r="BLR159" s="249"/>
      <c r="BLS159" s="249"/>
      <c r="BLT159" s="249"/>
      <c r="BLU159" s="249"/>
      <c r="BLW159" s="249"/>
      <c r="BLX159" s="250"/>
      <c r="BLY159" s="249"/>
      <c r="BLZ159" s="251"/>
      <c r="BMA159" s="252"/>
      <c r="BMB159" s="252"/>
      <c r="BMC159" s="253"/>
      <c r="BMD159" s="252"/>
      <c r="BMK159" s="249"/>
      <c r="BML159" s="249"/>
      <c r="BMM159" s="249"/>
      <c r="BMN159" s="249"/>
      <c r="BMO159" s="249"/>
      <c r="BMQ159" s="249"/>
      <c r="BMR159" s="250"/>
      <c r="BMS159" s="249"/>
      <c r="BMT159" s="251"/>
      <c r="BMU159" s="252"/>
      <c r="BMV159" s="252"/>
      <c r="BMW159" s="253"/>
      <c r="BMX159" s="252"/>
      <c r="BNE159" s="249"/>
      <c r="BNF159" s="249"/>
      <c r="BNG159" s="249"/>
      <c r="BNH159" s="249"/>
      <c r="BNI159" s="249"/>
      <c r="BNK159" s="249"/>
      <c r="BNL159" s="250"/>
      <c r="BNM159" s="249"/>
      <c r="BNN159" s="251"/>
      <c r="BNO159" s="252"/>
      <c r="BNP159" s="252"/>
      <c r="BNQ159" s="253"/>
      <c r="BNR159" s="252"/>
      <c r="BNY159" s="249"/>
      <c r="BNZ159" s="249"/>
      <c r="BOA159" s="249"/>
      <c r="BOB159" s="249"/>
      <c r="BOC159" s="249"/>
      <c r="BOE159" s="249"/>
      <c r="BOF159" s="250"/>
      <c r="BOG159" s="249"/>
      <c r="BOH159" s="251"/>
      <c r="BOI159" s="252"/>
      <c r="BOJ159" s="252"/>
      <c r="BOK159" s="253"/>
      <c r="BOL159" s="252"/>
      <c r="BOS159" s="249"/>
      <c r="BOT159" s="249"/>
      <c r="BOU159" s="249"/>
      <c r="BOV159" s="249"/>
      <c r="BOW159" s="249"/>
      <c r="BOY159" s="249"/>
      <c r="BOZ159" s="250"/>
      <c r="BPA159" s="249"/>
      <c r="BPB159" s="251"/>
      <c r="BPC159" s="252"/>
      <c r="BPD159" s="252"/>
      <c r="BPE159" s="253"/>
      <c r="BPF159" s="252"/>
      <c r="BPM159" s="249"/>
      <c r="BPN159" s="249"/>
      <c r="BPO159" s="249"/>
      <c r="BPP159" s="249"/>
      <c r="BPQ159" s="249"/>
      <c r="BPS159" s="249"/>
      <c r="BPT159" s="250"/>
      <c r="BPU159" s="249"/>
      <c r="BPV159" s="251"/>
      <c r="BPW159" s="252"/>
      <c r="BPX159" s="252"/>
      <c r="BPY159" s="253"/>
      <c r="BPZ159" s="252"/>
      <c r="BQG159" s="249"/>
      <c r="BQH159" s="249"/>
      <c r="BQI159" s="249"/>
      <c r="BQJ159" s="249"/>
      <c r="BQK159" s="249"/>
      <c r="BQM159" s="249"/>
      <c r="BQN159" s="250"/>
      <c r="BQO159" s="249"/>
      <c r="BQP159" s="251"/>
      <c r="BQQ159" s="252"/>
      <c r="BQR159" s="252"/>
      <c r="BQS159" s="253"/>
      <c r="BQT159" s="252"/>
      <c r="BRA159" s="249"/>
      <c r="BRB159" s="249"/>
      <c r="BRC159" s="249"/>
      <c r="BRD159" s="249"/>
      <c r="BRE159" s="249"/>
      <c r="BRG159" s="249"/>
      <c r="BRH159" s="250"/>
      <c r="BRI159" s="249"/>
      <c r="BRJ159" s="251"/>
      <c r="BRK159" s="252"/>
      <c r="BRL159" s="252"/>
      <c r="BRM159" s="253"/>
      <c r="BRN159" s="252"/>
      <c r="BRU159" s="249"/>
      <c r="BRV159" s="249"/>
      <c r="BRW159" s="249"/>
      <c r="BRX159" s="249"/>
      <c r="BRY159" s="249"/>
      <c r="BSA159" s="249"/>
      <c r="BSB159" s="250"/>
      <c r="BSC159" s="249"/>
      <c r="BSD159" s="251"/>
      <c r="BSE159" s="252"/>
      <c r="BSF159" s="252"/>
      <c r="BSG159" s="253"/>
      <c r="BSH159" s="252"/>
      <c r="BSO159" s="249"/>
      <c r="BSP159" s="249"/>
      <c r="BSQ159" s="249"/>
      <c r="BSR159" s="249"/>
      <c r="BSS159" s="249"/>
      <c r="BSU159" s="249"/>
      <c r="BSV159" s="250"/>
      <c r="BSW159" s="249"/>
      <c r="BSX159" s="251"/>
      <c r="BSY159" s="252"/>
      <c r="BSZ159" s="252"/>
      <c r="BTA159" s="253"/>
      <c r="BTB159" s="252"/>
      <c r="BTI159" s="249"/>
      <c r="BTJ159" s="249"/>
      <c r="BTK159" s="249"/>
      <c r="BTL159" s="249"/>
      <c r="BTM159" s="249"/>
      <c r="BTO159" s="249"/>
      <c r="BTP159" s="250"/>
      <c r="BTQ159" s="249"/>
      <c r="BTR159" s="251"/>
      <c r="BTS159" s="252"/>
      <c r="BTT159" s="252"/>
      <c r="BTU159" s="253"/>
      <c r="BTV159" s="252"/>
      <c r="BUC159" s="249"/>
      <c r="BUD159" s="249"/>
      <c r="BUE159" s="249"/>
      <c r="BUF159" s="249"/>
      <c r="BUG159" s="249"/>
      <c r="BUI159" s="249"/>
      <c r="BUJ159" s="250"/>
      <c r="BUK159" s="249"/>
      <c r="BUL159" s="251"/>
      <c r="BUM159" s="252"/>
      <c r="BUN159" s="252"/>
      <c r="BUO159" s="253"/>
      <c r="BUP159" s="252"/>
      <c r="BUW159" s="249"/>
      <c r="BUX159" s="249"/>
      <c r="BUY159" s="249"/>
      <c r="BUZ159" s="249"/>
      <c r="BVA159" s="249"/>
      <c r="BVC159" s="249"/>
      <c r="BVD159" s="250"/>
      <c r="BVE159" s="249"/>
      <c r="BVF159" s="251"/>
      <c r="BVG159" s="252"/>
      <c r="BVH159" s="252"/>
      <c r="BVI159" s="253"/>
      <c r="BVJ159" s="252"/>
      <c r="BVQ159" s="249"/>
      <c r="BVR159" s="249"/>
      <c r="BVS159" s="249"/>
      <c r="BVT159" s="249"/>
      <c r="BVU159" s="249"/>
      <c r="BVW159" s="249"/>
      <c r="BVX159" s="250"/>
      <c r="BVY159" s="249"/>
      <c r="BVZ159" s="251"/>
      <c r="BWA159" s="252"/>
      <c r="BWB159" s="252"/>
      <c r="BWC159" s="253"/>
      <c r="BWD159" s="252"/>
      <c r="BWK159" s="249"/>
      <c r="BWL159" s="249"/>
      <c r="BWM159" s="249"/>
      <c r="BWN159" s="249"/>
      <c r="BWO159" s="249"/>
      <c r="BWQ159" s="249"/>
      <c r="BWR159" s="250"/>
      <c r="BWS159" s="249"/>
      <c r="BWT159" s="251"/>
      <c r="BWU159" s="252"/>
      <c r="BWV159" s="252"/>
      <c r="BWW159" s="253"/>
      <c r="BWX159" s="252"/>
      <c r="BXE159" s="249"/>
      <c r="BXF159" s="249"/>
      <c r="BXG159" s="249"/>
      <c r="BXH159" s="249"/>
      <c r="BXI159" s="249"/>
      <c r="BXK159" s="249"/>
      <c r="BXL159" s="250"/>
      <c r="BXM159" s="249"/>
      <c r="BXN159" s="251"/>
      <c r="BXO159" s="252"/>
      <c r="BXP159" s="252"/>
      <c r="BXQ159" s="253"/>
      <c r="BXR159" s="252"/>
      <c r="BXY159" s="249"/>
      <c r="BXZ159" s="249"/>
      <c r="BYA159" s="249"/>
      <c r="BYB159" s="249"/>
      <c r="BYC159" s="249"/>
      <c r="BYE159" s="249"/>
      <c r="BYF159" s="250"/>
      <c r="BYG159" s="249"/>
      <c r="BYH159" s="251"/>
      <c r="BYI159" s="252"/>
      <c r="BYJ159" s="252"/>
      <c r="BYK159" s="253"/>
      <c r="BYL159" s="252"/>
      <c r="BYS159" s="249"/>
      <c r="BYT159" s="249"/>
      <c r="BYU159" s="249"/>
      <c r="BYV159" s="249"/>
      <c r="BYW159" s="249"/>
      <c r="BYY159" s="249"/>
      <c r="BYZ159" s="250"/>
      <c r="BZA159" s="249"/>
      <c r="BZB159" s="251"/>
      <c r="BZC159" s="252"/>
      <c r="BZD159" s="252"/>
      <c r="BZE159" s="253"/>
      <c r="BZF159" s="252"/>
      <c r="BZM159" s="249"/>
      <c r="BZN159" s="249"/>
      <c r="BZO159" s="249"/>
      <c r="BZP159" s="249"/>
      <c r="BZQ159" s="249"/>
      <c r="BZS159" s="249"/>
      <c r="BZT159" s="250"/>
      <c r="BZU159" s="249"/>
      <c r="BZV159" s="251"/>
      <c r="BZW159" s="252"/>
      <c r="BZX159" s="252"/>
      <c r="BZY159" s="253"/>
      <c r="BZZ159" s="252"/>
      <c r="CAG159" s="249"/>
      <c r="CAH159" s="249"/>
      <c r="CAI159" s="249"/>
      <c r="CAJ159" s="249"/>
      <c r="CAK159" s="249"/>
      <c r="CAM159" s="249"/>
      <c r="CAN159" s="250"/>
      <c r="CAO159" s="249"/>
      <c r="CAP159" s="251"/>
      <c r="CAQ159" s="252"/>
      <c r="CAR159" s="252"/>
      <c r="CAS159" s="253"/>
      <c r="CAT159" s="252"/>
      <c r="CBA159" s="249"/>
      <c r="CBB159" s="249"/>
      <c r="CBC159" s="249"/>
      <c r="CBD159" s="249"/>
      <c r="CBE159" s="249"/>
      <c r="CBG159" s="249"/>
      <c r="CBH159" s="250"/>
      <c r="CBI159" s="249"/>
      <c r="CBJ159" s="251"/>
      <c r="CBK159" s="252"/>
      <c r="CBL159" s="252"/>
      <c r="CBM159" s="253"/>
      <c r="CBN159" s="252"/>
      <c r="CBU159" s="249"/>
      <c r="CBV159" s="249"/>
      <c r="CBW159" s="249"/>
      <c r="CBX159" s="249"/>
      <c r="CBY159" s="249"/>
      <c r="CCA159" s="249"/>
      <c r="CCB159" s="250"/>
      <c r="CCC159" s="249"/>
      <c r="CCD159" s="251"/>
      <c r="CCE159" s="252"/>
      <c r="CCF159" s="252"/>
      <c r="CCG159" s="253"/>
      <c r="CCH159" s="252"/>
      <c r="CCO159" s="249"/>
      <c r="CCP159" s="249"/>
      <c r="CCQ159" s="249"/>
      <c r="CCR159" s="249"/>
      <c r="CCS159" s="249"/>
      <c r="CCU159" s="249"/>
      <c r="CCV159" s="250"/>
      <c r="CCW159" s="249"/>
      <c r="CCX159" s="251"/>
      <c r="CCY159" s="252"/>
      <c r="CCZ159" s="252"/>
      <c r="CDA159" s="253"/>
      <c r="CDB159" s="252"/>
      <c r="CDI159" s="249"/>
      <c r="CDJ159" s="249"/>
      <c r="CDK159" s="249"/>
      <c r="CDL159" s="249"/>
      <c r="CDM159" s="249"/>
      <c r="CDO159" s="249"/>
      <c r="CDP159" s="250"/>
      <c r="CDQ159" s="249"/>
      <c r="CDR159" s="251"/>
      <c r="CDS159" s="252"/>
      <c r="CDT159" s="252"/>
      <c r="CDU159" s="253"/>
      <c r="CDV159" s="252"/>
      <c r="CEC159" s="249"/>
      <c r="CED159" s="249"/>
      <c r="CEE159" s="249"/>
      <c r="CEF159" s="249"/>
      <c r="CEG159" s="249"/>
      <c r="CEI159" s="249"/>
      <c r="CEJ159" s="250"/>
      <c r="CEK159" s="249"/>
      <c r="CEL159" s="251"/>
      <c r="CEM159" s="252"/>
      <c r="CEN159" s="252"/>
      <c r="CEO159" s="253"/>
      <c r="CEP159" s="252"/>
      <c r="CEW159" s="249"/>
      <c r="CEX159" s="249"/>
      <c r="CEY159" s="249"/>
      <c r="CEZ159" s="249"/>
      <c r="CFA159" s="249"/>
      <c r="CFC159" s="249"/>
      <c r="CFD159" s="250"/>
      <c r="CFE159" s="249"/>
      <c r="CFF159" s="251"/>
      <c r="CFG159" s="252"/>
      <c r="CFH159" s="252"/>
      <c r="CFI159" s="253"/>
      <c r="CFJ159" s="252"/>
      <c r="CFQ159" s="249"/>
      <c r="CFR159" s="249"/>
      <c r="CFS159" s="249"/>
      <c r="CFT159" s="249"/>
      <c r="CFU159" s="249"/>
      <c r="CFW159" s="249"/>
      <c r="CFX159" s="250"/>
      <c r="CFY159" s="249"/>
      <c r="CFZ159" s="251"/>
      <c r="CGA159" s="252"/>
      <c r="CGB159" s="252"/>
      <c r="CGC159" s="253"/>
      <c r="CGD159" s="252"/>
      <c r="CGK159" s="249"/>
      <c r="CGL159" s="249"/>
      <c r="CGM159" s="249"/>
      <c r="CGN159" s="249"/>
      <c r="CGO159" s="249"/>
      <c r="CGQ159" s="249"/>
      <c r="CGR159" s="250"/>
      <c r="CGS159" s="249"/>
      <c r="CGT159" s="251"/>
      <c r="CGU159" s="252"/>
      <c r="CGV159" s="252"/>
      <c r="CGW159" s="253"/>
      <c r="CGX159" s="252"/>
      <c r="CHE159" s="249"/>
      <c r="CHF159" s="249"/>
      <c r="CHG159" s="249"/>
      <c r="CHH159" s="249"/>
      <c r="CHI159" s="249"/>
      <c r="CHK159" s="249"/>
      <c r="CHL159" s="250"/>
      <c r="CHM159" s="249"/>
      <c r="CHN159" s="251"/>
      <c r="CHO159" s="252"/>
      <c r="CHP159" s="252"/>
      <c r="CHQ159" s="253"/>
      <c r="CHR159" s="252"/>
      <c r="CHY159" s="249"/>
      <c r="CHZ159" s="249"/>
      <c r="CIA159" s="249"/>
      <c r="CIB159" s="249"/>
      <c r="CIC159" s="249"/>
      <c r="CIE159" s="249"/>
      <c r="CIF159" s="250"/>
      <c r="CIG159" s="249"/>
      <c r="CIH159" s="251"/>
      <c r="CII159" s="252"/>
      <c r="CIJ159" s="252"/>
      <c r="CIK159" s="253"/>
      <c r="CIL159" s="252"/>
      <c r="CIS159" s="249"/>
      <c r="CIT159" s="249"/>
      <c r="CIU159" s="249"/>
      <c r="CIV159" s="249"/>
      <c r="CIW159" s="249"/>
      <c r="CIY159" s="249"/>
      <c r="CIZ159" s="250"/>
      <c r="CJA159" s="249"/>
      <c r="CJB159" s="251"/>
      <c r="CJC159" s="252"/>
      <c r="CJD159" s="252"/>
      <c r="CJE159" s="253"/>
      <c r="CJF159" s="252"/>
      <c r="CJM159" s="249"/>
      <c r="CJN159" s="249"/>
      <c r="CJO159" s="249"/>
      <c r="CJP159" s="249"/>
      <c r="CJQ159" s="249"/>
      <c r="CJS159" s="249"/>
      <c r="CJT159" s="250"/>
      <c r="CJU159" s="249"/>
      <c r="CJV159" s="251"/>
      <c r="CJW159" s="252"/>
      <c r="CJX159" s="252"/>
      <c r="CJY159" s="253"/>
      <c r="CJZ159" s="252"/>
      <c r="CKG159" s="249"/>
      <c r="CKH159" s="249"/>
      <c r="CKI159" s="249"/>
      <c r="CKJ159" s="249"/>
      <c r="CKK159" s="249"/>
      <c r="CKM159" s="249"/>
      <c r="CKN159" s="250"/>
      <c r="CKO159" s="249"/>
      <c r="CKP159" s="251"/>
      <c r="CKQ159" s="252"/>
      <c r="CKR159" s="252"/>
      <c r="CKS159" s="253"/>
      <c r="CKT159" s="252"/>
      <c r="CLA159" s="249"/>
      <c r="CLB159" s="249"/>
      <c r="CLC159" s="249"/>
      <c r="CLD159" s="249"/>
      <c r="CLE159" s="249"/>
      <c r="CLG159" s="249"/>
      <c r="CLH159" s="250"/>
      <c r="CLI159" s="249"/>
      <c r="CLJ159" s="251"/>
      <c r="CLK159" s="252"/>
      <c r="CLL159" s="252"/>
      <c r="CLM159" s="253"/>
      <c r="CLN159" s="252"/>
      <c r="CLU159" s="249"/>
      <c r="CLV159" s="249"/>
      <c r="CLW159" s="249"/>
      <c r="CLX159" s="249"/>
      <c r="CLY159" s="249"/>
      <c r="CMA159" s="249"/>
      <c r="CMB159" s="250"/>
      <c r="CMC159" s="249"/>
      <c r="CMD159" s="251"/>
      <c r="CME159" s="252"/>
      <c r="CMF159" s="252"/>
      <c r="CMG159" s="253"/>
      <c r="CMH159" s="252"/>
      <c r="CMO159" s="249"/>
      <c r="CMP159" s="249"/>
      <c r="CMQ159" s="249"/>
      <c r="CMR159" s="249"/>
      <c r="CMS159" s="249"/>
      <c r="CMU159" s="249"/>
      <c r="CMV159" s="250"/>
      <c r="CMW159" s="249"/>
      <c r="CMX159" s="251"/>
      <c r="CMY159" s="252"/>
      <c r="CMZ159" s="252"/>
      <c r="CNA159" s="253"/>
      <c r="CNB159" s="252"/>
      <c r="CNI159" s="249"/>
      <c r="CNJ159" s="249"/>
      <c r="CNK159" s="249"/>
      <c r="CNL159" s="249"/>
      <c r="CNM159" s="249"/>
      <c r="CNO159" s="249"/>
      <c r="CNP159" s="250"/>
      <c r="CNQ159" s="249"/>
      <c r="CNR159" s="251"/>
      <c r="CNS159" s="252"/>
      <c r="CNT159" s="252"/>
      <c r="CNU159" s="253"/>
      <c r="CNV159" s="252"/>
      <c r="COC159" s="249"/>
      <c r="COD159" s="249"/>
      <c r="COE159" s="249"/>
      <c r="COF159" s="249"/>
      <c r="COG159" s="249"/>
      <c r="COI159" s="249"/>
      <c r="COJ159" s="250"/>
      <c r="COK159" s="249"/>
      <c r="COL159" s="251"/>
      <c r="COM159" s="252"/>
      <c r="CON159" s="252"/>
      <c r="COO159" s="253"/>
      <c r="COP159" s="252"/>
      <c r="COW159" s="249"/>
      <c r="COX159" s="249"/>
      <c r="COY159" s="249"/>
      <c r="COZ159" s="249"/>
      <c r="CPA159" s="249"/>
      <c r="CPC159" s="249"/>
      <c r="CPD159" s="250"/>
      <c r="CPE159" s="249"/>
      <c r="CPF159" s="251"/>
      <c r="CPG159" s="252"/>
      <c r="CPH159" s="252"/>
      <c r="CPI159" s="253"/>
      <c r="CPJ159" s="252"/>
      <c r="CPQ159" s="249"/>
      <c r="CPR159" s="249"/>
      <c r="CPS159" s="249"/>
      <c r="CPT159" s="249"/>
      <c r="CPU159" s="249"/>
      <c r="CPW159" s="249"/>
      <c r="CPX159" s="250"/>
      <c r="CPY159" s="249"/>
      <c r="CPZ159" s="251"/>
      <c r="CQA159" s="252"/>
      <c r="CQB159" s="252"/>
      <c r="CQC159" s="253"/>
      <c r="CQD159" s="252"/>
      <c r="CQK159" s="249"/>
      <c r="CQL159" s="249"/>
      <c r="CQM159" s="249"/>
      <c r="CQN159" s="249"/>
      <c r="CQO159" s="249"/>
      <c r="CQQ159" s="249"/>
      <c r="CQR159" s="250"/>
      <c r="CQS159" s="249"/>
      <c r="CQT159" s="251"/>
      <c r="CQU159" s="252"/>
      <c r="CQV159" s="252"/>
      <c r="CQW159" s="253"/>
      <c r="CQX159" s="252"/>
      <c r="CRE159" s="249"/>
      <c r="CRF159" s="249"/>
      <c r="CRG159" s="249"/>
      <c r="CRH159" s="249"/>
      <c r="CRI159" s="249"/>
      <c r="CRK159" s="249"/>
      <c r="CRL159" s="250"/>
      <c r="CRM159" s="249"/>
      <c r="CRN159" s="251"/>
      <c r="CRO159" s="252"/>
      <c r="CRP159" s="252"/>
      <c r="CRQ159" s="253"/>
      <c r="CRR159" s="252"/>
      <c r="CRY159" s="249"/>
      <c r="CRZ159" s="249"/>
      <c r="CSA159" s="249"/>
      <c r="CSB159" s="249"/>
      <c r="CSC159" s="249"/>
      <c r="CSE159" s="249"/>
      <c r="CSF159" s="250"/>
      <c r="CSG159" s="249"/>
      <c r="CSH159" s="251"/>
      <c r="CSI159" s="252"/>
      <c r="CSJ159" s="252"/>
      <c r="CSK159" s="253"/>
      <c r="CSL159" s="252"/>
      <c r="CSS159" s="249"/>
      <c r="CST159" s="249"/>
      <c r="CSU159" s="249"/>
      <c r="CSV159" s="249"/>
      <c r="CSW159" s="249"/>
      <c r="CSY159" s="249"/>
      <c r="CSZ159" s="250"/>
      <c r="CTA159" s="249"/>
      <c r="CTB159" s="251"/>
      <c r="CTC159" s="252"/>
      <c r="CTD159" s="252"/>
      <c r="CTE159" s="253"/>
      <c r="CTF159" s="252"/>
      <c r="CTM159" s="249"/>
      <c r="CTN159" s="249"/>
      <c r="CTO159" s="249"/>
      <c r="CTP159" s="249"/>
      <c r="CTQ159" s="249"/>
      <c r="CTS159" s="249"/>
      <c r="CTT159" s="250"/>
      <c r="CTU159" s="249"/>
      <c r="CTV159" s="251"/>
      <c r="CTW159" s="252"/>
      <c r="CTX159" s="252"/>
      <c r="CTY159" s="253"/>
      <c r="CTZ159" s="252"/>
      <c r="CUG159" s="249"/>
      <c r="CUH159" s="249"/>
      <c r="CUI159" s="249"/>
      <c r="CUJ159" s="249"/>
      <c r="CUK159" s="249"/>
      <c r="CUM159" s="249"/>
      <c r="CUN159" s="250"/>
      <c r="CUO159" s="249"/>
      <c r="CUP159" s="251"/>
      <c r="CUQ159" s="252"/>
      <c r="CUR159" s="252"/>
      <c r="CUS159" s="253"/>
      <c r="CUT159" s="252"/>
      <c r="CVA159" s="249"/>
      <c r="CVB159" s="249"/>
      <c r="CVC159" s="249"/>
      <c r="CVD159" s="249"/>
      <c r="CVE159" s="249"/>
      <c r="CVG159" s="249"/>
      <c r="CVH159" s="250"/>
      <c r="CVI159" s="249"/>
      <c r="CVJ159" s="251"/>
      <c r="CVK159" s="252"/>
      <c r="CVL159" s="252"/>
      <c r="CVM159" s="253"/>
      <c r="CVN159" s="252"/>
      <c r="CVU159" s="249"/>
      <c r="CVV159" s="249"/>
      <c r="CVW159" s="249"/>
      <c r="CVX159" s="249"/>
      <c r="CVY159" s="249"/>
      <c r="CWA159" s="249"/>
      <c r="CWB159" s="250"/>
      <c r="CWC159" s="249"/>
      <c r="CWD159" s="251"/>
      <c r="CWE159" s="252"/>
      <c r="CWF159" s="252"/>
      <c r="CWG159" s="253"/>
      <c r="CWH159" s="252"/>
      <c r="CWO159" s="249"/>
      <c r="CWP159" s="249"/>
      <c r="CWQ159" s="249"/>
      <c r="CWR159" s="249"/>
      <c r="CWS159" s="249"/>
      <c r="CWU159" s="249"/>
      <c r="CWV159" s="250"/>
      <c r="CWW159" s="249"/>
      <c r="CWX159" s="251"/>
      <c r="CWY159" s="252"/>
      <c r="CWZ159" s="252"/>
      <c r="CXA159" s="253"/>
      <c r="CXB159" s="252"/>
      <c r="CXI159" s="249"/>
      <c r="CXJ159" s="249"/>
      <c r="CXK159" s="249"/>
      <c r="CXL159" s="249"/>
      <c r="CXM159" s="249"/>
      <c r="CXO159" s="249"/>
      <c r="CXP159" s="250"/>
      <c r="CXQ159" s="249"/>
      <c r="CXR159" s="251"/>
      <c r="CXS159" s="252"/>
      <c r="CXT159" s="252"/>
      <c r="CXU159" s="253"/>
      <c r="CXV159" s="252"/>
      <c r="CYC159" s="249"/>
      <c r="CYD159" s="249"/>
      <c r="CYE159" s="249"/>
      <c r="CYF159" s="249"/>
      <c r="CYG159" s="249"/>
      <c r="CYI159" s="249"/>
      <c r="CYJ159" s="250"/>
      <c r="CYK159" s="249"/>
      <c r="CYL159" s="251"/>
      <c r="CYM159" s="252"/>
      <c r="CYN159" s="252"/>
      <c r="CYO159" s="253"/>
      <c r="CYP159" s="252"/>
      <c r="CYW159" s="249"/>
      <c r="CYX159" s="249"/>
      <c r="CYY159" s="249"/>
      <c r="CYZ159" s="249"/>
      <c r="CZA159" s="249"/>
      <c r="CZC159" s="249"/>
      <c r="CZD159" s="250"/>
      <c r="CZE159" s="249"/>
      <c r="CZF159" s="251"/>
      <c r="CZG159" s="252"/>
      <c r="CZH159" s="252"/>
      <c r="CZI159" s="253"/>
      <c r="CZJ159" s="252"/>
      <c r="CZQ159" s="249"/>
      <c r="CZR159" s="249"/>
      <c r="CZS159" s="249"/>
      <c r="CZT159" s="249"/>
      <c r="CZU159" s="249"/>
      <c r="CZW159" s="249"/>
      <c r="CZX159" s="250"/>
      <c r="CZY159" s="249"/>
      <c r="CZZ159" s="251"/>
      <c r="DAA159" s="252"/>
      <c r="DAB159" s="252"/>
      <c r="DAC159" s="253"/>
      <c r="DAD159" s="252"/>
      <c r="DAK159" s="249"/>
      <c r="DAL159" s="249"/>
      <c r="DAM159" s="249"/>
      <c r="DAN159" s="249"/>
      <c r="DAO159" s="249"/>
      <c r="DAQ159" s="249"/>
      <c r="DAR159" s="250"/>
      <c r="DAS159" s="249"/>
      <c r="DAT159" s="251"/>
      <c r="DAU159" s="252"/>
      <c r="DAV159" s="252"/>
      <c r="DAW159" s="253"/>
      <c r="DAX159" s="252"/>
      <c r="DBE159" s="249"/>
      <c r="DBF159" s="249"/>
      <c r="DBG159" s="249"/>
      <c r="DBH159" s="249"/>
      <c r="DBI159" s="249"/>
      <c r="DBK159" s="249"/>
      <c r="DBL159" s="250"/>
      <c r="DBM159" s="249"/>
      <c r="DBN159" s="251"/>
      <c r="DBO159" s="252"/>
      <c r="DBP159" s="252"/>
      <c r="DBQ159" s="253"/>
      <c r="DBR159" s="252"/>
      <c r="DBY159" s="249"/>
      <c r="DBZ159" s="249"/>
      <c r="DCA159" s="249"/>
      <c r="DCB159" s="249"/>
      <c r="DCC159" s="249"/>
      <c r="DCE159" s="249"/>
      <c r="DCF159" s="250"/>
      <c r="DCG159" s="249"/>
      <c r="DCH159" s="251"/>
      <c r="DCI159" s="252"/>
      <c r="DCJ159" s="252"/>
      <c r="DCK159" s="253"/>
      <c r="DCL159" s="252"/>
      <c r="DCS159" s="249"/>
      <c r="DCT159" s="249"/>
      <c r="DCU159" s="249"/>
      <c r="DCV159" s="249"/>
      <c r="DCW159" s="249"/>
      <c r="DCY159" s="249"/>
      <c r="DCZ159" s="250"/>
      <c r="DDA159" s="249"/>
      <c r="DDB159" s="251"/>
      <c r="DDC159" s="252"/>
      <c r="DDD159" s="252"/>
      <c r="DDE159" s="253"/>
      <c r="DDF159" s="252"/>
      <c r="DDM159" s="249"/>
      <c r="DDN159" s="249"/>
      <c r="DDO159" s="249"/>
      <c r="DDP159" s="249"/>
      <c r="DDQ159" s="249"/>
      <c r="DDS159" s="249"/>
      <c r="DDT159" s="250"/>
      <c r="DDU159" s="249"/>
      <c r="DDV159" s="251"/>
      <c r="DDW159" s="252"/>
      <c r="DDX159" s="252"/>
      <c r="DDY159" s="253"/>
      <c r="DDZ159" s="252"/>
      <c r="DEG159" s="249"/>
      <c r="DEH159" s="249"/>
      <c r="DEI159" s="249"/>
      <c r="DEJ159" s="249"/>
      <c r="DEK159" s="249"/>
      <c r="DEM159" s="249"/>
      <c r="DEN159" s="250"/>
      <c r="DEO159" s="249"/>
      <c r="DEP159" s="251"/>
      <c r="DEQ159" s="252"/>
      <c r="DER159" s="252"/>
      <c r="DES159" s="253"/>
      <c r="DET159" s="252"/>
      <c r="DFA159" s="249"/>
      <c r="DFB159" s="249"/>
      <c r="DFC159" s="249"/>
      <c r="DFD159" s="249"/>
      <c r="DFE159" s="249"/>
      <c r="DFG159" s="249"/>
      <c r="DFH159" s="250"/>
      <c r="DFI159" s="249"/>
      <c r="DFJ159" s="251"/>
      <c r="DFK159" s="252"/>
      <c r="DFL159" s="252"/>
      <c r="DFM159" s="253"/>
      <c r="DFN159" s="252"/>
      <c r="DFU159" s="249"/>
      <c r="DFV159" s="249"/>
      <c r="DFW159" s="249"/>
      <c r="DFX159" s="249"/>
      <c r="DFY159" s="249"/>
      <c r="DGA159" s="249"/>
      <c r="DGB159" s="250"/>
      <c r="DGC159" s="249"/>
      <c r="DGD159" s="251"/>
      <c r="DGE159" s="252"/>
      <c r="DGF159" s="252"/>
      <c r="DGG159" s="253"/>
      <c r="DGH159" s="252"/>
      <c r="DGO159" s="249"/>
      <c r="DGP159" s="249"/>
      <c r="DGQ159" s="249"/>
      <c r="DGR159" s="249"/>
      <c r="DGS159" s="249"/>
      <c r="DGU159" s="249"/>
      <c r="DGV159" s="250"/>
      <c r="DGW159" s="249"/>
      <c r="DGX159" s="251"/>
      <c r="DGY159" s="252"/>
      <c r="DGZ159" s="252"/>
      <c r="DHA159" s="253"/>
      <c r="DHB159" s="252"/>
      <c r="DHI159" s="249"/>
      <c r="DHJ159" s="249"/>
      <c r="DHK159" s="249"/>
      <c r="DHL159" s="249"/>
      <c r="DHM159" s="249"/>
      <c r="DHO159" s="249"/>
      <c r="DHP159" s="250"/>
      <c r="DHQ159" s="249"/>
      <c r="DHR159" s="251"/>
      <c r="DHS159" s="252"/>
      <c r="DHT159" s="252"/>
      <c r="DHU159" s="253"/>
      <c r="DHV159" s="252"/>
      <c r="DIC159" s="249"/>
      <c r="DID159" s="249"/>
      <c r="DIE159" s="249"/>
      <c r="DIF159" s="249"/>
      <c r="DIG159" s="249"/>
      <c r="DII159" s="249"/>
      <c r="DIJ159" s="250"/>
      <c r="DIK159" s="249"/>
      <c r="DIL159" s="251"/>
      <c r="DIM159" s="252"/>
      <c r="DIN159" s="252"/>
      <c r="DIO159" s="253"/>
      <c r="DIP159" s="252"/>
      <c r="DIW159" s="249"/>
      <c r="DIX159" s="249"/>
      <c r="DIY159" s="249"/>
      <c r="DIZ159" s="249"/>
      <c r="DJA159" s="249"/>
      <c r="DJC159" s="249"/>
      <c r="DJD159" s="250"/>
      <c r="DJE159" s="249"/>
      <c r="DJF159" s="251"/>
      <c r="DJG159" s="252"/>
      <c r="DJH159" s="252"/>
      <c r="DJI159" s="253"/>
      <c r="DJJ159" s="252"/>
      <c r="DJQ159" s="249"/>
      <c r="DJR159" s="249"/>
      <c r="DJS159" s="249"/>
      <c r="DJT159" s="249"/>
      <c r="DJU159" s="249"/>
      <c r="DJW159" s="249"/>
      <c r="DJX159" s="250"/>
      <c r="DJY159" s="249"/>
      <c r="DJZ159" s="251"/>
      <c r="DKA159" s="252"/>
      <c r="DKB159" s="252"/>
      <c r="DKC159" s="253"/>
      <c r="DKD159" s="252"/>
      <c r="DKK159" s="249"/>
      <c r="DKL159" s="249"/>
      <c r="DKM159" s="249"/>
      <c r="DKN159" s="249"/>
      <c r="DKO159" s="249"/>
      <c r="DKQ159" s="249"/>
      <c r="DKR159" s="250"/>
      <c r="DKS159" s="249"/>
      <c r="DKT159" s="251"/>
      <c r="DKU159" s="252"/>
      <c r="DKV159" s="252"/>
      <c r="DKW159" s="253"/>
      <c r="DKX159" s="252"/>
      <c r="DLE159" s="249"/>
      <c r="DLF159" s="249"/>
      <c r="DLG159" s="249"/>
      <c r="DLH159" s="249"/>
      <c r="DLI159" s="249"/>
      <c r="DLK159" s="249"/>
      <c r="DLL159" s="250"/>
      <c r="DLM159" s="249"/>
      <c r="DLN159" s="251"/>
      <c r="DLO159" s="252"/>
      <c r="DLP159" s="252"/>
      <c r="DLQ159" s="253"/>
      <c r="DLR159" s="252"/>
      <c r="DLY159" s="249"/>
      <c r="DLZ159" s="249"/>
      <c r="DMA159" s="249"/>
      <c r="DMB159" s="249"/>
      <c r="DMC159" s="249"/>
      <c r="DME159" s="249"/>
      <c r="DMF159" s="250"/>
      <c r="DMG159" s="249"/>
      <c r="DMH159" s="251"/>
      <c r="DMI159" s="252"/>
      <c r="DMJ159" s="252"/>
      <c r="DMK159" s="253"/>
      <c r="DML159" s="252"/>
      <c r="DMS159" s="249"/>
      <c r="DMT159" s="249"/>
      <c r="DMU159" s="249"/>
      <c r="DMV159" s="249"/>
      <c r="DMW159" s="249"/>
      <c r="DMY159" s="249"/>
      <c r="DMZ159" s="250"/>
      <c r="DNA159" s="249"/>
      <c r="DNB159" s="251"/>
      <c r="DNC159" s="252"/>
      <c r="DND159" s="252"/>
      <c r="DNE159" s="253"/>
      <c r="DNF159" s="252"/>
      <c r="DNM159" s="249"/>
      <c r="DNN159" s="249"/>
      <c r="DNO159" s="249"/>
      <c r="DNP159" s="249"/>
      <c r="DNQ159" s="249"/>
      <c r="DNS159" s="249"/>
      <c r="DNT159" s="250"/>
      <c r="DNU159" s="249"/>
      <c r="DNV159" s="251"/>
      <c r="DNW159" s="252"/>
      <c r="DNX159" s="252"/>
      <c r="DNY159" s="253"/>
      <c r="DNZ159" s="252"/>
      <c r="DOG159" s="249"/>
      <c r="DOH159" s="249"/>
      <c r="DOI159" s="249"/>
      <c r="DOJ159" s="249"/>
      <c r="DOK159" s="249"/>
      <c r="DOM159" s="249"/>
      <c r="DON159" s="250"/>
      <c r="DOO159" s="249"/>
      <c r="DOP159" s="251"/>
      <c r="DOQ159" s="252"/>
      <c r="DOR159" s="252"/>
      <c r="DOS159" s="253"/>
      <c r="DOT159" s="252"/>
      <c r="DPA159" s="249"/>
      <c r="DPB159" s="249"/>
      <c r="DPC159" s="249"/>
      <c r="DPD159" s="249"/>
      <c r="DPE159" s="249"/>
      <c r="DPG159" s="249"/>
      <c r="DPH159" s="250"/>
      <c r="DPI159" s="249"/>
      <c r="DPJ159" s="251"/>
      <c r="DPK159" s="252"/>
      <c r="DPL159" s="252"/>
      <c r="DPM159" s="253"/>
      <c r="DPN159" s="252"/>
      <c r="DPU159" s="249"/>
      <c r="DPV159" s="249"/>
      <c r="DPW159" s="249"/>
      <c r="DPX159" s="249"/>
      <c r="DPY159" s="249"/>
      <c r="DQA159" s="249"/>
      <c r="DQB159" s="250"/>
      <c r="DQC159" s="249"/>
      <c r="DQD159" s="251"/>
      <c r="DQE159" s="252"/>
      <c r="DQF159" s="252"/>
      <c r="DQG159" s="253"/>
      <c r="DQH159" s="252"/>
      <c r="DQO159" s="249"/>
      <c r="DQP159" s="249"/>
      <c r="DQQ159" s="249"/>
      <c r="DQR159" s="249"/>
      <c r="DQS159" s="249"/>
      <c r="DQU159" s="249"/>
      <c r="DQV159" s="250"/>
      <c r="DQW159" s="249"/>
      <c r="DQX159" s="251"/>
      <c r="DQY159" s="252"/>
      <c r="DQZ159" s="252"/>
      <c r="DRA159" s="253"/>
      <c r="DRB159" s="252"/>
      <c r="DRI159" s="249"/>
      <c r="DRJ159" s="249"/>
      <c r="DRK159" s="249"/>
      <c r="DRL159" s="249"/>
      <c r="DRM159" s="249"/>
      <c r="DRO159" s="249"/>
      <c r="DRP159" s="250"/>
      <c r="DRQ159" s="249"/>
      <c r="DRR159" s="251"/>
      <c r="DRS159" s="252"/>
      <c r="DRT159" s="252"/>
      <c r="DRU159" s="253"/>
      <c r="DRV159" s="252"/>
      <c r="DSC159" s="249"/>
      <c r="DSD159" s="249"/>
      <c r="DSE159" s="249"/>
      <c r="DSF159" s="249"/>
      <c r="DSG159" s="249"/>
      <c r="DSI159" s="249"/>
      <c r="DSJ159" s="250"/>
      <c r="DSK159" s="249"/>
      <c r="DSL159" s="251"/>
      <c r="DSM159" s="252"/>
      <c r="DSN159" s="252"/>
      <c r="DSO159" s="253"/>
      <c r="DSP159" s="252"/>
      <c r="DSW159" s="249"/>
      <c r="DSX159" s="249"/>
      <c r="DSY159" s="249"/>
      <c r="DSZ159" s="249"/>
      <c r="DTA159" s="249"/>
      <c r="DTC159" s="249"/>
      <c r="DTD159" s="250"/>
      <c r="DTE159" s="249"/>
      <c r="DTF159" s="251"/>
      <c r="DTG159" s="252"/>
      <c r="DTH159" s="252"/>
      <c r="DTI159" s="253"/>
      <c r="DTJ159" s="252"/>
      <c r="DTQ159" s="249"/>
      <c r="DTR159" s="249"/>
      <c r="DTS159" s="249"/>
      <c r="DTT159" s="249"/>
      <c r="DTU159" s="249"/>
      <c r="DTW159" s="249"/>
      <c r="DTX159" s="250"/>
      <c r="DTY159" s="249"/>
      <c r="DTZ159" s="251"/>
      <c r="DUA159" s="252"/>
      <c r="DUB159" s="252"/>
      <c r="DUC159" s="253"/>
      <c r="DUD159" s="252"/>
      <c r="DUK159" s="249"/>
      <c r="DUL159" s="249"/>
      <c r="DUM159" s="249"/>
      <c r="DUN159" s="249"/>
      <c r="DUO159" s="249"/>
      <c r="DUQ159" s="249"/>
      <c r="DUR159" s="250"/>
      <c r="DUS159" s="249"/>
      <c r="DUT159" s="251"/>
      <c r="DUU159" s="252"/>
      <c r="DUV159" s="252"/>
      <c r="DUW159" s="253"/>
      <c r="DUX159" s="252"/>
      <c r="DVE159" s="249"/>
      <c r="DVF159" s="249"/>
      <c r="DVG159" s="249"/>
      <c r="DVH159" s="249"/>
      <c r="DVI159" s="249"/>
      <c r="DVK159" s="249"/>
      <c r="DVL159" s="250"/>
      <c r="DVM159" s="249"/>
      <c r="DVN159" s="251"/>
      <c r="DVO159" s="252"/>
      <c r="DVP159" s="252"/>
      <c r="DVQ159" s="253"/>
      <c r="DVR159" s="252"/>
      <c r="DVY159" s="249"/>
      <c r="DVZ159" s="249"/>
      <c r="DWA159" s="249"/>
      <c r="DWB159" s="249"/>
      <c r="DWC159" s="249"/>
      <c r="DWE159" s="249"/>
      <c r="DWF159" s="250"/>
      <c r="DWG159" s="249"/>
      <c r="DWH159" s="251"/>
      <c r="DWI159" s="252"/>
      <c r="DWJ159" s="252"/>
      <c r="DWK159" s="253"/>
      <c r="DWL159" s="252"/>
      <c r="DWS159" s="249"/>
      <c r="DWT159" s="249"/>
      <c r="DWU159" s="249"/>
      <c r="DWV159" s="249"/>
      <c r="DWW159" s="249"/>
      <c r="DWY159" s="249"/>
      <c r="DWZ159" s="250"/>
      <c r="DXA159" s="249"/>
      <c r="DXB159" s="251"/>
      <c r="DXC159" s="252"/>
      <c r="DXD159" s="252"/>
      <c r="DXE159" s="253"/>
      <c r="DXF159" s="252"/>
      <c r="DXM159" s="249"/>
      <c r="DXN159" s="249"/>
      <c r="DXO159" s="249"/>
      <c r="DXP159" s="249"/>
      <c r="DXQ159" s="249"/>
      <c r="DXS159" s="249"/>
      <c r="DXT159" s="250"/>
      <c r="DXU159" s="249"/>
      <c r="DXV159" s="251"/>
      <c r="DXW159" s="252"/>
      <c r="DXX159" s="252"/>
      <c r="DXY159" s="253"/>
      <c r="DXZ159" s="252"/>
      <c r="DYG159" s="249"/>
      <c r="DYH159" s="249"/>
      <c r="DYI159" s="249"/>
      <c r="DYJ159" s="249"/>
      <c r="DYK159" s="249"/>
      <c r="DYM159" s="249"/>
      <c r="DYN159" s="250"/>
      <c r="DYO159" s="249"/>
      <c r="DYP159" s="251"/>
      <c r="DYQ159" s="252"/>
      <c r="DYR159" s="252"/>
      <c r="DYS159" s="253"/>
      <c r="DYT159" s="252"/>
      <c r="DZA159" s="249"/>
      <c r="DZB159" s="249"/>
      <c r="DZC159" s="249"/>
      <c r="DZD159" s="249"/>
      <c r="DZE159" s="249"/>
      <c r="DZG159" s="249"/>
      <c r="DZH159" s="250"/>
      <c r="DZI159" s="249"/>
      <c r="DZJ159" s="251"/>
      <c r="DZK159" s="252"/>
      <c r="DZL159" s="252"/>
      <c r="DZM159" s="253"/>
      <c r="DZN159" s="252"/>
      <c r="DZU159" s="249"/>
      <c r="DZV159" s="249"/>
      <c r="DZW159" s="249"/>
      <c r="DZX159" s="249"/>
      <c r="DZY159" s="249"/>
      <c r="EAA159" s="249"/>
      <c r="EAB159" s="250"/>
      <c r="EAC159" s="249"/>
      <c r="EAD159" s="251"/>
      <c r="EAE159" s="252"/>
      <c r="EAF159" s="252"/>
      <c r="EAG159" s="253"/>
      <c r="EAH159" s="252"/>
      <c r="EAO159" s="249"/>
      <c r="EAP159" s="249"/>
      <c r="EAQ159" s="249"/>
      <c r="EAR159" s="249"/>
      <c r="EAS159" s="249"/>
      <c r="EAU159" s="249"/>
      <c r="EAV159" s="250"/>
      <c r="EAW159" s="249"/>
      <c r="EAX159" s="251"/>
      <c r="EAY159" s="252"/>
      <c r="EAZ159" s="252"/>
      <c r="EBA159" s="253"/>
      <c r="EBB159" s="252"/>
      <c r="EBI159" s="249"/>
      <c r="EBJ159" s="249"/>
      <c r="EBK159" s="249"/>
      <c r="EBL159" s="249"/>
      <c r="EBM159" s="249"/>
      <c r="EBO159" s="249"/>
      <c r="EBP159" s="250"/>
      <c r="EBQ159" s="249"/>
      <c r="EBR159" s="251"/>
      <c r="EBS159" s="252"/>
      <c r="EBT159" s="252"/>
      <c r="EBU159" s="253"/>
      <c r="EBV159" s="252"/>
      <c r="ECC159" s="249"/>
      <c r="ECD159" s="249"/>
      <c r="ECE159" s="249"/>
      <c r="ECF159" s="249"/>
      <c r="ECG159" s="249"/>
      <c r="ECI159" s="249"/>
      <c r="ECJ159" s="250"/>
      <c r="ECK159" s="249"/>
      <c r="ECL159" s="251"/>
      <c r="ECM159" s="252"/>
      <c r="ECN159" s="252"/>
      <c r="ECO159" s="253"/>
      <c r="ECP159" s="252"/>
      <c r="ECW159" s="249"/>
      <c r="ECX159" s="249"/>
      <c r="ECY159" s="249"/>
      <c r="ECZ159" s="249"/>
      <c r="EDA159" s="249"/>
      <c r="EDC159" s="249"/>
      <c r="EDD159" s="250"/>
      <c r="EDE159" s="249"/>
      <c r="EDF159" s="251"/>
      <c r="EDG159" s="252"/>
      <c r="EDH159" s="252"/>
      <c r="EDI159" s="253"/>
      <c r="EDJ159" s="252"/>
      <c r="EDQ159" s="249"/>
      <c r="EDR159" s="249"/>
      <c r="EDS159" s="249"/>
      <c r="EDT159" s="249"/>
      <c r="EDU159" s="249"/>
      <c r="EDW159" s="249"/>
      <c r="EDX159" s="250"/>
      <c r="EDY159" s="249"/>
      <c r="EDZ159" s="251"/>
      <c r="EEA159" s="252"/>
      <c r="EEB159" s="252"/>
      <c r="EEC159" s="253"/>
      <c r="EED159" s="252"/>
      <c r="EEK159" s="249"/>
      <c r="EEL159" s="249"/>
      <c r="EEM159" s="249"/>
      <c r="EEN159" s="249"/>
      <c r="EEO159" s="249"/>
      <c r="EEQ159" s="249"/>
      <c r="EER159" s="250"/>
      <c r="EES159" s="249"/>
      <c r="EET159" s="251"/>
      <c r="EEU159" s="252"/>
      <c r="EEV159" s="252"/>
      <c r="EEW159" s="253"/>
      <c r="EEX159" s="252"/>
      <c r="EFE159" s="249"/>
      <c r="EFF159" s="249"/>
      <c r="EFG159" s="249"/>
      <c r="EFH159" s="249"/>
      <c r="EFI159" s="249"/>
      <c r="EFK159" s="249"/>
      <c r="EFL159" s="250"/>
      <c r="EFM159" s="249"/>
      <c r="EFN159" s="251"/>
      <c r="EFO159" s="252"/>
      <c r="EFP159" s="252"/>
      <c r="EFQ159" s="253"/>
      <c r="EFR159" s="252"/>
      <c r="EFY159" s="249"/>
      <c r="EFZ159" s="249"/>
      <c r="EGA159" s="249"/>
      <c r="EGB159" s="249"/>
      <c r="EGC159" s="249"/>
      <c r="EGE159" s="249"/>
      <c r="EGF159" s="250"/>
      <c r="EGG159" s="249"/>
      <c r="EGH159" s="251"/>
      <c r="EGI159" s="252"/>
      <c r="EGJ159" s="252"/>
      <c r="EGK159" s="253"/>
      <c r="EGL159" s="252"/>
      <c r="EGS159" s="249"/>
      <c r="EGT159" s="249"/>
      <c r="EGU159" s="249"/>
      <c r="EGV159" s="249"/>
      <c r="EGW159" s="249"/>
      <c r="EGY159" s="249"/>
      <c r="EGZ159" s="250"/>
      <c r="EHA159" s="249"/>
      <c r="EHB159" s="251"/>
      <c r="EHC159" s="252"/>
      <c r="EHD159" s="252"/>
      <c r="EHE159" s="253"/>
      <c r="EHF159" s="252"/>
      <c r="EHM159" s="249"/>
      <c r="EHN159" s="249"/>
      <c r="EHO159" s="249"/>
      <c r="EHP159" s="249"/>
      <c r="EHQ159" s="249"/>
      <c r="EHS159" s="249"/>
      <c r="EHT159" s="250"/>
      <c r="EHU159" s="249"/>
      <c r="EHV159" s="251"/>
      <c r="EHW159" s="252"/>
      <c r="EHX159" s="252"/>
      <c r="EHY159" s="253"/>
      <c r="EHZ159" s="252"/>
      <c r="EIG159" s="249"/>
      <c r="EIH159" s="249"/>
      <c r="EII159" s="249"/>
      <c r="EIJ159" s="249"/>
      <c r="EIK159" s="249"/>
      <c r="EIM159" s="249"/>
      <c r="EIN159" s="250"/>
      <c r="EIO159" s="249"/>
      <c r="EIP159" s="251"/>
      <c r="EIQ159" s="252"/>
      <c r="EIR159" s="252"/>
      <c r="EIS159" s="253"/>
      <c r="EIT159" s="252"/>
      <c r="EJA159" s="249"/>
      <c r="EJB159" s="249"/>
      <c r="EJC159" s="249"/>
      <c r="EJD159" s="249"/>
      <c r="EJE159" s="249"/>
      <c r="EJG159" s="249"/>
      <c r="EJH159" s="250"/>
      <c r="EJI159" s="249"/>
      <c r="EJJ159" s="251"/>
      <c r="EJK159" s="252"/>
      <c r="EJL159" s="252"/>
      <c r="EJM159" s="253"/>
      <c r="EJN159" s="252"/>
      <c r="EJU159" s="249"/>
      <c r="EJV159" s="249"/>
      <c r="EJW159" s="249"/>
      <c r="EJX159" s="249"/>
      <c r="EJY159" s="249"/>
      <c r="EKA159" s="249"/>
      <c r="EKB159" s="250"/>
      <c r="EKC159" s="249"/>
      <c r="EKD159" s="251"/>
      <c r="EKE159" s="252"/>
      <c r="EKF159" s="252"/>
      <c r="EKG159" s="253"/>
      <c r="EKH159" s="252"/>
      <c r="EKO159" s="249"/>
      <c r="EKP159" s="249"/>
      <c r="EKQ159" s="249"/>
      <c r="EKR159" s="249"/>
      <c r="EKS159" s="249"/>
      <c r="EKU159" s="249"/>
      <c r="EKV159" s="250"/>
      <c r="EKW159" s="249"/>
      <c r="EKX159" s="251"/>
      <c r="EKY159" s="252"/>
      <c r="EKZ159" s="252"/>
      <c r="ELA159" s="253"/>
      <c r="ELB159" s="252"/>
      <c r="ELI159" s="249"/>
      <c r="ELJ159" s="249"/>
      <c r="ELK159" s="249"/>
      <c r="ELL159" s="249"/>
      <c r="ELM159" s="249"/>
      <c r="ELO159" s="249"/>
      <c r="ELP159" s="250"/>
      <c r="ELQ159" s="249"/>
      <c r="ELR159" s="251"/>
      <c r="ELS159" s="252"/>
      <c r="ELT159" s="252"/>
      <c r="ELU159" s="253"/>
      <c r="ELV159" s="252"/>
      <c r="EMC159" s="249"/>
      <c r="EMD159" s="249"/>
      <c r="EME159" s="249"/>
      <c r="EMF159" s="249"/>
      <c r="EMG159" s="249"/>
      <c r="EMI159" s="249"/>
      <c r="EMJ159" s="250"/>
      <c r="EMK159" s="249"/>
      <c r="EML159" s="251"/>
      <c r="EMM159" s="252"/>
      <c r="EMN159" s="252"/>
      <c r="EMO159" s="253"/>
      <c r="EMP159" s="252"/>
      <c r="EMW159" s="249"/>
      <c r="EMX159" s="249"/>
      <c r="EMY159" s="249"/>
      <c r="EMZ159" s="249"/>
      <c r="ENA159" s="249"/>
      <c r="ENC159" s="249"/>
      <c r="END159" s="250"/>
      <c r="ENE159" s="249"/>
      <c r="ENF159" s="251"/>
      <c r="ENG159" s="252"/>
      <c r="ENH159" s="252"/>
      <c r="ENI159" s="253"/>
      <c r="ENJ159" s="252"/>
      <c r="ENQ159" s="249"/>
      <c r="ENR159" s="249"/>
      <c r="ENS159" s="249"/>
      <c r="ENT159" s="249"/>
      <c r="ENU159" s="249"/>
      <c r="ENW159" s="249"/>
      <c r="ENX159" s="250"/>
      <c r="ENY159" s="249"/>
      <c r="ENZ159" s="251"/>
      <c r="EOA159" s="252"/>
      <c r="EOB159" s="252"/>
      <c r="EOC159" s="253"/>
      <c r="EOD159" s="252"/>
      <c r="EOK159" s="249"/>
      <c r="EOL159" s="249"/>
      <c r="EOM159" s="249"/>
      <c r="EON159" s="249"/>
      <c r="EOO159" s="249"/>
      <c r="EOQ159" s="249"/>
      <c r="EOR159" s="250"/>
      <c r="EOS159" s="249"/>
      <c r="EOT159" s="251"/>
      <c r="EOU159" s="252"/>
      <c r="EOV159" s="252"/>
      <c r="EOW159" s="253"/>
      <c r="EOX159" s="252"/>
      <c r="EPE159" s="249"/>
      <c r="EPF159" s="249"/>
      <c r="EPG159" s="249"/>
      <c r="EPH159" s="249"/>
      <c r="EPI159" s="249"/>
      <c r="EPK159" s="249"/>
      <c r="EPL159" s="250"/>
      <c r="EPM159" s="249"/>
      <c r="EPN159" s="251"/>
      <c r="EPO159" s="252"/>
      <c r="EPP159" s="252"/>
      <c r="EPQ159" s="253"/>
      <c r="EPR159" s="252"/>
      <c r="EPY159" s="249"/>
      <c r="EPZ159" s="249"/>
      <c r="EQA159" s="249"/>
      <c r="EQB159" s="249"/>
      <c r="EQC159" s="249"/>
      <c r="EQE159" s="249"/>
      <c r="EQF159" s="250"/>
      <c r="EQG159" s="249"/>
      <c r="EQH159" s="251"/>
      <c r="EQI159" s="252"/>
      <c r="EQJ159" s="252"/>
      <c r="EQK159" s="253"/>
      <c r="EQL159" s="252"/>
      <c r="EQS159" s="249"/>
      <c r="EQT159" s="249"/>
      <c r="EQU159" s="249"/>
      <c r="EQV159" s="249"/>
      <c r="EQW159" s="249"/>
      <c r="EQY159" s="249"/>
      <c r="EQZ159" s="250"/>
      <c r="ERA159" s="249"/>
      <c r="ERB159" s="251"/>
      <c r="ERC159" s="252"/>
      <c r="ERD159" s="252"/>
      <c r="ERE159" s="253"/>
      <c r="ERF159" s="252"/>
      <c r="ERM159" s="249"/>
      <c r="ERN159" s="249"/>
      <c r="ERO159" s="249"/>
      <c r="ERP159" s="249"/>
      <c r="ERQ159" s="249"/>
      <c r="ERS159" s="249"/>
      <c r="ERT159" s="250"/>
      <c r="ERU159" s="249"/>
      <c r="ERV159" s="251"/>
      <c r="ERW159" s="252"/>
      <c r="ERX159" s="252"/>
      <c r="ERY159" s="253"/>
      <c r="ERZ159" s="252"/>
      <c r="ESG159" s="249"/>
      <c r="ESH159" s="249"/>
      <c r="ESI159" s="249"/>
      <c r="ESJ159" s="249"/>
      <c r="ESK159" s="249"/>
      <c r="ESM159" s="249"/>
      <c r="ESN159" s="250"/>
      <c r="ESO159" s="249"/>
      <c r="ESP159" s="251"/>
      <c r="ESQ159" s="252"/>
      <c r="ESR159" s="252"/>
      <c r="ESS159" s="253"/>
      <c r="EST159" s="252"/>
      <c r="ETA159" s="249"/>
      <c r="ETB159" s="249"/>
      <c r="ETC159" s="249"/>
      <c r="ETD159" s="249"/>
      <c r="ETE159" s="249"/>
      <c r="ETG159" s="249"/>
      <c r="ETH159" s="250"/>
      <c r="ETI159" s="249"/>
      <c r="ETJ159" s="251"/>
      <c r="ETK159" s="252"/>
      <c r="ETL159" s="252"/>
      <c r="ETM159" s="253"/>
      <c r="ETN159" s="252"/>
      <c r="ETU159" s="249"/>
      <c r="ETV159" s="249"/>
      <c r="ETW159" s="249"/>
      <c r="ETX159" s="249"/>
      <c r="ETY159" s="249"/>
      <c r="EUA159" s="249"/>
      <c r="EUB159" s="250"/>
      <c r="EUC159" s="249"/>
      <c r="EUD159" s="251"/>
      <c r="EUE159" s="252"/>
      <c r="EUF159" s="252"/>
      <c r="EUG159" s="253"/>
      <c r="EUH159" s="252"/>
      <c r="EUO159" s="249"/>
      <c r="EUP159" s="249"/>
      <c r="EUQ159" s="249"/>
      <c r="EUR159" s="249"/>
      <c r="EUS159" s="249"/>
      <c r="EUU159" s="249"/>
      <c r="EUV159" s="250"/>
      <c r="EUW159" s="249"/>
      <c r="EUX159" s="251"/>
      <c r="EUY159" s="252"/>
      <c r="EUZ159" s="252"/>
      <c r="EVA159" s="253"/>
      <c r="EVB159" s="252"/>
      <c r="EVI159" s="249"/>
      <c r="EVJ159" s="249"/>
      <c r="EVK159" s="249"/>
      <c r="EVL159" s="249"/>
      <c r="EVM159" s="249"/>
      <c r="EVO159" s="249"/>
      <c r="EVP159" s="250"/>
      <c r="EVQ159" s="249"/>
      <c r="EVR159" s="251"/>
      <c r="EVS159" s="252"/>
      <c r="EVT159" s="252"/>
      <c r="EVU159" s="253"/>
      <c r="EVV159" s="252"/>
      <c r="EWC159" s="249"/>
      <c r="EWD159" s="249"/>
      <c r="EWE159" s="249"/>
      <c r="EWF159" s="249"/>
      <c r="EWG159" s="249"/>
      <c r="EWI159" s="249"/>
      <c r="EWJ159" s="250"/>
      <c r="EWK159" s="249"/>
      <c r="EWL159" s="251"/>
      <c r="EWM159" s="252"/>
      <c r="EWN159" s="252"/>
      <c r="EWO159" s="253"/>
      <c r="EWP159" s="252"/>
      <c r="EWW159" s="249"/>
      <c r="EWX159" s="249"/>
      <c r="EWY159" s="249"/>
      <c r="EWZ159" s="249"/>
      <c r="EXA159" s="249"/>
      <c r="EXC159" s="249"/>
      <c r="EXD159" s="250"/>
      <c r="EXE159" s="249"/>
      <c r="EXF159" s="251"/>
      <c r="EXG159" s="252"/>
      <c r="EXH159" s="252"/>
      <c r="EXI159" s="253"/>
      <c r="EXJ159" s="252"/>
      <c r="EXQ159" s="249"/>
      <c r="EXR159" s="249"/>
      <c r="EXS159" s="249"/>
      <c r="EXT159" s="249"/>
      <c r="EXU159" s="249"/>
      <c r="EXW159" s="249"/>
      <c r="EXX159" s="250"/>
      <c r="EXY159" s="249"/>
      <c r="EXZ159" s="251"/>
      <c r="EYA159" s="252"/>
      <c r="EYB159" s="252"/>
      <c r="EYC159" s="253"/>
      <c r="EYD159" s="252"/>
      <c r="EYK159" s="249"/>
      <c r="EYL159" s="249"/>
      <c r="EYM159" s="249"/>
      <c r="EYN159" s="249"/>
      <c r="EYO159" s="249"/>
      <c r="EYQ159" s="249"/>
      <c r="EYR159" s="250"/>
      <c r="EYS159" s="249"/>
      <c r="EYT159" s="251"/>
      <c r="EYU159" s="252"/>
      <c r="EYV159" s="252"/>
      <c r="EYW159" s="253"/>
      <c r="EYX159" s="252"/>
      <c r="EZE159" s="249"/>
      <c r="EZF159" s="249"/>
      <c r="EZG159" s="249"/>
      <c r="EZH159" s="249"/>
      <c r="EZI159" s="249"/>
      <c r="EZK159" s="249"/>
      <c r="EZL159" s="250"/>
      <c r="EZM159" s="249"/>
      <c r="EZN159" s="251"/>
      <c r="EZO159" s="252"/>
      <c r="EZP159" s="252"/>
      <c r="EZQ159" s="253"/>
      <c r="EZR159" s="252"/>
      <c r="EZY159" s="249"/>
      <c r="EZZ159" s="249"/>
      <c r="FAA159" s="249"/>
      <c r="FAB159" s="249"/>
      <c r="FAC159" s="249"/>
      <c r="FAE159" s="249"/>
      <c r="FAF159" s="250"/>
      <c r="FAG159" s="249"/>
      <c r="FAH159" s="251"/>
      <c r="FAI159" s="252"/>
      <c r="FAJ159" s="252"/>
      <c r="FAK159" s="253"/>
      <c r="FAL159" s="252"/>
      <c r="FAS159" s="249"/>
      <c r="FAT159" s="249"/>
      <c r="FAU159" s="249"/>
      <c r="FAV159" s="249"/>
      <c r="FAW159" s="249"/>
      <c r="FAY159" s="249"/>
      <c r="FAZ159" s="250"/>
      <c r="FBA159" s="249"/>
      <c r="FBB159" s="251"/>
      <c r="FBC159" s="252"/>
      <c r="FBD159" s="252"/>
      <c r="FBE159" s="253"/>
      <c r="FBF159" s="252"/>
      <c r="FBM159" s="249"/>
      <c r="FBN159" s="249"/>
      <c r="FBO159" s="249"/>
      <c r="FBP159" s="249"/>
      <c r="FBQ159" s="249"/>
      <c r="FBS159" s="249"/>
      <c r="FBT159" s="250"/>
      <c r="FBU159" s="249"/>
      <c r="FBV159" s="251"/>
      <c r="FBW159" s="252"/>
      <c r="FBX159" s="252"/>
      <c r="FBY159" s="253"/>
      <c r="FBZ159" s="252"/>
      <c r="FCG159" s="249"/>
      <c r="FCH159" s="249"/>
      <c r="FCI159" s="249"/>
      <c r="FCJ159" s="249"/>
      <c r="FCK159" s="249"/>
      <c r="FCM159" s="249"/>
      <c r="FCN159" s="250"/>
      <c r="FCO159" s="249"/>
      <c r="FCP159" s="251"/>
      <c r="FCQ159" s="252"/>
      <c r="FCR159" s="252"/>
      <c r="FCS159" s="253"/>
      <c r="FCT159" s="252"/>
      <c r="FDA159" s="249"/>
      <c r="FDB159" s="249"/>
      <c r="FDC159" s="249"/>
      <c r="FDD159" s="249"/>
      <c r="FDE159" s="249"/>
      <c r="FDG159" s="249"/>
      <c r="FDH159" s="250"/>
      <c r="FDI159" s="249"/>
      <c r="FDJ159" s="251"/>
      <c r="FDK159" s="252"/>
      <c r="FDL159" s="252"/>
      <c r="FDM159" s="253"/>
      <c r="FDN159" s="252"/>
      <c r="FDU159" s="249"/>
      <c r="FDV159" s="249"/>
      <c r="FDW159" s="249"/>
      <c r="FDX159" s="249"/>
      <c r="FDY159" s="249"/>
      <c r="FEA159" s="249"/>
      <c r="FEB159" s="250"/>
      <c r="FEC159" s="249"/>
      <c r="FED159" s="251"/>
      <c r="FEE159" s="252"/>
      <c r="FEF159" s="252"/>
      <c r="FEG159" s="253"/>
      <c r="FEH159" s="252"/>
      <c r="FEO159" s="249"/>
      <c r="FEP159" s="249"/>
      <c r="FEQ159" s="249"/>
      <c r="FER159" s="249"/>
      <c r="FES159" s="249"/>
      <c r="FEU159" s="249"/>
      <c r="FEV159" s="250"/>
      <c r="FEW159" s="249"/>
      <c r="FEX159" s="251"/>
      <c r="FEY159" s="252"/>
      <c r="FEZ159" s="252"/>
      <c r="FFA159" s="253"/>
      <c r="FFB159" s="252"/>
      <c r="FFI159" s="249"/>
      <c r="FFJ159" s="249"/>
      <c r="FFK159" s="249"/>
      <c r="FFL159" s="249"/>
      <c r="FFM159" s="249"/>
      <c r="FFO159" s="249"/>
      <c r="FFP159" s="250"/>
      <c r="FFQ159" s="249"/>
      <c r="FFR159" s="251"/>
      <c r="FFS159" s="252"/>
      <c r="FFT159" s="252"/>
      <c r="FFU159" s="253"/>
      <c r="FFV159" s="252"/>
      <c r="FGC159" s="249"/>
      <c r="FGD159" s="249"/>
      <c r="FGE159" s="249"/>
      <c r="FGF159" s="249"/>
      <c r="FGG159" s="249"/>
      <c r="FGI159" s="249"/>
      <c r="FGJ159" s="250"/>
      <c r="FGK159" s="249"/>
      <c r="FGL159" s="251"/>
      <c r="FGM159" s="252"/>
      <c r="FGN159" s="252"/>
      <c r="FGO159" s="253"/>
      <c r="FGP159" s="252"/>
      <c r="FGW159" s="249"/>
      <c r="FGX159" s="249"/>
      <c r="FGY159" s="249"/>
      <c r="FGZ159" s="249"/>
      <c r="FHA159" s="249"/>
      <c r="FHC159" s="249"/>
      <c r="FHD159" s="250"/>
      <c r="FHE159" s="249"/>
      <c r="FHF159" s="251"/>
      <c r="FHG159" s="252"/>
      <c r="FHH159" s="252"/>
      <c r="FHI159" s="253"/>
      <c r="FHJ159" s="252"/>
      <c r="FHQ159" s="249"/>
      <c r="FHR159" s="249"/>
      <c r="FHS159" s="249"/>
      <c r="FHT159" s="249"/>
      <c r="FHU159" s="249"/>
      <c r="FHW159" s="249"/>
      <c r="FHX159" s="250"/>
      <c r="FHY159" s="249"/>
      <c r="FHZ159" s="251"/>
      <c r="FIA159" s="252"/>
      <c r="FIB159" s="252"/>
      <c r="FIC159" s="253"/>
      <c r="FID159" s="252"/>
      <c r="FIK159" s="249"/>
      <c r="FIL159" s="249"/>
      <c r="FIM159" s="249"/>
      <c r="FIN159" s="249"/>
      <c r="FIO159" s="249"/>
      <c r="FIQ159" s="249"/>
      <c r="FIR159" s="250"/>
      <c r="FIS159" s="249"/>
      <c r="FIT159" s="251"/>
      <c r="FIU159" s="252"/>
      <c r="FIV159" s="252"/>
      <c r="FIW159" s="253"/>
      <c r="FIX159" s="252"/>
      <c r="FJE159" s="249"/>
      <c r="FJF159" s="249"/>
      <c r="FJG159" s="249"/>
      <c r="FJH159" s="249"/>
      <c r="FJI159" s="249"/>
      <c r="FJK159" s="249"/>
      <c r="FJL159" s="250"/>
      <c r="FJM159" s="249"/>
      <c r="FJN159" s="251"/>
      <c r="FJO159" s="252"/>
      <c r="FJP159" s="252"/>
      <c r="FJQ159" s="253"/>
      <c r="FJR159" s="252"/>
      <c r="FJY159" s="249"/>
      <c r="FJZ159" s="249"/>
      <c r="FKA159" s="249"/>
      <c r="FKB159" s="249"/>
      <c r="FKC159" s="249"/>
      <c r="FKE159" s="249"/>
      <c r="FKF159" s="250"/>
      <c r="FKG159" s="249"/>
      <c r="FKH159" s="251"/>
      <c r="FKI159" s="252"/>
      <c r="FKJ159" s="252"/>
      <c r="FKK159" s="253"/>
      <c r="FKL159" s="252"/>
      <c r="FKS159" s="249"/>
      <c r="FKT159" s="249"/>
      <c r="FKU159" s="249"/>
      <c r="FKV159" s="249"/>
      <c r="FKW159" s="249"/>
      <c r="FKY159" s="249"/>
      <c r="FKZ159" s="250"/>
      <c r="FLA159" s="249"/>
      <c r="FLB159" s="251"/>
      <c r="FLC159" s="252"/>
      <c r="FLD159" s="252"/>
      <c r="FLE159" s="253"/>
      <c r="FLF159" s="252"/>
      <c r="FLM159" s="249"/>
      <c r="FLN159" s="249"/>
      <c r="FLO159" s="249"/>
      <c r="FLP159" s="249"/>
      <c r="FLQ159" s="249"/>
      <c r="FLS159" s="249"/>
      <c r="FLT159" s="250"/>
      <c r="FLU159" s="249"/>
      <c r="FLV159" s="251"/>
      <c r="FLW159" s="252"/>
      <c r="FLX159" s="252"/>
      <c r="FLY159" s="253"/>
      <c r="FLZ159" s="252"/>
      <c r="FMG159" s="249"/>
      <c r="FMH159" s="249"/>
      <c r="FMI159" s="249"/>
      <c r="FMJ159" s="249"/>
      <c r="FMK159" s="249"/>
      <c r="FMM159" s="249"/>
      <c r="FMN159" s="250"/>
      <c r="FMO159" s="249"/>
      <c r="FMP159" s="251"/>
      <c r="FMQ159" s="252"/>
      <c r="FMR159" s="252"/>
      <c r="FMS159" s="253"/>
      <c r="FMT159" s="252"/>
      <c r="FNA159" s="249"/>
      <c r="FNB159" s="249"/>
      <c r="FNC159" s="249"/>
      <c r="FND159" s="249"/>
      <c r="FNE159" s="249"/>
      <c r="FNG159" s="249"/>
      <c r="FNH159" s="250"/>
      <c r="FNI159" s="249"/>
      <c r="FNJ159" s="251"/>
      <c r="FNK159" s="252"/>
      <c r="FNL159" s="252"/>
      <c r="FNM159" s="253"/>
      <c r="FNN159" s="252"/>
      <c r="FNU159" s="249"/>
      <c r="FNV159" s="249"/>
      <c r="FNW159" s="249"/>
      <c r="FNX159" s="249"/>
      <c r="FNY159" s="249"/>
      <c r="FOA159" s="249"/>
      <c r="FOB159" s="250"/>
      <c r="FOC159" s="249"/>
      <c r="FOD159" s="251"/>
      <c r="FOE159" s="252"/>
      <c r="FOF159" s="252"/>
      <c r="FOG159" s="253"/>
      <c r="FOH159" s="252"/>
      <c r="FOO159" s="249"/>
      <c r="FOP159" s="249"/>
      <c r="FOQ159" s="249"/>
      <c r="FOR159" s="249"/>
      <c r="FOS159" s="249"/>
      <c r="FOU159" s="249"/>
      <c r="FOV159" s="250"/>
      <c r="FOW159" s="249"/>
      <c r="FOX159" s="251"/>
      <c r="FOY159" s="252"/>
      <c r="FOZ159" s="252"/>
      <c r="FPA159" s="253"/>
      <c r="FPB159" s="252"/>
      <c r="FPI159" s="249"/>
      <c r="FPJ159" s="249"/>
      <c r="FPK159" s="249"/>
      <c r="FPL159" s="249"/>
      <c r="FPM159" s="249"/>
      <c r="FPO159" s="249"/>
      <c r="FPP159" s="250"/>
      <c r="FPQ159" s="249"/>
      <c r="FPR159" s="251"/>
      <c r="FPS159" s="252"/>
      <c r="FPT159" s="252"/>
      <c r="FPU159" s="253"/>
      <c r="FPV159" s="252"/>
      <c r="FQC159" s="249"/>
      <c r="FQD159" s="249"/>
      <c r="FQE159" s="249"/>
      <c r="FQF159" s="249"/>
      <c r="FQG159" s="249"/>
      <c r="FQI159" s="249"/>
      <c r="FQJ159" s="250"/>
      <c r="FQK159" s="249"/>
      <c r="FQL159" s="251"/>
      <c r="FQM159" s="252"/>
      <c r="FQN159" s="252"/>
      <c r="FQO159" s="253"/>
      <c r="FQP159" s="252"/>
      <c r="FQW159" s="249"/>
      <c r="FQX159" s="249"/>
      <c r="FQY159" s="249"/>
      <c r="FQZ159" s="249"/>
      <c r="FRA159" s="249"/>
      <c r="FRC159" s="249"/>
      <c r="FRD159" s="250"/>
      <c r="FRE159" s="249"/>
      <c r="FRF159" s="251"/>
      <c r="FRG159" s="252"/>
      <c r="FRH159" s="252"/>
      <c r="FRI159" s="253"/>
      <c r="FRJ159" s="252"/>
      <c r="FRQ159" s="249"/>
      <c r="FRR159" s="249"/>
      <c r="FRS159" s="249"/>
      <c r="FRT159" s="249"/>
      <c r="FRU159" s="249"/>
      <c r="FRW159" s="249"/>
      <c r="FRX159" s="250"/>
      <c r="FRY159" s="249"/>
      <c r="FRZ159" s="251"/>
      <c r="FSA159" s="252"/>
      <c r="FSB159" s="252"/>
      <c r="FSC159" s="253"/>
      <c r="FSD159" s="252"/>
      <c r="FSK159" s="249"/>
      <c r="FSL159" s="249"/>
      <c r="FSM159" s="249"/>
      <c r="FSN159" s="249"/>
      <c r="FSO159" s="249"/>
      <c r="FSQ159" s="249"/>
      <c r="FSR159" s="250"/>
      <c r="FSS159" s="249"/>
      <c r="FST159" s="251"/>
      <c r="FSU159" s="252"/>
      <c r="FSV159" s="252"/>
      <c r="FSW159" s="253"/>
      <c r="FSX159" s="252"/>
      <c r="FTE159" s="249"/>
      <c r="FTF159" s="249"/>
      <c r="FTG159" s="249"/>
      <c r="FTH159" s="249"/>
      <c r="FTI159" s="249"/>
      <c r="FTK159" s="249"/>
      <c r="FTL159" s="250"/>
      <c r="FTM159" s="249"/>
      <c r="FTN159" s="251"/>
      <c r="FTO159" s="252"/>
      <c r="FTP159" s="252"/>
      <c r="FTQ159" s="253"/>
      <c r="FTR159" s="252"/>
      <c r="FTY159" s="249"/>
      <c r="FTZ159" s="249"/>
      <c r="FUA159" s="249"/>
      <c r="FUB159" s="249"/>
      <c r="FUC159" s="249"/>
      <c r="FUE159" s="249"/>
      <c r="FUF159" s="250"/>
      <c r="FUG159" s="249"/>
      <c r="FUH159" s="251"/>
      <c r="FUI159" s="252"/>
      <c r="FUJ159" s="252"/>
      <c r="FUK159" s="253"/>
      <c r="FUL159" s="252"/>
      <c r="FUS159" s="249"/>
      <c r="FUT159" s="249"/>
      <c r="FUU159" s="249"/>
      <c r="FUV159" s="249"/>
      <c r="FUW159" s="249"/>
      <c r="FUY159" s="249"/>
      <c r="FUZ159" s="250"/>
      <c r="FVA159" s="249"/>
      <c r="FVB159" s="251"/>
      <c r="FVC159" s="252"/>
      <c r="FVD159" s="252"/>
      <c r="FVE159" s="253"/>
      <c r="FVF159" s="252"/>
      <c r="FVM159" s="249"/>
      <c r="FVN159" s="249"/>
      <c r="FVO159" s="249"/>
      <c r="FVP159" s="249"/>
      <c r="FVQ159" s="249"/>
      <c r="FVS159" s="249"/>
      <c r="FVT159" s="250"/>
      <c r="FVU159" s="249"/>
      <c r="FVV159" s="251"/>
      <c r="FVW159" s="252"/>
      <c r="FVX159" s="252"/>
      <c r="FVY159" s="253"/>
      <c r="FVZ159" s="252"/>
      <c r="FWG159" s="249"/>
      <c r="FWH159" s="249"/>
      <c r="FWI159" s="249"/>
      <c r="FWJ159" s="249"/>
      <c r="FWK159" s="249"/>
      <c r="FWM159" s="249"/>
      <c r="FWN159" s="250"/>
      <c r="FWO159" s="249"/>
      <c r="FWP159" s="251"/>
      <c r="FWQ159" s="252"/>
      <c r="FWR159" s="252"/>
      <c r="FWS159" s="253"/>
      <c r="FWT159" s="252"/>
      <c r="FXA159" s="249"/>
      <c r="FXB159" s="249"/>
      <c r="FXC159" s="249"/>
      <c r="FXD159" s="249"/>
      <c r="FXE159" s="249"/>
      <c r="FXG159" s="249"/>
      <c r="FXH159" s="250"/>
      <c r="FXI159" s="249"/>
      <c r="FXJ159" s="251"/>
      <c r="FXK159" s="252"/>
      <c r="FXL159" s="252"/>
      <c r="FXM159" s="253"/>
      <c r="FXN159" s="252"/>
      <c r="FXU159" s="249"/>
      <c r="FXV159" s="249"/>
      <c r="FXW159" s="249"/>
      <c r="FXX159" s="249"/>
      <c r="FXY159" s="249"/>
      <c r="FYA159" s="249"/>
      <c r="FYB159" s="250"/>
      <c r="FYC159" s="249"/>
      <c r="FYD159" s="251"/>
      <c r="FYE159" s="252"/>
      <c r="FYF159" s="252"/>
      <c r="FYG159" s="253"/>
      <c r="FYH159" s="252"/>
      <c r="FYO159" s="249"/>
      <c r="FYP159" s="249"/>
      <c r="FYQ159" s="249"/>
      <c r="FYR159" s="249"/>
      <c r="FYS159" s="249"/>
      <c r="FYU159" s="249"/>
      <c r="FYV159" s="250"/>
      <c r="FYW159" s="249"/>
      <c r="FYX159" s="251"/>
      <c r="FYY159" s="252"/>
      <c r="FYZ159" s="252"/>
      <c r="FZA159" s="253"/>
      <c r="FZB159" s="252"/>
      <c r="FZI159" s="249"/>
      <c r="FZJ159" s="249"/>
      <c r="FZK159" s="249"/>
      <c r="FZL159" s="249"/>
      <c r="FZM159" s="249"/>
      <c r="FZO159" s="249"/>
      <c r="FZP159" s="250"/>
      <c r="FZQ159" s="249"/>
      <c r="FZR159" s="251"/>
      <c r="FZS159" s="252"/>
      <c r="FZT159" s="252"/>
      <c r="FZU159" s="253"/>
      <c r="FZV159" s="252"/>
      <c r="GAC159" s="249"/>
      <c r="GAD159" s="249"/>
      <c r="GAE159" s="249"/>
      <c r="GAF159" s="249"/>
      <c r="GAG159" s="249"/>
      <c r="GAI159" s="249"/>
      <c r="GAJ159" s="250"/>
      <c r="GAK159" s="249"/>
      <c r="GAL159" s="251"/>
      <c r="GAM159" s="252"/>
      <c r="GAN159" s="252"/>
      <c r="GAO159" s="253"/>
      <c r="GAP159" s="252"/>
      <c r="GAW159" s="249"/>
      <c r="GAX159" s="249"/>
      <c r="GAY159" s="249"/>
      <c r="GAZ159" s="249"/>
      <c r="GBA159" s="249"/>
      <c r="GBC159" s="249"/>
      <c r="GBD159" s="250"/>
      <c r="GBE159" s="249"/>
      <c r="GBF159" s="251"/>
      <c r="GBG159" s="252"/>
      <c r="GBH159" s="252"/>
      <c r="GBI159" s="253"/>
      <c r="GBJ159" s="252"/>
      <c r="GBQ159" s="249"/>
      <c r="GBR159" s="249"/>
      <c r="GBS159" s="249"/>
      <c r="GBT159" s="249"/>
      <c r="GBU159" s="249"/>
      <c r="GBW159" s="249"/>
      <c r="GBX159" s="250"/>
      <c r="GBY159" s="249"/>
      <c r="GBZ159" s="251"/>
      <c r="GCA159" s="252"/>
      <c r="GCB159" s="252"/>
      <c r="GCC159" s="253"/>
      <c r="GCD159" s="252"/>
      <c r="GCK159" s="249"/>
      <c r="GCL159" s="249"/>
      <c r="GCM159" s="249"/>
      <c r="GCN159" s="249"/>
      <c r="GCO159" s="249"/>
      <c r="GCQ159" s="249"/>
      <c r="GCR159" s="250"/>
      <c r="GCS159" s="249"/>
      <c r="GCT159" s="251"/>
      <c r="GCU159" s="252"/>
      <c r="GCV159" s="252"/>
      <c r="GCW159" s="253"/>
      <c r="GCX159" s="252"/>
      <c r="GDE159" s="249"/>
      <c r="GDF159" s="249"/>
      <c r="GDG159" s="249"/>
      <c r="GDH159" s="249"/>
      <c r="GDI159" s="249"/>
      <c r="GDK159" s="249"/>
      <c r="GDL159" s="250"/>
      <c r="GDM159" s="249"/>
      <c r="GDN159" s="251"/>
      <c r="GDO159" s="252"/>
      <c r="GDP159" s="252"/>
      <c r="GDQ159" s="253"/>
      <c r="GDR159" s="252"/>
      <c r="GDY159" s="249"/>
      <c r="GDZ159" s="249"/>
      <c r="GEA159" s="249"/>
      <c r="GEB159" s="249"/>
      <c r="GEC159" s="249"/>
      <c r="GEE159" s="249"/>
      <c r="GEF159" s="250"/>
      <c r="GEG159" s="249"/>
      <c r="GEH159" s="251"/>
      <c r="GEI159" s="252"/>
      <c r="GEJ159" s="252"/>
      <c r="GEK159" s="253"/>
      <c r="GEL159" s="252"/>
      <c r="GES159" s="249"/>
      <c r="GET159" s="249"/>
      <c r="GEU159" s="249"/>
      <c r="GEV159" s="249"/>
      <c r="GEW159" s="249"/>
      <c r="GEY159" s="249"/>
      <c r="GEZ159" s="250"/>
      <c r="GFA159" s="249"/>
      <c r="GFB159" s="251"/>
      <c r="GFC159" s="252"/>
      <c r="GFD159" s="252"/>
      <c r="GFE159" s="253"/>
      <c r="GFF159" s="252"/>
      <c r="GFM159" s="249"/>
      <c r="GFN159" s="249"/>
      <c r="GFO159" s="249"/>
      <c r="GFP159" s="249"/>
      <c r="GFQ159" s="249"/>
      <c r="GFS159" s="249"/>
      <c r="GFT159" s="250"/>
      <c r="GFU159" s="249"/>
      <c r="GFV159" s="251"/>
      <c r="GFW159" s="252"/>
      <c r="GFX159" s="252"/>
      <c r="GFY159" s="253"/>
      <c r="GFZ159" s="252"/>
      <c r="GGG159" s="249"/>
      <c r="GGH159" s="249"/>
      <c r="GGI159" s="249"/>
      <c r="GGJ159" s="249"/>
      <c r="GGK159" s="249"/>
      <c r="GGM159" s="249"/>
      <c r="GGN159" s="250"/>
      <c r="GGO159" s="249"/>
      <c r="GGP159" s="251"/>
      <c r="GGQ159" s="252"/>
      <c r="GGR159" s="252"/>
      <c r="GGS159" s="253"/>
      <c r="GGT159" s="252"/>
      <c r="GHA159" s="249"/>
      <c r="GHB159" s="249"/>
      <c r="GHC159" s="249"/>
      <c r="GHD159" s="249"/>
      <c r="GHE159" s="249"/>
      <c r="GHG159" s="249"/>
      <c r="GHH159" s="250"/>
      <c r="GHI159" s="249"/>
      <c r="GHJ159" s="251"/>
      <c r="GHK159" s="252"/>
      <c r="GHL159" s="252"/>
      <c r="GHM159" s="253"/>
      <c r="GHN159" s="252"/>
      <c r="GHU159" s="249"/>
      <c r="GHV159" s="249"/>
      <c r="GHW159" s="249"/>
      <c r="GHX159" s="249"/>
      <c r="GHY159" s="249"/>
      <c r="GIA159" s="249"/>
      <c r="GIB159" s="250"/>
      <c r="GIC159" s="249"/>
      <c r="GID159" s="251"/>
      <c r="GIE159" s="252"/>
      <c r="GIF159" s="252"/>
      <c r="GIG159" s="253"/>
      <c r="GIH159" s="252"/>
      <c r="GIO159" s="249"/>
      <c r="GIP159" s="249"/>
      <c r="GIQ159" s="249"/>
      <c r="GIR159" s="249"/>
      <c r="GIS159" s="249"/>
      <c r="GIU159" s="249"/>
      <c r="GIV159" s="250"/>
      <c r="GIW159" s="249"/>
      <c r="GIX159" s="251"/>
      <c r="GIY159" s="252"/>
      <c r="GIZ159" s="252"/>
      <c r="GJA159" s="253"/>
      <c r="GJB159" s="252"/>
      <c r="GJI159" s="249"/>
      <c r="GJJ159" s="249"/>
      <c r="GJK159" s="249"/>
      <c r="GJL159" s="249"/>
      <c r="GJM159" s="249"/>
      <c r="GJO159" s="249"/>
      <c r="GJP159" s="250"/>
      <c r="GJQ159" s="249"/>
      <c r="GJR159" s="251"/>
      <c r="GJS159" s="252"/>
      <c r="GJT159" s="252"/>
      <c r="GJU159" s="253"/>
      <c r="GJV159" s="252"/>
      <c r="GKC159" s="249"/>
      <c r="GKD159" s="249"/>
      <c r="GKE159" s="249"/>
      <c r="GKF159" s="249"/>
      <c r="GKG159" s="249"/>
      <c r="GKI159" s="249"/>
      <c r="GKJ159" s="250"/>
      <c r="GKK159" s="249"/>
      <c r="GKL159" s="251"/>
      <c r="GKM159" s="252"/>
      <c r="GKN159" s="252"/>
      <c r="GKO159" s="253"/>
      <c r="GKP159" s="252"/>
      <c r="GKW159" s="249"/>
      <c r="GKX159" s="249"/>
      <c r="GKY159" s="249"/>
      <c r="GKZ159" s="249"/>
      <c r="GLA159" s="249"/>
      <c r="GLC159" s="249"/>
      <c r="GLD159" s="250"/>
      <c r="GLE159" s="249"/>
      <c r="GLF159" s="251"/>
      <c r="GLG159" s="252"/>
      <c r="GLH159" s="252"/>
      <c r="GLI159" s="253"/>
      <c r="GLJ159" s="252"/>
      <c r="GLQ159" s="249"/>
      <c r="GLR159" s="249"/>
      <c r="GLS159" s="249"/>
      <c r="GLT159" s="249"/>
      <c r="GLU159" s="249"/>
      <c r="GLW159" s="249"/>
      <c r="GLX159" s="250"/>
      <c r="GLY159" s="249"/>
      <c r="GLZ159" s="251"/>
      <c r="GMA159" s="252"/>
      <c r="GMB159" s="252"/>
      <c r="GMC159" s="253"/>
      <c r="GMD159" s="252"/>
      <c r="GMK159" s="249"/>
      <c r="GML159" s="249"/>
      <c r="GMM159" s="249"/>
      <c r="GMN159" s="249"/>
      <c r="GMO159" s="249"/>
      <c r="GMQ159" s="249"/>
      <c r="GMR159" s="250"/>
      <c r="GMS159" s="249"/>
      <c r="GMT159" s="251"/>
      <c r="GMU159" s="252"/>
      <c r="GMV159" s="252"/>
      <c r="GMW159" s="253"/>
      <c r="GMX159" s="252"/>
      <c r="GNE159" s="249"/>
      <c r="GNF159" s="249"/>
      <c r="GNG159" s="249"/>
      <c r="GNH159" s="249"/>
      <c r="GNI159" s="249"/>
      <c r="GNK159" s="249"/>
      <c r="GNL159" s="250"/>
      <c r="GNM159" s="249"/>
      <c r="GNN159" s="251"/>
      <c r="GNO159" s="252"/>
      <c r="GNP159" s="252"/>
      <c r="GNQ159" s="253"/>
      <c r="GNR159" s="252"/>
      <c r="GNY159" s="249"/>
      <c r="GNZ159" s="249"/>
      <c r="GOA159" s="249"/>
      <c r="GOB159" s="249"/>
      <c r="GOC159" s="249"/>
      <c r="GOE159" s="249"/>
      <c r="GOF159" s="250"/>
      <c r="GOG159" s="249"/>
      <c r="GOH159" s="251"/>
      <c r="GOI159" s="252"/>
      <c r="GOJ159" s="252"/>
      <c r="GOK159" s="253"/>
      <c r="GOL159" s="252"/>
      <c r="GOS159" s="249"/>
      <c r="GOT159" s="249"/>
      <c r="GOU159" s="249"/>
      <c r="GOV159" s="249"/>
      <c r="GOW159" s="249"/>
      <c r="GOY159" s="249"/>
      <c r="GOZ159" s="250"/>
      <c r="GPA159" s="249"/>
      <c r="GPB159" s="251"/>
      <c r="GPC159" s="252"/>
      <c r="GPD159" s="252"/>
      <c r="GPE159" s="253"/>
      <c r="GPF159" s="252"/>
      <c r="GPM159" s="249"/>
      <c r="GPN159" s="249"/>
      <c r="GPO159" s="249"/>
      <c r="GPP159" s="249"/>
      <c r="GPQ159" s="249"/>
      <c r="GPS159" s="249"/>
      <c r="GPT159" s="250"/>
      <c r="GPU159" s="249"/>
      <c r="GPV159" s="251"/>
      <c r="GPW159" s="252"/>
      <c r="GPX159" s="252"/>
      <c r="GPY159" s="253"/>
      <c r="GPZ159" s="252"/>
      <c r="GQG159" s="249"/>
      <c r="GQH159" s="249"/>
      <c r="GQI159" s="249"/>
      <c r="GQJ159" s="249"/>
      <c r="GQK159" s="249"/>
      <c r="GQM159" s="249"/>
      <c r="GQN159" s="250"/>
      <c r="GQO159" s="249"/>
      <c r="GQP159" s="251"/>
      <c r="GQQ159" s="252"/>
      <c r="GQR159" s="252"/>
      <c r="GQS159" s="253"/>
      <c r="GQT159" s="252"/>
      <c r="GRA159" s="249"/>
      <c r="GRB159" s="249"/>
      <c r="GRC159" s="249"/>
      <c r="GRD159" s="249"/>
      <c r="GRE159" s="249"/>
      <c r="GRG159" s="249"/>
      <c r="GRH159" s="250"/>
      <c r="GRI159" s="249"/>
      <c r="GRJ159" s="251"/>
      <c r="GRK159" s="252"/>
      <c r="GRL159" s="252"/>
      <c r="GRM159" s="253"/>
      <c r="GRN159" s="252"/>
      <c r="GRU159" s="249"/>
      <c r="GRV159" s="249"/>
      <c r="GRW159" s="249"/>
      <c r="GRX159" s="249"/>
      <c r="GRY159" s="249"/>
      <c r="GSA159" s="249"/>
      <c r="GSB159" s="250"/>
      <c r="GSC159" s="249"/>
      <c r="GSD159" s="251"/>
      <c r="GSE159" s="252"/>
      <c r="GSF159" s="252"/>
      <c r="GSG159" s="253"/>
      <c r="GSH159" s="252"/>
      <c r="GSO159" s="249"/>
      <c r="GSP159" s="249"/>
      <c r="GSQ159" s="249"/>
      <c r="GSR159" s="249"/>
      <c r="GSS159" s="249"/>
      <c r="GSU159" s="249"/>
      <c r="GSV159" s="250"/>
      <c r="GSW159" s="249"/>
      <c r="GSX159" s="251"/>
      <c r="GSY159" s="252"/>
      <c r="GSZ159" s="252"/>
      <c r="GTA159" s="253"/>
      <c r="GTB159" s="252"/>
      <c r="GTI159" s="249"/>
      <c r="GTJ159" s="249"/>
      <c r="GTK159" s="249"/>
      <c r="GTL159" s="249"/>
      <c r="GTM159" s="249"/>
      <c r="GTO159" s="249"/>
      <c r="GTP159" s="250"/>
      <c r="GTQ159" s="249"/>
      <c r="GTR159" s="251"/>
      <c r="GTS159" s="252"/>
      <c r="GTT159" s="252"/>
      <c r="GTU159" s="253"/>
      <c r="GTV159" s="252"/>
      <c r="GUC159" s="249"/>
      <c r="GUD159" s="249"/>
      <c r="GUE159" s="249"/>
      <c r="GUF159" s="249"/>
      <c r="GUG159" s="249"/>
      <c r="GUI159" s="249"/>
      <c r="GUJ159" s="250"/>
      <c r="GUK159" s="249"/>
      <c r="GUL159" s="251"/>
      <c r="GUM159" s="252"/>
      <c r="GUN159" s="252"/>
      <c r="GUO159" s="253"/>
      <c r="GUP159" s="252"/>
      <c r="GUW159" s="249"/>
      <c r="GUX159" s="249"/>
      <c r="GUY159" s="249"/>
      <c r="GUZ159" s="249"/>
      <c r="GVA159" s="249"/>
      <c r="GVC159" s="249"/>
      <c r="GVD159" s="250"/>
      <c r="GVE159" s="249"/>
      <c r="GVF159" s="251"/>
      <c r="GVG159" s="252"/>
      <c r="GVH159" s="252"/>
      <c r="GVI159" s="253"/>
      <c r="GVJ159" s="252"/>
      <c r="GVQ159" s="249"/>
      <c r="GVR159" s="249"/>
      <c r="GVS159" s="249"/>
      <c r="GVT159" s="249"/>
      <c r="GVU159" s="249"/>
      <c r="GVW159" s="249"/>
      <c r="GVX159" s="250"/>
      <c r="GVY159" s="249"/>
      <c r="GVZ159" s="251"/>
      <c r="GWA159" s="252"/>
      <c r="GWB159" s="252"/>
      <c r="GWC159" s="253"/>
      <c r="GWD159" s="252"/>
      <c r="GWK159" s="249"/>
      <c r="GWL159" s="249"/>
      <c r="GWM159" s="249"/>
      <c r="GWN159" s="249"/>
      <c r="GWO159" s="249"/>
      <c r="GWQ159" s="249"/>
      <c r="GWR159" s="250"/>
      <c r="GWS159" s="249"/>
      <c r="GWT159" s="251"/>
      <c r="GWU159" s="252"/>
      <c r="GWV159" s="252"/>
      <c r="GWW159" s="253"/>
      <c r="GWX159" s="252"/>
      <c r="GXE159" s="249"/>
      <c r="GXF159" s="249"/>
      <c r="GXG159" s="249"/>
      <c r="GXH159" s="249"/>
      <c r="GXI159" s="249"/>
      <c r="GXK159" s="249"/>
      <c r="GXL159" s="250"/>
      <c r="GXM159" s="249"/>
      <c r="GXN159" s="251"/>
      <c r="GXO159" s="252"/>
      <c r="GXP159" s="252"/>
      <c r="GXQ159" s="253"/>
      <c r="GXR159" s="252"/>
      <c r="GXY159" s="249"/>
      <c r="GXZ159" s="249"/>
      <c r="GYA159" s="249"/>
      <c r="GYB159" s="249"/>
      <c r="GYC159" s="249"/>
      <c r="GYE159" s="249"/>
      <c r="GYF159" s="250"/>
      <c r="GYG159" s="249"/>
      <c r="GYH159" s="251"/>
      <c r="GYI159" s="252"/>
      <c r="GYJ159" s="252"/>
      <c r="GYK159" s="253"/>
      <c r="GYL159" s="252"/>
      <c r="GYS159" s="249"/>
      <c r="GYT159" s="249"/>
      <c r="GYU159" s="249"/>
      <c r="GYV159" s="249"/>
      <c r="GYW159" s="249"/>
      <c r="GYY159" s="249"/>
      <c r="GYZ159" s="250"/>
      <c r="GZA159" s="249"/>
      <c r="GZB159" s="251"/>
      <c r="GZC159" s="252"/>
      <c r="GZD159" s="252"/>
      <c r="GZE159" s="253"/>
      <c r="GZF159" s="252"/>
      <c r="GZM159" s="249"/>
      <c r="GZN159" s="249"/>
      <c r="GZO159" s="249"/>
      <c r="GZP159" s="249"/>
      <c r="GZQ159" s="249"/>
      <c r="GZS159" s="249"/>
      <c r="GZT159" s="250"/>
      <c r="GZU159" s="249"/>
      <c r="GZV159" s="251"/>
      <c r="GZW159" s="252"/>
      <c r="GZX159" s="252"/>
      <c r="GZY159" s="253"/>
      <c r="GZZ159" s="252"/>
      <c r="HAG159" s="249"/>
      <c r="HAH159" s="249"/>
      <c r="HAI159" s="249"/>
      <c r="HAJ159" s="249"/>
      <c r="HAK159" s="249"/>
      <c r="HAM159" s="249"/>
      <c r="HAN159" s="250"/>
      <c r="HAO159" s="249"/>
      <c r="HAP159" s="251"/>
      <c r="HAQ159" s="252"/>
      <c r="HAR159" s="252"/>
      <c r="HAS159" s="253"/>
      <c r="HAT159" s="252"/>
      <c r="HBA159" s="249"/>
      <c r="HBB159" s="249"/>
      <c r="HBC159" s="249"/>
      <c r="HBD159" s="249"/>
      <c r="HBE159" s="249"/>
      <c r="HBG159" s="249"/>
      <c r="HBH159" s="250"/>
      <c r="HBI159" s="249"/>
      <c r="HBJ159" s="251"/>
      <c r="HBK159" s="252"/>
      <c r="HBL159" s="252"/>
      <c r="HBM159" s="253"/>
      <c r="HBN159" s="252"/>
      <c r="HBU159" s="249"/>
      <c r="HBV159" s="249"/>
      <c r="HBW159" s="249"/>
      <c r="HBX159" s="249"/>
      <c r="HBY159" s="249"/>
      <c r="HCA159" s="249"/>
      <c r="HCB159" s="250"/>
      <c r="HCC159" s="249"/>
      <c r="HCD159" s="251"/>
      <c r="HCE159" s="252"/>
      <c r="HCF159" s="252"/>
      <c r="HCG159" s="253"/>
      <c r="HCH159" s="252"/>
      <c r="HCO159" s="249"/>
      <c r="HCP159" s="249"/>
      <c r="HCQ159" s="249"/>
      <c r="HCR159" s="249"/>
      <c r="HCS159" s="249"/>
      <c r="HCU159" s="249"/>
      <c r="HCV159" s="250"/>
      <c r="HCW159" s="249"/>
      <c r="HCX159" s="251"/>
      <c r="HCY159" s="252"/>
      <c r="HCZ159" s="252"/>
      <c r="HDA159" s="253"/>
      <c r="HDB159" s="252"/>
      <c r="HDI159" s="249"/>
      <c r="HDJ159" s="249"/>
      <c r="HDK159" s="249"/>
      <c r="HDL159" s="249"/>
      <c r="HDM159" s="249"/>
      <c r="HDO159" s="249"/>
      <c r="HDP159" s="250"/>
      <c r="HDQ159" s="249"/>
      <c r="HDR159" s="251"/>
      <c r="HDS159" s="252"/>
      <c r="HDT159" s="252"/>
      <c r="HDU159" s="253"/>
      <c r="HDV159" s="252"/>
      <c r="HEC159" s="249"/>
      <c r="HED159" s="249"/>
      <c r="HEE159" s="249"/>
      <c r="HEF159" s="249"/>
      <c r="HEG159" s="249"/>
      <c r="HEI159" s="249"/>
      <c r="HEJ159" s="250"/>
      <c r="HEK159" s="249"/>
      <c r="HEL159" s="251"/>
      <c r="HEM159" s="252"/>
      <c r="HEN159" s="252"/>
      <c r="HEO159" s="253"/>
      <c r="HEP159" s="252"/>
      <c r="HEW159" s="249"/>
      <c r="HEX159" s="249"/>
      <c r="HEY159" s="249"/>
      <c r="HEZ159" s="249"/>
      <c r="HFA159" s="249"/>
      <c r="HFC159" s="249"/>
      <c r="HFD159" s="250"/>
      <c r="HFE159" s="249"/>
      <c r="HFF159" s="251"/>
      <c r="HFG159" s="252"/>
      <c r="HFH159" s="252"/>
      <c r="HFI159" s="253"/>
      <c r="HFJ159" s="252"/>
      <c r="HFQ159" s="249"/>
      <c r="HFR159" s="249"/>
      <c r="HFS159" s="249"/>
      <c r="HFT159" s="249"/>
      <c r="HFU159" s="249"/>
      <c r="HFW159" s="249"/>
      <c r="HFX159" s="250"/>
      <c r="HFY159" s="249"/>
      <c r="HFZ159" s="251"/>
      <c r="HGA159" s="252"/>
      <c r="HGB159" s="252"/>
      <c r="HGC159" s="253"/>
      <c r="HGD159" s="252"/>
      <c r="HGK159" s="249"/>
      <c r="HGL159" s="249"/>
      <c r="HGM159" s="249"/>
      <c r="HGN159" s="249"/>
      <c r="HGO159" s="249"/>
      <c r="HGQ159" s="249"/>
      <c r="HGR159" s="250"/>
      <c r="HGS159" s="249"/>
      <c r="HGT159" s="251"/>
      <c r="HGU159" s="252"/>
      <c r="HGV159" s="252"/>
      <c r="HGW159" s="253"/>
      <c r="HGX159" s="252"/>
      <c r="HHE159" s="249"/>
      <c r="HHF159" s="249"/>
      <c r="HHG159" s="249"/>
      <c r="HHH159" s="249"/>
      <c r="HHI159" s="249"/>
      <c r="HHK159" s="249"/>
      <c r="HHL159" s="250"/>
      <c r="HHM159" s="249"/>
      <c r="HHN159" s="251"/>
      <c r="HHO159" s="252"/>
      <c r="HHP159" s="252"/>
      <c r="HHQ159" s="253"/>
      <c r="HHR159" s="252"/>
      <c r="HHY159" s="249"/>
      <c r="HHZ159" s="249"/>
      <c r="HIA159" s="249"/>
      <c r="HIB159" s="249"/>
      <c r="HIC159" s="249"/>
      <c r="HIE159" s="249"/>
      <c r="HIF159" s="250"/>
      <c r="HIG159" s="249"/>
      <c r="HIH159" s="251"/>
      <c r="HII159" s="252"/>
      <c r="HIJ159" s="252"/>
      <c r="HIK159" s="253"/>
      <c r="HIL159" s="252"/>
      <c r="HIS159" s="249"/>
      <c r="HIT159" s="249"/>
      <c r="HIU159" s="249"/>
      <c r="HIV159" s="249"/>
      <c r="HIW159" s="249"/>
      <c r="HIY159" s="249"/>
      <c r="HIZ159" s="250"/>
      <c r="HJA159" s="249"/>
      <c r="HJB159" s="251"/>
      <c r="HJC159" s="252"/>
      <c r="HJD159" s="252"/>
      <c r="HJE159" s="253"/>
      <c r="HJF159" s="252"/>
      <c r="HJM159" s="249"/>
      <c r="HJN159" s="249"/>
      <c r="HJO159" s="249"/>
      <c r="HJP159" s="249"/>
      <c r="HJQ159" s="249"/>
      <c r="HJS159" s="249"/>
      <c r="HJT159" s="250"/>
      <c r="HJU159" s="249"/>
      <c r="HJV159" s="251"/>
      <c r="HJW159" s="252"/>
      <c r="HJX159" s="252"/>
      <c r="HJY159" s="253"/>
      <c r="HJZ159" s="252"/>
      <c r="HKG159" s="249"/>
      <c r="HKH159" s="249"/>
      <c r="HKI159" s="249"/>
      <c r="HKJ159" s="249"/>
      <c r="HKK159" s="249"/>
      <c r="HKM159" s="249"/>
      <c r="HKN159" s="250"/>
      <c r="HKO159" s="249"/>
      <c r="HKP159" s="251"/>
      <c r="HKQ159" s="252"/>
      <c r="HKR159" s="252"/>
      <c r="HKS159" s="253"/>
      <c r="HKT159" s="252"/>
      <c r="HLA159" s="249"/>
      <c r="HLB159" s="249"/>
      <c r="HLC159" s="249"/>
      <c r="HLD159" s="249"/>
      <c r="HLE159" s="249"/>
      <c r="HLG159" s="249"/>
      <c r="HLH159" s="250"/>
      <c r="HLI159" s="249"/>
      <c r="HLJ159" s="251"/>
      <c r="HLK159" s="252"/>
      <c r="HLL159" s="252"/>
      <c r="HLM159" s="253"/>
      <c r="HLN159" s="252"/>
      <c r="HLU159" s="249"/>
      <c r="HLV159" s="249"/>
      <c r="HLW159" s="249"/>
      <c r="HLX159" s="249"/>
      <c r="HLY159" s="249"/>
      <c r="HMA159" s="249"/>
      <c r="HMB159" s="250"/>
      <c r="HMC159" s="249"/>
      <c r="HMD159" s="251"/>
      <c r="HME159" s="252"/>
      <c r="HMF159" s="252"/>
      <c r="HMG159" s="253"/>
      <c r="HMH159" s="252"/>
      <c r="HMO159" s="249"/>
      <c r="HMP159" s="249"/>
      <c r="HMQ159" s="249"/>
      <c r="HMR159" s="249"/>
      <c r="HMS159" s="249"/>
      <c r="HMU159" s="249"/>
      <c r="HMV159" s="250"/>
      <c r="HMW159" s="249"/>
      <c r="HMX159" s="251"/>
      <c r="HMY159" s="252"/>
      <c r="HMZ159" s="252"/>
      <c r="HNA159" s="253"/>
      <c r="HNB159" s="252"/>
      <c r="HNI159" s="249"/>
      <c r="HNJ159" s="249"/>
      <c r="HNK159" s="249"/>
      <c r="HNL159" s="249"/>
      <c r="HNM159" s="249"/>
      <c r="HNO159" s="249"/>
      <c r="HNP159" s="250"/>
      <c r="HNQ159" s="249"/>
      <c r="HNR159" s="251"/>
      <c r="HNS159" s="252"/>
      <c r="HNT159" s="252"/>
      <c r="HNU159" s="253"/>
      <c r="HNV159" s="252"/>
      <c r="HOC159" s="249"/>
      <c r="HOD159" s="249"/>
      <c r="HOE159" s="249"/>
      <c r="HOF159" s="249"/>
      <c r="HOG159" s="249"/>
      <c r="HOI159" s="249"/>
      <c r="HOJ159" s="250"/>
      <c r="HOK159" s="249"/>
      <c r="HOL159" s="251"/>
      <c r="HOM159" s="252"/>
      <c r="HON159" s="252"/>
      <c r="HOO159" s="253"/>
      <c r="HOP159" s="252"/>
      <c r="HOW159" s="249"/>
      <c r="HOX159" s="249"/>
      <c r="HOY159" s="249"/>
      <c r="HOZ159" s="249"/>
      <c r="HPA159" s="249"/>
      <c r="HPC159" s="249"/>
      <c r="HPD159" s="250"/>
      <c r="HPE159" s="249"/>
      <c r="HPF159" s="251"/>
      <c r="HPG159" s="252"/>
      <c r="HPH159" s="252"/>
      <c r="HPI159" s="253"/>
      <c r="HPJ159" s="252"/>
      <c r="HPQ159" s="249"/>
      <c r="HPR159" s="249"/>
      <c r="HPS159" s="249"/>
      <c r="HPT159" s="249"/>
      <c r="HPU159" s="249"/>
      <c r="HPW159" s="249"/>
      <c r="HPX159" s="250"/>
      <c r="HPY159" s="249"/>
      <c r="HPZ159" s="251"/>
      <c r="HQA159" s="252"/>
      <c r="HQB159" s="252"/>
      <c r="HQC159" s="253"/>
      <c r="HQD159" s="252"/>
      <c r="HQK159" s="249"/>
      <c r="HQL159" s="249"/>
      <c r="HQM159" s="249"/>
      <c r="HQN159" s="249"/>
      <c r="HQO159" s="249"/>
      <c r="HQQ159" s="249"/>
      <c r="HQR159" s="250"/>
      <c r="HQS159" s="249"/>
      <c r="HQT159" s="251"/>
      <c r="HQU159" s="252"/>
      <c r="HQV159" s="252"/>
      <c r="HQW159" s="253"/>
      <c r="HQX159" s="252"/>
      <c r="HRE159" s="249"/>
      <c r="HRF159" s="249"/>
      <c r="HRG159" s="249"/>
      <c r="HRH159" s="249"/>
      <c r="HRI159" s="249"/>
      <c r="HRK159" s="249"/>
      <c r="HRL159" s="250"/>
      <c r="HRM159" s="249"/>
      <c r="HRN159" s="251"/>
      <c r="HRO159" s="252"/>
      <c r="HRP159" s="252"/>
      <c r="HRQ159" s="253"/>
      <c r="HRR159" s="252"/>
      <c r="HRY159" s="249"/>
      <c r="HRZ159" s="249"/>
      <c r="HSA159" s="249"/>
      <c r="HSB159" s="249"/>
      <c r="HSC159" s="249"/>
      <c r="HSE159" s="249"/>
      <c r="HSF159" s="250"/>
      <c r="HSG159" s="249"/>
      <c r="HSH159" s="251"/>
      <c r="HSI159" s="252"/>
      <c r="HSJ159" s="252"/>
      <c r="HSK159" s="253"/>
      <c r="HSL159" s="252"/>
      <c r="HSS159" s="249"/>
      <c r="HST159" s="249"/>
      <c r="HSU159" s="249"/>
      <c r="HSV159" s="249"/>
      <c r="HSW159" s="249"/>
      <c r="HSY159" s="249"/>
      <c r="HSZ159" s="250"/>
      <c r="HTA159" s="249"/>
      <c r="HTB159" s="251"/>
      <c r="HTC159" s="252"/>
      <c r="HTD159" s="252"/>
      <c r="HTE159" s="253"/>
      <c r="HTF159" s="252"/>
      <c r="HTM159" s="249"/>
      <c r="HTN159" s="249"/>
      <c r="HTO159" s="249"/>
      <c r="HTP159" s="249"/>
      <c r="HTQ159" s="249"/>
      <c r="HTS159" s="249"/>
      <c r="HTT159" s="250"/>
      <c r="HTU159" s="249"/>
      <c r="HTV159" s="251"/>
      <c r="HTW159" s="252"/>
      <c r="HTX159" s="252"/>
      <c r="HTY159" s="253"/>
      <c r="HTZ159" s="252"/>
      <c r="HUG159" s="249"/>
      <c r="HUH159" s="249"/>
      <c r="HUI159" s="249"/>
      <c r="HUJ159" s="249"/>
      <c r="HUK159" s="249"/>
      <c r="HUM159" s="249"/>
      <c r="HUN159" s="250"/>
      <c r="HUO159" s="249"/>
      <c r="HUP159" s="251"/>
      <c r="HUQ159" s="252"/>
      <c r="HUR159" s="252"/>
      <c r="HUS159" s="253"/>
      <c r="HUT159" s="252"/>
      <c r="HVA159" s="249"/>
      <c r="HVB159" s="249"/>
      <c r="HVC159" s="249"/>
      <c r="HVD159" s="249"/>
      <c r="HVE159" s="249"/>
      <c r="HVG159" s="249"/>
      <c r="HVH159" s="250"/>
      <c r="HVI159" s="249"/>
      <c r="HVJ159" s="251"/>
      <c r="HVK159" s="252"/>
      <c r="HVL159" s="252"/>
      <c r="HVM159" s="253"/>
      <c r="HVN159" s="252"/>
      <c r="HVU159" s="249"/>
      <c r="HVV159" s="249"/>
      <c r="HVW159" s="249"/>
      <c r="HVX159" s="249"/>
      <c r="HVY159" s="249"/>
      <c r="HWA159" s="249"/>
      <c r="HWB159" s="250"/>
      <c r="HWC159" s="249"/>
      <c r="HWD159" s="251"/>
      <c r="HWE159" s="252"/>
      <c r="HWF159" s="252"/>
      <c r="HWG159" s="253"/>
      <c r="HWH159" s="252"/>
      <c r="HWO159" s="249"/>
      <c r="HWP159" s="249"/>
      <c r="HWQ159" s="249"/>
      <c r="HWR159" s="249"/>
      <c r="HWS159" s="249"/>
      <c r="HWU159" s="249"/>
      <c r="HWV159" s="250"/>
      <c r="HWW159" s="249"/>
      <c r="HWX159" s="251"/>
      <c r="HWY159" s="252"/>
      <c r="HWZ159" s="252"/>
      <c r="HXA159" s="253"/>
      <c r="HXB159" s="252"/>
      <c r="HXI159" s="249"/>
      <c r="HXJ159" s="249"/>
      <c r="HXK159" s="249"/>
      <c r="HXL159" s="249"/>
      <c r="HXM159" s="249"/>
      <c r="HXO159" s="249"/>
      <c r="HXP159" s="250"/>
      <c r="HXQ159" s="249"/>
      <c r="HXR159" s="251"/>
      <c r="HXS159" s="252"/>
      <c r="HXT159" s="252"/>
      <c r="HXU159" s="253"/>
      <c r="HXV159" s="252"/>
      <c r="HYC159" s="249"/>
      <c r="HYD159" s="249"/>
      <c r="HYE159" s="249"/>
      <c r="HYF159" s="249"/>
      <c r="HYG159" s="249"/>
      <c r="HYI159" s="249"/>
      <c r="HYJ159" s="250"/>
      <c r="HYK159" s="249"/>
      <c r="HYL159" s="251"/>
      <c r="HYM159" s="252"/>
      <c r="HYN159" s="252"/>
      <c r="HYO159" s="253"/>
      <c r="HYP159" s="252"/>
      <c r="HYW159" s="249"/>
      <c r="HYX159" s="249"/>
      <c r="HYY159" s="249"/>
      <c r="HYZ159" s="249"/>
      <c r="HZA159" s="249"/>
      <c r="HZC159" s="249"/>
      <c r="HZD159" s="250"/>
      <c r="HZE159" s="249"/>
      <c r="HZF159" s="251"/>
      <c r="HZG159" s="252"/>
      <c r="HZH159" s="252"/>
      <c r="HZI159" s="253"/>
      <c r="HZJ159" s="252"/>
      <c r="HZQ159" s="249"/>
      <c r="HZR159" s="249"/>
      <c r="HZS159" s="249"/>
      <c r="HZT159" s="249"/>
      <c r="HZU159" s="249"/>
      <c r="HZW159" s="249"/>
      <c r="HZX159" s="250"/>
      <c r="HZY159" s="249"/>
      <c r="HZZ159" s="251"/>
      <c r="IAA159" s="252"/>
      <c r="IAB159" s="252"/>
      <c r="IAC159" s="253"/>
      <c r="IAD159" s="252"/>
      <c r="IAK159" s="249"/>
      <c r="IAL159" s="249"/>
      <c r="IAM159" s="249"/>
      <c r="IAN159" s="249"/>
      <c r="IAO159" s="249"/>
      <c r="IAQ159" s="249"/>
      <c r="IAR159" s="250"/>
      <c r="IAS159" s="249"/>
      <c r="IAT159" s="251"/>
      <c r="IAU159" s="252"/>
      <c r="IAV159" s="252"/>
      <c r="IAW159" s="253"/>
      <c r="IAX159" s="252"/>
      <c r="IBE159" s="249"/>
      <c r="IBF159" s="249"/>
      <c r="IBG159" s="249"/>
      <c r="IBH159" s="249"/>
      <c r="IBI159" s="249"/>
      <c r="IBK159" s="249"/>
      <c r="IBL159" s="250"/>
      <c r="IBM159" s="249"/>
      <c r="IBN159" s="251"/>
      <c r="IBO159" s="252"/>
      <c r="IBP159" s="252"/>
      <c r="IBQ159" s="253"/>
      <c r="IBR159" s="252"/>
      <c r="IBY159" s="249"/>
      <c r="IBZ159" s="249"/>
      <c r="ICA159" s="249"/>
      <c r="ICB159" s="249"/>
      <c r="ICC159" s="249"/>
      <c r="ICE159" s="249"/>
      <c r="ICF159" s="250"/>
      <c r="ICG159" s="249"/>
      <c r="ICH159" s="251"/>
      <c r="ICI159" s="252"/>
      <c r="ICJ159" s="252"/>
      <c r="ICK159" s="253"/>
      <c r="ICL159" s="252"/>
      <c r="ICS159" s="249"/>
      <c r="ICT159" s="249"/>
      <c r="ICU159" s="249"/>
      <c r="ICV159" s="249"/>
      <c r="ICW159" s="249"/>
      <c r="ICY159" s="249"/>
      <c r="ICZ159" s="250"/>
      <c r="IDA159" s="249"/>
      <c r="IDB159" s="251"/>
      <c r="IDC159" s="252"/>
      <c r="IDD159" s="252"/>
      <c r="IDE159" s="253"/>
      <c r="IDF159" s="252"/>
      <c r="IDM159" s="249"/>
      <c r="IDN159" s="249"/>
      <c r="IDO159" s="249"/>
      <c r="IDP159" s="249"/>
      <c r="IDQ159" s="249"/>
      <c r="IDS159" s="249"/>
      <c r="IDT159" s="250"/>
      <c r="IDU159" s="249"/>
      <c r="IDV159" s="251"/>
      <c r="IDW159" s="252"/>
      <c r="IDX159" s="252"/>
      <c r="IDY159" s="253"/>
      <c r="IDZ159" s="252"/>
      <c r="IEG159" s="249"/>
      <c r="IEH159" s="249"/>
      <c r="IEI159" s="249"/>
      <c r="IEJ159" s="249"/>
      <c r="IEK159" s="249"/>
      <c r="IEM159" s="249"/>
      <c r="IEN159" s="250"/>
      <c r="IEO159" s="249"/>
      <c r="IEP159" s="251"/>
      <c r="IEQ159" s="252"/>
      <c r="IER159" s="252"/>
      <c r="IES159" s="253"/>
      <c r="IET159" s="252"/>
      <c r="IFA159" s="249"/>
      <c r="IFB159" s="249"/>
      <c r="IFC159" s="249"/>
      <c r="IFD159" s="249"/>
      <c r="IFE159" s="249"/>
      <c r="IFG159" s="249"/>
      <c r="IFH159" s="250"/>
      <c r="IFI159" s="249"/>
      <c r="IFJ159" s="251"/>
      <c r="IFK159" s="252"/>
      <c r="IFL159" s="252"/>
      <c r="IFM159" s="253"/>
      <c r="IFN159" s="252"/>
      <c r="IFU159" s="249"/>
      <c r="IFV159" s="249"/>
      <c r="IFW159" s="249"/>
      <c r="IFX159" s="249"/>
      <c r="IFY159" s="249"/>
      <c r="IGA159" s="249"/>
      <c r="IGB159" s="250"/>
      <c r="IGC159" s="249"/>
      <c r="IGD159" s="251"/>
      <c r="IGE159" s="252"/>
      <c r="IGF159" s="252"/>
      <c r="IGG159" s="253"/>
      <c r="IGH159" s="252"/>
      <c r="IGO159" s="249"/>
      <c r="IGP159" s="249"/>
      <c r="IGQ159" s="249"/>
      <c r="IGR159" s="249"/>
      <c r="IGS159" s="249"/>
      <c r="IGU159" s="249"/>
      <c r="IGV159" s="250"/>
      <c r="IGW159" s="249"/>
      <c r="IGX159" s="251"/>
      <c r="IGY159" s="252"/>
      <c r="IGZ159" s="252"/>
      <c r="IHA159" s="253"/>
      <c r="IHB159" s="252"/>
      <c r="IHI159" s="249"/>
      <c r="IHJ159" s="249"/>
      <c r="IHK159" s="249"/>
      <c r="IHL159" s="249"/>
      <c r="IHM159" s="249"/>
      <c r="IHO159" s="249"/>
      <c r="IHP159" s="250"/>
      <c r="IHQ159" s="249"/>
      <c r="IHR159" s="251"/>
      <c r="IHS159" s="252"/>
      <c r="IHT159" s="252"/>
      <c r="IHU159" s="253"/>
      <c r="IHV159" s="252"/>
      <c r="IIC159" s="249"/>
      <c r="IID159" s="249"/>
      <c r="IIE159" s="249"/>
      <c r="IIF159" s="249"/>
      <c r="IIG159" s="249"/>
      <c r="III159" s="249"/>
      <c r="IIJ159" s="250"/>
      <c r="IIK159" s="249"/>
      <c r="IIL159" s="251"/>
      <c r="IIM159" s="252"/>
      <c r="IIN159" s="252"/>
      <c r="IIO159" s="253"/>
      <c r="IIP159" s="252"/>
      <c r="IIW159" s="249"/>
      <c r="IIX159" s="249"/>
      <c r="IIY159" s="249"/>
      <c r="IIZ159" s="249"/>
      <c r="IJA159" s="249"/>
      <c r="IJC159" s="249"/>
      <c r="IJD159" s="250"/>
      <c r="IJE159" s="249"/>
      <c r="IJF159" s="251"/>
      <c r="IJG159" s="252"/>
      <c r="IJH159" s="252"/>
      <c r="IJI159" s="253"/>
      <c r="IJJ159" s="252"/>
      <c r="IJQ159" s="249"/>
      <c r="IJR159" s="249"/>
      <c r="IJS159" s="249"/>
      <c r="IJT159" s="249"/>
      <c r="IJU159" s="249"/>
      <c r="IJW159" s="249"/>
      <c r="IJX159" s="250"/>
      <c r="IJY159" s="249"/>
      <c r="IJZ159" s="251"/>
      <c r="IKA159" s="252"/>
      <c r="IKB159" s="252"/>
      <c r="IKC159" s="253"/>
      <c r="IKD159" s="252"/>
      <c r="IKK159" s="249"/>
      <c r="IKL159" s="249"/>
      <c r="IKM159" s="249"/>
      <c r="IKN159" s="249"/>
      <c r="IKO159" s="249"/>
      <c r="IKQ159" s="249"/>
      <c r="IKR159" s="250"/>
      <c r="IKS159" s="249"/>
      <c r="IKT159" s="251"/>
      <c r="IKU159" s="252"/>
      <c r="IKV159" s="252"/>
      <c r="IKW159" s="253"/>
      <c r="IKX159" s="252"/>
      <c r="ILE159" s="249"/>
      <c r="ILF159" s="249"/>
      <c r="ILG159" s="249"/>
      <c r="ILH159" s="249"/>
      <c r="ILI159" s="249"/>
      <c r="ILK159" s="249"/>
      <c r="ILL159" s="250"/>
      <c r="ILM159" s="249"/>
      <c r="ILN159" s="251"/>
      <c r="ILO159" s="252"/>
      <c r="ILP159" s="252"/>
      <c r="ILQ159" s="253"/>
      <c r="ILR159" s="252"/>
      <c r="ILY159" s="249"/>
      <c r="ILZ159" s="249"/>
      <c r="IMA159" s="249"/>
      <c r="IMB159" s="249"/>
      <c r="IMC159" s="249"/>
      <c r="IME159" s="249"/>
      <c r="IMF159" s="250"/>
      <c r="IMG159" s="249"/>
      <c r="IMH159" s="251"/>
      <c r="IMI159" s="252"/>
      <c r="IMJ159" s="252"/>
      <c r="IMK159" s="253"/>
      <c r="IML159" s="252"/>
      <c r="IMS159" s="249"/>
      <c r="IMT159" s="249"/>
      <c r="IMU159" s="249"/>
      <c r="IMV159" s="249"/>
      <c r="IMW159" s="249"/>
      <c r="IMY159" s="249"/>
      <c r="IMZ159" s="250"/>
      <c r="INA159" s="249"/>
      <c r="INB159" s="251"/>
      <c r="INC159" s="252"/>
      <c r="IND159" s="252"/>
      <c r="INE159" s="253"/>
      <c r="INF159" s="252"/>
      <c r="INM159" s="249"/>
      <c r="INN159" s="249"/>
      <c r="INO159" s="249"/>
      <c r="INP159" s="249"/>
      <c r="INQ159" s="249"/>
      <c r="INS159" s="249"/>
      <c r="INT159" s="250"/>
      <c r="INU159" s="249"/>
      <c r="INV159" s="251"/>
      <c r="INW159" s="252"/>
      <c r="INX159" s="252"/>
      <c r="INY159" s="253"/>
      <c r="INZ159" s="252"/>
      <c r="IOG159" s="249"/>
      <c r="IOH159" s="249"/>
      <c r="IOI159" s="249"/>
      <c r="IOJ159" s="249"/>
      <c r="IOK159" s="249"/>
      <c r="IOM159" s="249"/>
      <c r="ION159" s="250"/>
      <c r="IOO159" s="249"/>
      <c r="IOP159" s="251"/>
      <c r="IOQ159" s="252"/>
      <c r="IOR159" s="252"/>
      <c r="IOS159" s="253"/>
      <c r="IOT159" s="252"/>
      <c r="IPA159" s="249"/>
      <c r="IPB159" s="249"/>
      <c r="IPC159" s="249"/>
      <c r="IPD159" s="249"/>
      <c r="IPE159" s="249"/>
      <c r="IPG159" s="249"/>
      <c r="IPH159" s="250"/>
      <c r="IPI159" s="249"/>
      <c r="IPJ159" s="251"/>
      <c r="IPK159" s="252"/>
      <c r="IPL159" s="252"/>
      <c r="IPM159" s="253"/>
      <c r="IPN159" s="252"/>
      <c r="IPU159" s="249"/>
      <c r="IPV159" s="249"/>
      <c r="IPW159" s="249"/>
      <c r="IPX159" s="249"/>
      <c r="IPY159" s="249"/>
      <c r="IQA159" s="249"/>
      <c r="IQB159" s="250"/>
      <c r="IQC159" s="249"/>
      <c r="IQD159" s="251"/>
      <c r="IQE159" s="252"/>
      <c r="IQF159" s="252"/>
      <c r="IQG159" s="253"/>
      <c r="IQH159" s="252"/>
      <c r="IQO159" s="249"/>
      <c r="IQP159" s="249"/>
      <c r="IQQ159" s="249"/>
      <c r="IQR159" s="249"/>
      <c r="IQS159" s="249"/>
      <c r="IQU159" s="249"/>
      <c r="IQV159" s="250"/>
      <c r="IQW159" s="249"/>
      <c r="IQX159" s="251"/>
      <c r="IQY159" s="252"/>
      <c r="IQZ159" s="252"/>
      <c r="IRA159" s="253"/>
      <c r="IRB159" s="252"/>
      <c r="IRI159" s="249"/>
      <c r="IRJ159" s="249"/>
      <c r="IRK159" s="249"/>
      <c r="IRL159" s="249"/>
      <c r="IRM159" s="249"/>
      <c r="IRO159" s="249"/>
      <c r="IRP159" s="250"/>
      <c r="IRQ159" s="249"/>
      <c r="IRR159" s="251"/>
      <c r="IRS159" s="252"/>
      <c r="IRT159" s="252"/>
      <c r="IRU159" s="253"/>
      <c r="IRV159" s="252"/>
      <c r="ISC159" s="249"/>
      <c r="ISD159" s="249"/>
      <c r="ISE159" s="249"/>
      <c r="ISF159" s="249"/>
      <c r="ISG159" s="249"/>
      <c r="ISI159" s="249"/>
      <c r="ISJ159" s="250"/>
      <c r="ISK159" s="249"/>
      <c r="ISL159" s="251"/>
      <c r="ISM159" s="252"/>
      <c r="ISN159" s="252"/>
      <c r="ISO159" s="253"/>
      <c r="ISP159" s="252"/>
      <c r="ISW159" s="249"/>
      <c r="ISX159" s="249"/>
      <c r="ISY159" s="249"/>
      <c r="ISZ159" s="249"/>
      <c r="ITA159" s="249"/>
      <c r="ITC159" s="249"/>
      <c r="ITD159" s="250"/>
      <c r="ITE159" s="249"/>
      <c r="ITF159" s="251"/>
      <c r="ITG159" s="252"/>
      <c r="ITH159" s="252"/>
      <c r="ITI159" s="253"/>
      <c r="ITJ159" s="252"/>
      <c r="ITQ159" s="249"/>
      <c r="ITR159" s="249"/>
      <c r="ITS159" s="249"/>
      <c r="ITT159" s="249"/>
      <c r="ITU159" s="249"/>
      <c r="ITW159" s="249"/>
      <c r="ITX159" s="250"/>
      <c r="ITY159" s="249"/>
      <c r="ITZ159" s="251"/>
      <c r="IUA159" s="252"/>
      <c r="IUB159" s="252"/>
      <c r="IUC159" s="253"/>
      <c r="IUD159" s="252"/>
      <c r="IUK159" s="249"/>
      <c r="IUL159" s="249"/>
      <c r="IUM159" s="249"/>
      <c r="IUN159" s="249"/>
      <c r="IUO159" s="249"/>
      <c r="IUQ159" s="249"/>
      <c r="IUR159" s="250"/>
      <c r="IUS159" s="249"/>
      <c r="IUT159" s="251"/>
      <c r="IUU159" s="252"/>
      <c r="IUV159" s="252"/>
      <c r="IUW159" s="253"/>
      <c r="IUX159" s="252"/>
      <c r="IVE159" s="249"/>
      <c r="IVF159" s="249"/>
      <c r="IVG159" s="249"/>
      <c r="IVH159" s="249"/>
      <c r="IVI159" s="249"/>
      <c r="IVK159" s="249"/>
      <c r="IVL159" s="250"/>
      <c r="IVM159" s="249"/>
      <c r="IVN159" s="251"/>
      <c r="IVO159" s="252"/>
      <c r="IVP159" s="252"/>
      <c r="IVQ159" s="253"/>
      <c r="IVR159" s="252"/>
      <c r="IVY159" s="249"/>
      <c r="IVZ159" s="249"/>
      <c r="IWA159" s="249"/>
      <c r="IWB159" s="249"/>
      <c r="IWC159" s="249"/>
      <c r="IWE159" s="249"/>
      <c r="IWF159" s="250"/>
      <c r="IWG159" s="249"/>
      <c r="IWH159" s="251"/>
      <c r="IWI159" s="252"/>
      <c r="IWJ159" s="252"/>
      <c r="IWK159" s="253"/>
      <c r="IWL159" s="252"/>
      <c r="IWS159" s="249"/>
      <c r="IWT159" s="249"/>
      <c r="IWU159" s="249"/>
      <c r="IWV159" s="249"/>
      <c r="IWW159" s="249"/>
      <c r="IWY159" s="249"/>
      <c r="IWZ159" s="250"/>
      <c r="IXA159" s="249"/>
      <c r="IXB159" s="251"/>
      <c r="IXC159" s="252"/>
      <c r="IXD159" s="252"/>
      <c r="IXE159" s="253"/>
      <c r="IXF159" s="252"/>
      <c r="IXM159" s="249"/>
      <c r="IXN159" s="249"/>
      <c r="IXO159" s="249"/>
      <c r="IXP159" s="249"/>
      <c r="IXQ159" s="249"/>
      <c r="IXS159" s="249"/>
      <c r="IXT159" s="250"/>
      <c r="IXU159" s="249"/>
      <c r="IXV159" s="251"/>
      <c r="IXW159" s="252"/>
      <c r="IXX159" s="252"/>
      <c r="IXY159" s="253"/>
      <c r="IXZ159" s="252"/>
      <c r="IYG159" s="249"/>
      <c r="IYH159" s="249"/>
      <c r="IYI159" s="249"/>
      <c r="IYJ159" s="249"/>
      <c r="IYK159" s="249"/>
      <c r="IYM159" s="249"/>
      <c r="IYN159" s="250"/>
      <c r="IYO159" s="249"/>
      <c r="IYP159" s="251"/>
      <c r="IYQ159" s="252"/>
      <c r="IYR159" s="252"/>
      <c r="IYS159" s="253"/>
      <c r="IYT159" s="252"/>
      <c r="IZA159" s="249"/>
      <c r="IZB159" s="249"/>
      <c r="IZC159" s="249"/>
      <c r="IZD159" s="249"/>
      <c r="IZE159" s="249"/>
      <c r="IZG159" s="249"/>
      <c r="IZH159" s="250"/>
      <c r="IZI159" s="249"/>
      <c r="IZJ159" s="251"/>
      <c r="IZK159" s="252"/>
      <c r="IZL159" s="252"/>
      <c r="IZM159" s="253"/>
      <c r="IZN159" s="252"/>
      <c r="IZU159" s="249"/>
      <c r="IZV159" s="249"/>
      <c r="IZW159" s="249"/>
      <c r="IZX159" s="249"/>
      <c r="IZY159" s="249"/>
      <c r="JAA159" s="249"/>
      <c r="JAB159" s="250"/>
      <c r="JAC159" s="249"/>
      <c r="JAD159" s="251"/>
      <c r="JAE159" s="252"/>
      <c r="JAF159" s="252"/>
      <c r="JAG159" s="253"/>
      <c r="JAH159" s="252"/>
      <c r="JAO159" s="249"/>
      <c r="JAP159" s="249"/>
      <c r="JAQ159" s="249"/>
      <c r="JAR159" s="249"/>
      <c r="JAS159" s="249"/>
      <c r="JAU159" s="249"/>
      <c r="JAV159" s="250"/>
      <c r="JAW159" s="249"/>
      <c r="JAX159" s="251"/>
      <c r="JAY159" s="252"/>
      <c r="JAZ159" s="252"/>
      <c r="JBA159" s="253"/>
      <c r="JBB159" s="252"/>
      <c r="JBI159" s="249"/>
      <c r="JBJ159" s="249"/>
      <c r="JBK159" s="249"/>
      <c r="JBL159" s="249"/>
      <c r="JBM159" s="249"/>
      <c r="JBO159" s="249"/>
      <c r="JBP159" s="250"/>
      <c r="JBQ159" s="249"/>
      <c r="JBR159" s="251"/>
      <c r="JBS159" s="252"/>
      <c r="JBT159" s="252"/>
      <c r="JBU159" s="253"/>
      <c r="JBV159" s="252"/>
      <c r="JCC159" s="249"/>
      <c r="JCD159" s="249"/>
      <c r="JCE159" s="249"/>
      <c r="JCF159" s="249"/>
      <c r="JCG159" s="249"/>
      <c r="JCI159" s="249"/>
      <c r="JCJ159" s="250"/>
      <c r="JCK159" s="249"/>
      <c r="JCL159" s="251"/>
      <c r="JCM159" s="252"/>
      <c r="JCN159" s="252"/>
      <c r="JCO159" s="253"/>
      <c r="JCP159" s="252"/>
      <c r="JCW159" s="249"/>
      <c r="JCX159" s="249"/>
      <c r="JCY159" s="249"/>
      <c r="JCZ159" s="249"/>
      <c r="JDA159" s="249"/>
      <c r="JDC159" s="249"/>
      <c r="JDD159" s="250"/>
      <c r="JDE159" s="249"/>
      <c r="JDF159" s="251"/>
      <c r="JDG159" s="252"/>
      <c r="JDH159" s="252"/>
      <c r="JDI159" s="253"/>
      <c r="JDJ159" s="252"/>
      <c r="JDQ159" s="249"/>
      <c r="JDR159" s="249"/>
      <c r="JDS159" s="249"/>
      <c r="JDT159" s="249"/>
      <c r="JDU159" s="249"/>
      <c r="JDW159" s="249"/>
      <c r="JDX159" s="250"/>
      <c r="JDY159" s="249"/>
      <c r="JDZ159" s="251"/>
      <c r="JEA159" s="252"/>
      <c r="JEB159" s="252"/>
      <c r="JEC159" s="253"/>
      <c r="JED159" s="252"/>
      <c r="JEK159" s="249"/>
      <c r="JEL159" s="249"/>
      <c r="JEM159" s="249"/>
      <c r="JEN159" s="249"/>
      <c r="JEO159" s="249"/>
      <c r="JEQ159" s="249"/>
      <c r="JER159" s="250"/>
      <c r="JES159" s="249"/>
      <c r="JET159" s="251"/>
      <c r="JEU159" s="252"/>
      <c r="JEV159" s="252"/>
      <c r="JEW159" s="253"/>
      <c r="JEX159" s="252"/>
      <c r="JFE159" s="249"/>
      <c r="JFF159" s="249"/>
      <c r="JFG159" s="249"/>
      <c r="JFH159" s="249"/>
      <c r="JFI159" s="249"/>
      <c r="JFK159" s="249"/>
      <c r="JFL159" s="250"/>
      <c r="JFM159" s="249"/>
      <c r="JFN159" s="251"/>
      <c r="JFO159" s="252"/>
      <c r="JFP159" s="252"/>
      <c r="JFQ159" s="253"/>
      <c r="JFR159" s="252"/>
      <c r="JFY159" s="249"/>
      <c r="JFZ159" s="249"/>
      <c r="JGA159" s="249"/>
      <c r="JGB159" s="249"/>
      <c r="JGC159" s="249"/>
      <c r="JGE159" s="249"/>
      <c r="JGF159" s="250"/>
      <c r="JGG159" s="249"/>
      <c r="JGH159" s="251"/>
      <c r="JGI159" s="252"/>
      <c r="JGJ159" s="252"/>
      <c r="JGK159" s="253"/>
      <c r="JGL159" s="252"/>
      <c r="JGS159" s="249"/>
      <c r="JGT159" s="249"/>
      <c r="JGU159" s="249"/>
      <c r="JGV159" s="249"/>
      <c r="JGW159" s="249"/>
      <c r="JGY159" s="249"/>
      <c r="JGZ159" s="250"/>
      <c r="JHA159" s="249"/>
      <c r="JHB159" s="251"/>
      <c r="JHC159" s="252"/>
      <c r="JHD159" s="252"/>
      <c r="JHE159" s="253"/>
      <c r="JHF159" s="252"/>
      <c r="JHM159" s="249"/>
      <c r="JHN159" s="249"/>
      <c r="JHO159" s="249"/>
      <c r="JHP159" s="249"/>
      <c r="JHQ159" s="249"/>
      <c r="JHS159" s="249"/>
      <c r="JHT159" s="250"/>
      <c r="JHU159" s="249"/>
      <c r="JHV159" s="251"/>
      <c r="JHW159" s="252"/>
      <c r="JHX159" s="252"/>
      <c r="JHY159" s="253"/>
      <c r="JHZ159" s="252"/>
      <c r="JIG159" s="249"/>
      <c r="JIH159" s="249"/>
      <c r="JII159" s="249"/>
      <c r="JIJ159" s="249"/>
      <c r="JIK159" s="249"/>
      <c r="JIM159" s="249"/>
      <c r="JIN159" s="250"/>
      <c r="JIO159" s="249"/>
      <c r="JIP159" s="251"/>
      <c r="JIQ159" s="252"/>
      <c r="JIR159" s="252"/>
      <c r="JIS159" s="253"/>
      <c r="JIT159" s="252"/>
      <c r="JJA159" s="249"/>
      <c r="JJB159" s="249"/>
      <c r="JJC159" s="249"/>
      <c r="JJD159" s="249"/>
      <c r="JJE159" s="249"/>
      <c r="JJG159" s="249"/>
      <c r="JJH159" s="250"/>
      <c r="JJI159" s="249"/>
      <c r="JJJ159" s="251"/>
      <c r="JJK159" s="252"/>
      <c r="JJL159" s="252"/>
      <c r="JJM159" s="253"/>
      <c r="JJN159" s="252"/>
      <c r="JJU159" s="249"/>
      <c r="JJV159" s="249"/>
      <c r="JJW159" s="249"/>
      <c r="JJX159" s="249"/>
      <c r="JJY159" s="249"/>
      <c r="JKA159" s="249"/>
      <c r="JKB159" s="250"/>
      <c r="JKC159" s="249"/>
      <c r="JKD159" s="251"/>
      <c r="JKE159" s="252"/>
      <c r="JKF159" s="252"/>
      <c r="JKG159" s="253"/>
      <c r="JKH159" s="252"/>
      <c r="JKO159" s="249"/>
      <c r="JKP159" s="249"/>
      <c r="JKQ159" s="249"/>
      <c r="JKR159" s="249"/>
      <c r="JKS159" s="249"/>
      <c r="JKU159" s="249"/>
      <c r="JKV159" s="250"/>
      <c r="JKW159" s="249"/>
      <c r="JKX159" s="251"/>
      <c r="JKY159" s="252"/>
      <c r="JKZ159" s="252"/>
      <c r="JLA159" s="253"/>
      <c r="JLB159" s="252"/>
      <c r="JLI159" s="249"/>
      <c r="JLJ159" s="249"/>
      <c r="JLK159" s="249"/>
      <c r="JLL159" s="249"/>
      <c r="JLM159" s="249"/>
      <c r="JLO159" s="249"/>
      <c r="JLP159" s="250"/>
      <c r="JLQ159" s="249"/>
      <c r="JLR159" s="251"/>
      <c r="JLS159" s="252"/>
      <c r="JLT159" s="252"/>
      <c r="JLU159" s="253"/>
      <c r="JLV159" s="252"/>
      <c r="JMC159" s="249"/>
      <c r="JMD159" s="249"/>
      <c r="JME159" s="249"/>
      <c r="JMF159" s="249"/>
      <c r="JMG159" s="249"/>
      <c r="JMI159" s="249"/>
      <c r="JMJ159" s="250"/>
      <c r="JMK159" s="249"/>
      <c r="JML159" s="251"/>
      <c r="JMM159" s="252"/>
      <c r="JMN159" s="252"/>
      <c r="JMO159" s="253"/>
      <c r="JMP159" s="252"/>
      <c r="JMW159" s="249"/>
      <c r="JMX159" s="249"/>
      <c r="JMY159" s="249"/>
      <c r="JMZ159" s="249"/>
      <c r="JNA159" s="249"/>
      <c r="JNC159" s="249"/>
      <c r="JND159" s="250"/>
      <c r="JNE159" s="249"/>
      <c r="JNF159" s="251"/>
      <c r="JNG159" s="252"/>
      <c r="JNH159" s="252"/>
      <c r="JNI159" s="253"/>
      <c r="JNJ159" s="252"/>
      <c r="JNQ159" s="249"/>
      <c r="JNR159" s="249"/>
      <c r="JNS159" s="249"/>
      <c r="JNT159" s="249"/>
      <c r="JNU159" s="249"/>
      <c r="JNW159" s="249"/>
      <c r="JNX159" s="250"/>
      <c r="JNY159" s="249"/>
      <c r="JNZ159" s="251"/>
      <c r="JOA159" s="252"/>
      <c r="JOB159" s="252"/>
      <c r="JOC159" s="253"/>
      <c r="JOD159" s="252"/>
      <c r="JOK159" s="249"/>
      <c r="JOL159" s="249"/>
      <c r="JOM159" s="249"/>
      <c r="JON159" s="249"/>
      <c r="JOO159" s="249"/>
      <c r="JOQ159" s="249"/>
      <c r="JOR159" s="250"/>
      <c r="JOS159" s="249"/>
      <c r="JOT159" s="251"/>
      <c r="JOU159" s="252"/>
      <c r="JOV159" s="252"/>
      <c r="JOW159" s="253"/>
      <c r="JOX159" s="252"/>
      <c r="JPE159" s="249"/>
      <c r="JPF159" s="249"/>
      <c r="JPG159" s="249"/>
      <c r="JPH159" s="249"/>
      <c r="JPI159" s="249"/>
      <c r="JPK159" s="249"/>
      <c r="JPL159" s="250"/>
      <c r="JPM159" s="249"/>
      <c r="JPN159" s="251"/>
      <c r="JPO159" s="252"/>
      <c r="JPP159" s="252"/>
      <c r="JPQ159" s="253"/>
      <c r="JPR159" s="252"/>
      <c r="JPY159" s="249"/>
      <c r="JPZ159" s="249"/>
      <c r="JQA159" s="249"/>
      <c r="JQB159" s="249"/>
      <c r="JQC159" s="249"/>
      <c r="JQE159" s="249"/>
      <c r="JQF159" s="250"/>
      <c r="JQG159" s="249"/>
      <c r="JQH159" s="251"/>
      <c r="JQI159" s="252"/>
      <c r="JQJ159" s="252"/>
      <c r="JQK159" s="253"/>
      <c r="JQL159" s="252"/>
      <c r="JQS159" s="249"/>
      <c r="JQT159" s="249"/>
      <c r="JQU159" s="249"/>
      <c r="JQV159" s="249"/>
      <c r="JQW159" s="249"/>
      <c r="JQY159" s="249"/>
      <c r="JQZ159" s="250"/>
      <c r="JRA159" s="249"/>
      <c r="JRB159" s="251"/>
      <c r="JRC159" s="252"/>
      <c r="JRD159" s="252"/>
      <c r="JRE159" s="253"/>
      <c r="JRF159" s="252"/>
      <c r="JRM159" s="249"/>
      <c r="JRN159" s="249"/>
      <c r="JRO159" s="249"/>
      <c r="JRP159" s="249"/>
      <c r="JRQ159" s="249"/>
      <c r="JRS159" s="249"/>
      <c r="JRT159" s="250"/>
      <c r="JRU159" s="249"/>
      <c r="JRV159" s="251"/>
      <c r="JRW159" s="252"/>
      <c r="JRX159" s="252"/>
      <c r="JRY159" s="253"/>
      <c r="JRZ159" s="252"/>
      <c r="JSG159" s="249"/>
      <c r="JSH159" s="249"/>
      <c r="JSI159" s="249"/>
      <c r="JSJ159" s="249"/>
      <c r="JSK159" s="249"/>
      <c r="JSM159" s="249"/>
      <c r="JSN159" s="250"/>
      <c r="JSO159" s="249"/>
      <c r="JSP159" s="251"/>
      <c r="JSQ159" s="252"/>
      <c r="JSR159" s="252"/>
      <c r="JSS159" s="253"/>
      <c r="JST159" s="252"/>
      <c r="JTA159" s="249"/>
      <c r="JTB159" s="249"/>
      <c r="JTC159" s="249"/>
      <c r="JTD159" s="249"/>
      <c r="JTE159" s="249"/>
      <c r="JTG159" s="249"/>
      <c r="JTH159" s="250"/>
      <c r="JTI159" s="249"/>
      <c r="JTJ159" s="251"/>
      <c r="JTK159" s="252"/>
      <c r="JTL159" s="252"/>
      <c r="JTM159" s="253"/>
      <c r="JTN159" s="252"/>
      <c r="JTU159" s="249"/>
      <c r="JTV159" s="249"/>
      <c r="JTW159" s="249"/>
      <c r="JTX159" s="249"/>
      <c r="JTY159" s="249"/>
      <c r="JUA159" s="249"/>
      <c r="JUB159" s="250"/>
      <c r="JUC159" s="249"/>
      <c r="JUD159" s="251"/>
      <c r="JUE159" s="252"/>
      <c r="JUF159" s="252"/>
      <c r="JUG159" s="253"/>
      <c r="JUH159" s="252"/>
      <c r="JUO159" s="249"/>
      <c r="JUP159" s="249"/>
      <c r="JUQ159" s="249"/>
      <c r="JUR159" s="249"/>
      <c r="JUS159" s="249"/>
      <c r="JUU159" s="249"/>
      <c r="JUV159" s="250"/>
      <c r="JUW159" s="249"/>
      <c r="JUX159" s="251"/>
      <c r="JUY159" s="252"/>
      <c r="JUZ159" s="252"/>
      <c r="JVA159" s="253"/>
      <c r="JVB159" s="252"/>
      <c r="JVI159" s="249"/>
      <c r="JVJ159" s="249"/>
      <c r="JVK159" s="249"/>
      <c r="JVL159" s="249"/>
      <c r="JVM159" s="249"/>
      <c r="JVO159" s="249"/>
      <c r="JVP159" s="250"/>
      <c r="JVQ159" s="249"/>
      <c r="JVR159" s="251"/>
      <c r="JVS159" s="252"/>
      <c r="JVT159" s="252"/>
      <c r="JVU159" s="253"/>
      <c r="JVV159" s="252"/>
      <c r="JWC159" s="249"/>
      <c r="JWD159" s="249"/>
      <c r="JWE159" s="249"/>
      <c r="JWF159" s="249"/>
      <c r="JWG159" s="249"/>
      <c r="JWI159" s="249"/>
      <c r="JWJ159" s="250"/>
      <c r="JWK159" s="249"/>
      <c r="JWL159" s="251"/>
      <c r="JWM159" s="252"/>
      <c r="JWN159" s="252"/>
      <c r="JWO159" s="253"/>
      <c r="JWP159" s="252"/>
      <c r="JWW159" s="249"/>
      <c r="JWX159" s="249"/>
      <c r="JWY159" s="249"/>
      <c r="JWZ159" s="249"/>
      <c r="JXA159" s="249"/>
      <c r="JXC159" s="249"/>
      <c r="JXD159" s="250"/>
      <c r="JXE159" s="249"/>
      <c r="JXF159" s="251"/>
      <c r="JXG159" s="252"/>
      <c r="JXH159" s="252"/>
      <c r="JXI159" s="253"/>
      <c r="JXJ159" s="252"/>
      <c r="JXQ159" s="249"/>
      <c r="JXR159" s="249"/>
      <c r="JXS159" s="249"/>
      <c r="JXT159" s="249"/>
      <c r="JXU159" s="249"/>
      <c r="JXW159" s="249"/>
      <c r="JXX159" s="250"/>
      <c r="JXY159" s="249"/>
      <c r="JXZ159" s="251"/>
      <c r="JYA159" s="252"/>
      <c r="JYB159" s="252"/>
      <c r="JYC159" s="253"/>
      <c r="JYD159" s="252"/>
      <c r="JYK159" s="249"/>
      <c r="JYL159" s="249"/>
      <c r="JYM159" s="249"/>
      <c r="JYN159" s="249"/>
      <c r="JYO159" s="249"/>
      <c r="JYQ159" s="249"/>
      <c r="JYR159" s="250"/>
      <c r="JYS159" s="249"/>
      <c r="JYT159" s="251"/>
      <c r="JYU159" s="252"/>
      <c r="JYV159" s="252"/>
      <c r="JYW159" s="253"/>
      <c r="JYX159" s="252"/>
      <c r="JZE159" s="249"/>
      <c r="JZF159" s="249"/>
      <c r="JZG159" s="249"/>
      <c r="JZH159" s="249"/>
      <c r="JZI159" s="249"/>
      <c r="JZK159" s="249"/>
      <c r="JZL159" s="250"/>
      <c r="JZM159" s="249"/>
      <c r="JZN159" s="251"/>
      <c r="JZO159" s="252"/>
      <c r="JZP159" s="252"/>
      <c r="JZQ159" s="253"/>
      <c r="JZR159" s="252"/>
      <c r="JZY159" s="249"/>
      <c r="JZZ159" s="249"/>
      <c r="KAA159" s="249"/>
      <c r="KAB159" s="249"/>
      <c r="KAC159" s="249"/>
      <c r="KAE159" s="249"/>
      <c r="KAF159" s="250"/>
      <c r="KAG159" s="249"/>
      <c r="KAH159" s="251"/>
      <c r="KAI159" s="252"/>
      <c r="KAJ159" s="252"/>
      <c r="KAK159" s="253"/>
      <c r="KAL159" s="252"/>
      <c r="KAS159" s="249"/>
      <c r="KAT159" s="249"/>
      <c r="KAU159" s="249"/>
      <c r="KAV159" s="249"/>
      <c r="KAW159" s="249"/>
      <c r="KAY159" s="249"/>
      <c r="KAZ159" s="250"/>
      <c r="KBA159" s="249"/>
      <c r="KBB159" s="251"/>
      <c r="KBC159" s="252"/>
      <c r="KBD159" s="252"/>
      <c r="KBE159" s="253"/>
      <c r="KBF159" s="252"/>
      <c r="KBM159" s="249"/>
      <c r="KBN159" s="249"/>
      <c r="KBO159" s="249"/>
      <c r="KBP159" s="249"/>
      <c r="KBQ159" s="249"/>
      <c r="KBS159" s="249"/>
      <c r="KBT159" s="250"/>
      <c r="KBU159" s="249"/>
      <c r="KBV159" s="251"/>
      <c r="KBW159" s="252"/>
      <c r="KBX159" s="252"/>
      <c r="KBY159" s="253"/>
      <c r="KBZ159" s="252"/>
      <c r="KCG159" s="249"/>
      <c r="KCH159" s="249"/>
      <c r="KCI159" s="249"/>
      <c r="KCJ159" s="249"/>
      <c r="KCK159" s="249"/>
      <c r="KCM159" s="249"/>
      <c r="KCN159" s="250"/>
      <c r="KCO159" s="249"/>
      <c r="KCP159" s="251"/>
      <c r="KCQ159" s="252"/>
      <c r="KCR159" s="252"/>
      <c r="KCS159" s="253"/>
      <c r="KCT159" s="252"/>
      <c r="KDA159" s="249"/>
      <c r="KDB159" s="249"/>
      <c r="KDC159" s="249"/>
      <c r="KDD159" s="249"/>
      <c r="KDE159" s="249"/>
      <c r="KDG159" s="249"/>
      <c r="KDH159" s="250"/>
      <c r="KDI159" s="249"/>
      <c r="KDJ159" s="251"/>
      <c r="KDK159" s="252"/>
      <c r="KDL159" s="252"/>
      <c r="KDM159" s="253"/>
      <c r="KDN159" s="252"/>
      <c r="KDU159" s="249"/>
      <c r="KDV159" s="249"/>
      <c r="KDW159" s="249"/>
      <c r="KDX159" s="249"/>
      <c r="KDY159" s="249"/>
      <c r="KEA159" s="249"/>
      <c r="KEB159" s="250"/>
      <c r="KEC159" s="249"/>
      <c r="KED159" s="251"/>
      <c r="KEE159" s="252"/>
      <c r="KEF159" s="252"/>
      <c r="KEG159" s="253"/>
      <c r="KEH159" s="252"/>
      <c r="KEO159" s="249"/>
      <c r="KEP159" s="249"/>
      <c r="KEQ159" s="249"/>
      <c r="KER159" s="249"/>
      <c r="KES159" s="249"/>
      <c r="KEU159" s="249"/>
      <c r="KEV159" s="250"/>
      <c r="KEW159" s="249"/>
      <c r="KEX159" s="251"/>
      <c r="KEY159" s="252"/>
      <c r="KEZ159" s="252"/>
      <c r="KFA159" s="253"/>
      <c r="KFB159" s="252"/>
      <c r="KFI159" s="249"/>
      <c r="KFJ159" s="249"/>
      <c r="KFK159" s="249"/>
      <c r="KFL159" s="249"/>
      <c r="KFM159" s="249"/>
      <c r="KFO159" s="249"/>
      <c r="KFP159" s="250"/>
      <c r="KFQ159" s="249"/>
      <c r="KFR159" s="251"/>
      <c r="KFS159" s="252"/>
      <c r="KFT159" s="252"/>
      <c r="KFU159" s="253"/>
      <c r="KFV159" s="252"/>
      <c r="KGC159" s="249"/>
      <c r="KGD159" s="249"/>
      <c r="KGE159" s="249"/>
      <c r="KGF159" s="249"/>
      <c r="KGG159" s="249"/>
      <c r="KGI159" s="249"/>
      <c r="KGJ159" s="250"/>
      <c r="KGK159" s="249"/>
      <c r="KGL159" s="251"/>
      <c r="KGM159" s="252"/>
      <c r="KGN159" s="252"/>
      <c r="KGO159" s="253"/>
      <c r="KGP159" s="252"/>
      <c r="KGW159" s="249"/>
      <c r="KGX159" s="249"/>
      <c r="KGY159" s="249"/>
      <c r="KGZ159" s="249"/>
      <c r="KHA159" s="249"/>
      <c r="KHC159" s="249"/>
      <c r="KHD159" s="250"/>
      <c r="KHE159" s="249"/>
      <c r="KHF159" s="251"/>
      <c r="KHG159" s="252"/>
      <c r="KHH159" s="252"/>
      <c r="KHI159" s="253"/>
      <c r="KHJ159" s="252"/>
      <c r="KHQ159" s="249"/>
      <c r="KHR159" s="249"/>
      <c r="KHS159" s="249"/>
      <c r="KHT159" s="249"/>
      <c r="KHU159" s="249"/>
      <c r="KHW159" s="249"/>
      <c r="KHX159" s="250"/>
      <c r="KHY159" s="249"/>
      <c r="KHZ159" s="251"/>
      <c r="KIA159" s="252"/>
      <c r="KIB159" s="252"/>
      <c r="KIC159" s="253"/>
      <c r="KID159" s="252"/>
      <c r="KIK159" s="249"/>
      <c r="KIL159" s="249"/>
      <c r="KIM159" s="249"/>
      <c r="KIN159" s="249"/>
      <c r="KIO159" s="249"/>
      <c r="KIQ159" s="249"/>
      <c r="KIR159" s="250"/>
      <c r="KIS159" s="249"/>
      <c r="KIT159" s="251"/>
      <c r="KIU159" s="252"/>
      <c r="KIV159" s="252"/>
      <c r="KIW159" s="253"/>
      <c r="KIX159" s="252"/>
      <c r="KJE159" s="249"/>
      <c r="KJF159" s="249"/>
      <c r="KJG159" s="249"/>
      <c r="KJH159" s="249"/>
      <c r="KJI159" s="249"/>
      <c r="KJK159" s="249"/>
      <c r="KJL159" s="250"/>
      <c r="KJM159" s="249"/>
      <c r="KJN159" s="251"/>
      <c r="KJO159" s="252"/>
      <c r="KJP159" s="252"/>
      <c r="KJQ159" s="253"/>
      <c r="KJR159" s="252"/>
      <c r="KJY159" s="249"/>
      <c r="KJZ159" s="249"/>
      <c r="KKA159" s="249"/>
      <c r="KKB159" s="249"/>
      <c r="KKC159" s="249"/>
      <c r="KKE159" s="249"/>
      <c r="KKF159" s="250"/>
      <c r="KKG159" s="249"/>
      <c r="KKH159" s="251"/>
      <c r="KKI159" s="252"/>
      <c r="KKJ159" s="252"/>
      <c r="KKK159" s="253"/>
      <c r="KKL159" s="252"/>
      <c r="KKS159" s="249"/>
      <c r="KKT159" s="249"/>
      <c r="KKU159" s="249"/>
      <c r="KKV159" s="249"/>
      <c r="KKW159" s="249"/>
      <c r="KKY159" s="249"/>
      <c r="KKZ159" s="250"/>
      <c r="KLA159" s="249"/>
      <c r="KLB159" s="251"/>
      <c r="KLC159" s="252"/>
      <c r="KLD159" s="252"/>
      <c r="KLE159" s="253"/>
      <c r="KLF159" s="252"/>
      <c r="KLM159" s="249"/>
      <c r="KLN159" s="249"/>
      <c r="KLO159" s="249"/>
      <c r="KLP159" s="249"/>
      <c r="KLQ159" s="249"/>
      <c r="KLS159" s="249"/>
      <c r="KLT159" s="250"/>
      <c r="KLU159" s="249"/>
      <c r="KLV159" s="251"/>
      <c r="KLW159" s="252"/>
      <c r="KLX159" s="252"/>
      <c r="KLY159" s="253"/>
      <c r="KLZ159" s="252"/>
      <c r="KMG159" s="249"/>
      <c r="KMH159" s="249"/>
      <c r="KMI159" s="249"/>
      <c r="KMJ159" s="249"/>
      <c r="KMK159" s="249"/>
      <c r="KMM159" s="249"/>
      <c r="KMN159" s="250"/>
      <c r="KMO159" s="249"/>
      <c r="KMP159" s="251"/>
      <c r="KMQ159" s="252"/>
      <c r="KMR159" s="252"/>
      <c r="KMS159" s="253"/>
      <c r="KMT159" s="252"/>
      <c r="KNA159" s="249"/>
      <c r="KNB159" s="249"/>
      <c r="KNC159" s="249"/>
      <c r="KND159" s="249"/>
      <c r="KNE159" s="249"/>
      <c r="KNG159" s="249"/>
      <c r="KNH159" s="250"/>
      <c r="KNI159" s="249"/>
      <c r="KNJ159" s="251"/>
      <c r="KNK159" s="252"/>
      <c r="KNL159" s="252"/>
      <c r="KNM159" s="253"/>
      <c r="KNN159" s="252"/>
      <c r="KNU159" s="249"/>
      <c r="KNV159" s="249"/>
      <c r="KNW159" s="249"/>
      <c r="KNX159" s="249"/>
      <c r="KNY159" s="249"/>
      <c r="KOA159" s="249"/>
      <c r="KOB159" s="250"/>
      <c r="KOC159" s="249"/>
      <c r="KOD159" s="251"/>
      <c r="KOE159" s="252"/>
      <c r="KOF159" s="252"/>
      <c r="KOG159" s="253"/>
      <c r="KOH159" s="252"/>
      <c r="KOO159" s="249"/>
      <c r="KOP159" s="249"/>
      <c r="KOQ159" s="249"/>
      <c r="KOR159" s="249"/>
      <c r="KOS159" s="249"/>
      <c r="KOU159" s="249"/>
      <c r="KOV159" s="250"/>
      <c r="KOW159" s="249"/>
      <c r="KOX159" s="251"/>
      <c r="KOY159" s="252"/>
      <c r="KOZ159" s="252"/>
      <c r="KPA159" s="253"/>
      <c r="KPB159" s="252"/>
      <c r="KPI159" s="249"/>
      <c r="KPJ159" s="249"/>
      <c r="KPK159" s="249"/>
      <c r="KPL159" s="249"/>
      <c r="KPM159" s="249"/>
      <c r="KPO159" s="249"/>
      <c r="KPP159" s="250"/>
      <c r="KPQ159" s="249"/>
      <c r="KPR159" s="251"/>
      <c r="KPS159" s="252"/>
      <c r="KPT159" s="252"/>
      <c r="KPU159" s="253"/>
      <c r="KPV159" s="252"/>
      <c r="KQC159" s="249"/>
      <c r="KQD159" s="249"/>
      <c r="KQE159" s="249"/>
      <c r="KQF159" s="249"/>
      <c r="KQG159" s="249"/>
      <c r="KQI159" s="249"/>
      <c r="KQJ159" s="250"/>
      <c r="KQK159" s="249"/>
      <c r="KQL159" s="251"/>
      <c r="KQM159" s="252"/>
      <c r="KQN159" s="252"/>
      <c r="KQO159" s="253"/>
      <c r="KQP159" s="252"/>
      <c r="KQW159" s="249"/>
      <c r="KQX159" s="249"/>
      <c r="KQY159" s="249"/>
      <c r="KQZ159" s="249"/>
      <c r="KRA159" s="249"/>
      <c r="KRC159" s="249"/>
      <c r="KRD159" s="250"/>
      <c r="KRE159" s="249"/>
      <c r="KRF159" s="251"/>
      <c r="KRG159" s="252"/>
      <c r="KRH159" s="252"/>
      <c r="KRI159" s="253"/>
      <c r="KRJ159" s="252"/>
      <c r="KRQ159" s="249"/>
      <c r="KRR159" s="249"/>
      <c r="KRS159" s="249"/>
      <c r="KRT159" s="249"/>
      <c r="KRU159" s="249"/>
      <c r="KRW159" s="249"/>
      <c r="KRX159" s="250"/>
      <c r="KRY159" s="249"/>
      <c r="KRZ159" s="251"/>
      <c r="KSA159" s="252"/>
      <c r="KSB159" s="252"/>
      <c r="KSC159" s="253"/>
      <c r="KSD159" s="252"/>
      <c r="KSK159" s="249"/>
      <c r="KSL159" s="249"/>
      <c r="KSM159" s="249"/>
      <c r="KSN159" s="249"/>
      <c r="KSO159" s="249"/>
      <c r="KSQ159" s="249"/>
      <c r="KSR159" s="250"/>
      <c r="KSS159" s="249"/>
      <c r="KST159" s="251"/>
      <c r="KSU159" s="252"/>
      <c r="KSV159" s="252"/>
      <c r="KSW159" s="253"/>
      <c r="KSX159" s="252"/>
      <c r="KTE159" s="249"/>
      <c r="KTF159" s="249"/>
      <c r="KTG159" s="249"/>
      <c r="KTH159" s="249"/>
      <c r="KTI159" s="249"/>
      <c r="KTK159" s="249"/>
      <c r="KTL159" s="250"/>
      <c r="KTM159" s="249"/>
      <c r="KTN159" s="251"/>
      <c r="KTO159" s="252"/>
      <c r="KTP159" s="252"/>
      <c r="KTQ159" s="253"/>
      <c r="KTR159" s="252"/>
      <c r="KTY159" s="249"/>
      <c r="KTZ159" s="249"/>
      <c r="KUA159" s="249"/>
      <c r="KUB159" s="249"/>
      <c r="KUC159" s="249"/>
      <c r="KUE159" s="249"/>
      <c r="KUF159" s="250"/>
      <c r="KUG159" s="249"/>
      <c r="KUH159" s="251"/>
      <c r="KUI159" s="252"/>
      <c r="KUJ159" s="252"/>
      <c r="KUK159" s="253"/>
      <c r="KUL159" s="252"/>
      <c r="KUS159" s="249"/>
      <c r="KUT159" s="249"/>
      <c r="KUU159" s="249"/>
      <c r="KUV159" s="249"/>
      <c r="KUW159" s="249"/>
      <c r="KUY159" s="249"/>
      <c r="KUZ159" s="250"/>
      <c r="KVA159" s="249"/>
      <c r="KVB159" s="251"/>
      <c r="KVC159" s="252"/>
      <c r="KVD159" s="252"/>
      <c r="KVE159" s="253"/>
      <c r="KVF159" s="252"/>
      <c r="KVM159" s="249"/>
      <c r="KVN159" s="249"/>
      <c r="KVO159" s="249"/>
      <c r="KVP159" s="249"/>
      <c r="KVQ159" s="249"/>
      <c r="KVS159" s="249"/>
      <c r="KVT159" s="250"/>
      <c r="KVU159" s="249"/>
      <c r="KVV159" s="251"/>
      <c r="KVW159" s="252"/>
      <c r="KVX159" s="252"/>
      <c r="KVY159" s="253"/>
      <c r="KVZ159" s="252"/>
      <c r="KWG159" s="249"/>
      <c r="KWH159" s="249"/>
      <c r="KWI159" s="249"/>
      <c r="KWJ159" s="249"/>
      <c r="KWK159" s="249"/>
      <c r="KWM159" s="249"/>
      <c r="KWN159" s="250"/>
      <c r="KWO159" s="249"/>
      <c r="KWP159" s="251"/>
      <c r="KWQ159" s="252"/>
      <c r="KWR159" s="252"/>
      <c r="KWS159" s="253"/>
      <c r="KWT159" s="252"/>
      <c r="KXA159" s="249"/>
      <c r="KXB159" s="249"/>
      <c r="KXC159" s="249"/>
      <c r="KXD159" s="249"/>
      <c r="KXE159" s="249"/>
      <c r="KXG159" s="249"/>
      <c r="KXH159" s="250"/>
      <c r="KXI159" s="249"/>
      <c r="KXJ159" s="251"/>
      <c r="KXK159" s="252"/>
      <c r="KXL159" s="252"/>
      <c r="KXM159" s="253"/>
      <c r="KXN159" s="252"/>
      <c r="KXU159" s="249"/>
      <c r="KXV159" s="249"/>
      <c r="KXW159" s="249"/>
      <c r="KXX159" s="249"/>
      <c r="KXY159" s="249"/>
      <c r="KYA159" s="249"/>
      <c r="KYB159" s="250"/>
      <c r="KYC159" s="249"/>
      <c r="KYD159" s="251"/>
      <c r="KYE159" s="252"/>
      <c r="KYF159" s="252"/>
      <c r="KYG159" s="253"/>
      <c r="KYH159" s="252"/>
      <c r="KYO159" s="249"/>
      <c r="KYP159" s="249"/>
      <c r="KYQ159" s="249"/>
      <c r="KYR159" s="249"/>
      <c r="KYS159" s="249"/>
      <c r="KYU159" s="249"/>
      <c r="KYV159" s="250"/>
      <c r="KYW159" s="249"/>
      <c r="KYX159" s="251"/>
      <c r="KYY159" s="252"/>
      <c r="KYZ159" s="252"/>
      <c r="KZA159" s="253"/>
      <c r="KZB159" s="252"/>
      <c r="KZI159" s="249"/>
      <c r="KZJ159" s="249"/>
      <c r="KZK159" s="249"/>
      <c r="KZL159" s="249"/>
      <c r="KZM159" s="249"/>
      <c r="KZO159" s="249"/>
      <c r="KZP159" s="250"/>
      <c r="KZQ159" s="249"/>
      <c r="KZR159" s="251"/>
      <c r="KZS159" s="252"/>
      <c r="KZT159" s="252"/>
      <c r="KZU159" s="253"/>
      <c r="KZV159" s="252"/>
      <c r="LAC159" s="249"/>
      <c r="LAD159" s="249"/>
      <c r="LAE159" s="249"/>
      <c r="LAF159" s="249"/>
      <c r="LAG159" s="249"/>
      <c r="LAI159" s="249"/>
      <c r="LAJ159" s="250"/>
      <c r="LAK159" s="249"/>
      <c r="LAL159" s="251"/>
      <c r="LAM159" s="252"/>
      <c r="LAN159" s="252"/>
      <c r="LAO159" s="253"/>
      <c r="LAP159" s="252"/>
      <c r="LAW159" s="249"/>
      <c r="LAX159" s="249"/>
      <c r="LAY159" s="249"/>
      <c r="LAZ159" s="249"/>
      <c r="LBA159" s="249"/>
      <c r="LBC159" s="249"/>
      <c r="LBD159" s="250"/>
      <c r="LBE159" s="249"/>
      <c r="LBF159" s="251"/>
      <c r="LBG159" s="252"/>
      <c r="LBH159" s="252"/>
      <c r="LBI159" s="253"/>
      <c r="LBJ159" s="252"/>
      <c r="LBQ159" s="249"/>
      <c r="LBR159" s="249"/>
      <c r="LBS159" s="249"/>
      <c r="LBT159" s="249"/>
      <c r="LBU159" s="249"/>
      <c r="LBW159" s="249"/>
      <c r="LBX159" s="250"/>
      <c r="LBY159" s="249"/>
      <c r="LBZ159" s="251"/>
      <c r="LCA159" s="252"/>
      <c r="LCB159" s="252"/>
      <c r="LCC159" s="253"/>
      <c r="LCD159" s="252"/>
      <c r="LCK159" s="249"/>
      <c r="LCL159" s="249"/>
      <c r="LCM159" s="249"/>
      <c r="LCN159" s="249"/>
      <c r="LCO159" s="249"/>
      <c r="LCQ159" s="249"/>
      <c r="LCR159" s="250"/>
      <c r="LCS159" s="249"/>
      <c r="LCT159" s="251"/>
      <c r="LCU159" s="252"/>
      <c r="LCV159" s="252"/>
      <c r="LCW159" s="253"/>
      <c r="LCX159" s="252"/>
      <c r="LDE159" s="249"/>
      <c r="LDF159" s="249"/>
      <c r="LDG159" s="249"/>
      <c r="LDH159" s="249"/>
      <c r="LDI159" s="249"/>
      <c r="LDK159" s="249"/>
      <c r="LDL159" s="250"/>
      <c r="LDM159" s="249"/>
      <c r="LDN159" s="251"/>
      <c r="LDO159" s="252"/>
      <c r="LDP159" s="252"/>
      <c r="LDQ159" s="253"/>
      <c r="LDR159" s="252"/>
      <c r="LDY159" s="249"/>
      <c r="LDZ159" s="249"/>
      <c r="LEA159" s="249"/>
      <c r="LEB159" s="249"/>
      <c r="LEC159" s="249"/>
      <c r="LEE159" s="249"/>
      <c r="LEF159" s="250"/>
      <c r="LEG159" s="249"/>
      <c r="LEH159" s="251"/>
      <c r="LEI159" s="252"/>
      <c r="LEJ159" s="252"/>
      <c r="LEK159" s="253"/>
      <c r="LEL159" s="252"/>
      <c r="LES159" s="249"/>
      <c r="LET159" s="249"/>
      <c r="LEU159" s="249"/>
      <c r="LEV159" s="249"/>
      <c r="LEW159" s="249"/>
      <c r="LEY159" s="249"/>
      <c r="LEZ159" s="250"/>
      <c r="LFA159" s="249"/>
      <c r="LFB159" s="251"/>
      <c r="LFC159" s="252"/>
      <c r="LFD159" s="252"/>
      <c r="LFE159" s="253"/>
      <c r="LFF159" s="252"/>
      <c r="LFM159" s="249"/>
      <c r="LFN159" s="249"/>
      <c r="LFO159" s="249"/>
      <c r="LFP159" s="249"/>
      <c r="LFQ159" s="249"/>
      <c r="LFS159" s="249"/>
      <c r="LFT159" s="250"/>
      <c r="LFU159" s="249"/>
      <c r="LFV159" s="251"/>
      <c r="LFW159" s="252"/>
      <c r="LFX159" s="252"/>
      <c r="LFY159" s="253"/>
      <c r="LFZ159" s="252"/>
      <c r="LGG159" s="249"/>
      <c r="LGH159" s="249"/>
      <c r="LGI159" s="249"/>
      <c r="LGJ159" s="249"/>
      <c r="LGK159" s="249"/>
      <c r="LGM159" s="249"/>
      <c r="LGN159" s="250"/>
      <c r="LGO159" s="249"/>
      <c r="LGP159" s="251"/>
      <c r="LGQ159" s="252"/>
      <c r="LGR159" s="252"/>
      <c r="LGS159" s="253"/>
      <c r="LGT159" s="252"/>
      <c r="LHA159" s="249"/>
      <c r="LHB159" s="249"/>
      <c r="LHC159" s="249"/>
      <c r="LHD159" s="249"/>
      <c r="LHE159" s="249"/>
      <c r="LHG159" s="249"/>
      <c r="LHH159" s="250"/>
      <c r="LHI159" s="249"/>
      <c r="LHJ159" s="251"/>
      <c r="LHK159" s="252"/>
      <c r="LHL159" s="252"/>
      <c r="LHM159" s="253"/>
      <c r="LHN159" s="252"/>
      <c r="LHU159" s="249"/>
      <c r="LHV159" s="249"/>
      <c r="LHW159" s="249"/>
      <c r="LHX159" s="249"/>
      <c r="LHY159" s="249"/>
      <c r="LIA159" s="249"/>
      <c r="LIB159" s="250"/>
      <c r="LIC159" s="249"/>
      <c r="LID159" s="251"/>
      <c r="LIE159" s="252"/>
      <c r="LIF159" s="252"/>
      <c r="LIG159" s="253"/>
      <c r="LIH159" s="252"/>
      <c r="LIO159" s="249"/>
      <c r="LIP159" s="249"/>
      <c r="LIQ159" s="249"/>
      <c r="LIR159" s="249"/>
      <c r="LIS159" s="249"/>
      <c r="LIU159" s="249"/>
      <c r="LIV159" s="250"/>
      <c r="LIW159" s="249"/>
      <c r="LIX159" s="251"/>
      <c r="LIY159" s="252"/>
      <c r="LIZ159" s="252"/>
      <c r="LJA159" s="253"/>
      <c r="LJB159" s="252"/>
      <c r="LJI159" s="249"/>
      <c r="LJJ159" s="249"/>
      <c r="LJK159" s="249"/>
      <c r="LJL159" s="249"/>
      <c r="LJM159" s="249"/>
      <c r="LJO159" s="249"/>
      <c r="LJP159" s="250"/>
      <c r="LJQ159" s="249"/>
      <c r="LJR159" s="251"/>
      <c r="LJS159" s="252"/>
      <c r="LJT159" s="252"/>
      <c r="LJU159" s="253"/>
      <c r="LJV159" s="252"/>
      <c r="LKC159" s="249"/>
      <c r="LKD159" s="249"/>
      <c r="LKE159" s="249"/>
      <c r="LKF159" s="249"/>
      <c r="LKG159" s="249"/>
      <c r="LKI159" s="249"/>
      <c r="LKJ159" s="250"/>
      <c r="LKK159" s="249"/>
      <c r="LKL159" s="251"/>
      <c r="LKM159" s="252"/>
      <c r="LKN159" s="252"/>
      <c r="LKO159" s="253"/>
      <c r="LKP159" s="252"/>
      <c r="LKW159" s="249"/>
      <c r="LKX159" s="249"/>
      <c r="LKY159" s="249"/>
      <c r="LKZ159" s="249"/>
      <c r="LLA159" s="249"/>
      <c r="LLC159" s="249"/>
      <c r="LLD159" s="250"/>
      <c r="LLE159" s="249"/>
      <c r="LLF159" s="251"/>
      <c r="LLG159" s="252"/>
      <c r="LLH159" s="252"/>
      <c r="LLI159" s="253"/>
      <c r="LLJ159" s="252"/>
      <c r="LLQ159" s="249"/>
      <c r="LLR159" s="249"/>
      <c r="LLS159" s="249"/>
      <c r="LLT159" s="249"/>
      <c r="LLU159" s="249"/>
      <c r="LLW159" s="249"/>
      <c r="LLX159" s="250"/>
      <c r="LLY159" s="249"/>
      <c r="LLZ159" s="251"/>
      <c r="LMA159" s="252"/>
      <c r="LMB159" s="252"/>
      <c r="LMC159" s="253"/>
      <c r="LMD159" s="252"/>
      <c r="LMK159" s="249"/>
      <c r="LML159" s="249"/>
      <c r="LMM159" s="249"/>
      <c r="LMN159" s="249"/>
      <c r="LMO159" s="249"/>
      <c r="LMQ159" s="249"/>
      <c r="LMR159" s="250"/>
      <c r="LMS159" s="249"/>
      <c r="LMT159" s="251"/>
      <c r="LMU159" s="252"/>
      <c r="LMV159" s="252"/>
      <c r="LMW159" s="253"/>
      <c r="LMX159" s="252"/>
      <c r="LNE159" s="249"/>
      <c r="LNF159" s="249"/>
      <c r="LNG159" s="249"/>
      <c r="LNH159" s="249"/>
      <c r="LNI159" s="249"/>
      <c r="LNK159" s="249"/>
      <c r="LNL159" s="250"/>
      <c r="LNM159" s="249"/>
      <c r="LNN159" s="251"/>
      <c r="LNO159" s="252"/>
      <c r="LNP159" s="252"/>
      <c r="LNQ159" s="253"/>
      <c r="LNR159" s="252"/>
      <c r="LNY159" s="249"/>
      <c r="LNZ159" s="249"/>
      <c r="LOA159" s="249"/>
      <c r="LOB159" s="249"/>
      <c r="LOC159" s="249"/>
      <c r="LOE159" s="249"/>
      <c r="LOF159" s="250"/>
      <c r="LOG159" s="249"/>
      <c r="LOH159" s="251"/>
      <c r="LOI159" s="252"/>
      <c r="LOJ159" s="252"/>
      <c r="LOK159" s="253"/>
      <c r="LOL159" s="252"/>
      <c r="LOS159" s="249"/>
      <c r="LOT159" s="249"/>
      <c r="LOU159" s="249"/>
      <c r="LOV159" s="249"/>
      <c r="LOW159" s="249"/>
      <c r="LOY159" s="249"/>
      <c r="LOZ159" s="250"/>
      <c r="LPA159" s="249"/>
      <c r="LPB159" s="251"/>
      <c r="LPC159" s="252"/>
      <c r="LPD159" s="252"/>
      <c r="LPE159" s="253"/>
      <c r="LPF159" s="252"/>
      <c r="LPM159" s="249"/>
      <c r="LPN159" s="249"/>
      <c r="LPO159" s="249"/>
      <c r="LPP159" s="249"/>
      <c r="LPQ159" s="249"/>
      <c r="LPS159" s="249"/>
      <c r="LPT159" s="250"/>
      <c r="LPU159" s="249"/>
      <c r="LPV159" s="251"/>
      <c r="LPW159" s="252"/>
      <c r="LPX159" s="252"/>
      <c r="LPY159" s="253"/>
      <c r="LPZ159" s="252"/>
      <c r="LQG159" s="249"/>
      <c r="LQH159" s="249"/>
      <c r="LQI159" s="249"/>
      <c r="LQJ159" s="249"/>
      <c r="LQK159" s="249"/>
      <c r="LQM159" s="249"/>
      <c r="LQN159" s="250"/>
      <c r="LQO159" s="249"/>
      <c r="LQP159" s="251"/>
      <c r="LQQ159" s="252"/>
      <c r="LQR159" s="252"/>
      <c r="LQS159" s="253"/>
      <c r="LQT159" s="252"/>
      <c r="LRA159" s="249"/>
      <c r="LRB159" s="249"/>
      <c r="LRC159" s="249"/>
      <c r="LRD159" s="249"/>
      <c r="LRE159" s="249"/>
      <c r="LRG159" s="249"/>
      <c r="LRH159" s="250"/>
      <c r="LRI159" s="249"/>
      <c r="LRJ159" s="251"/>
      <c r="LRK159" s="252"/>
      <c r="LRL159" s="252"/>
      <c r="LRM159" s="253"/>
      <c r="LRN159" s="252"/>
      <c r="LRU159" s="249"/>
      <c r="LRV159" s="249"/>
      <c r="LRW159" s="249"/>
      <c r="LRX159" s="249"/>
      <c r="LRY159" s="249"/>
      <c r="LSA159" s="249"/>
      <c r="LSB159" s="250"/>
      <c r="LSC159" s="249"/>
      <c r="LSD159" s="251"/>
      <c r="LSE159" s="252"/>
      <c r="LSF159" s="252"/>
      <c r="LSG159" s="253"/>
      <c r="LSH159" s="252"/>
      <c r="LSO159" s="249"/>
      <c r="LSP159" s="249"/>
      <c r="LSQ159" s="249"/>
      <c r="LSR159" s="249"/>
      <c r="LSS159" s="249"/>
      <c r="LSU159" s="249"/>
      <c r="LSV159" s="250"/>
      <c r="LSW159" s="249"/>
      <c r="LSX159" s="251"/>
      <c r="LSY159" s="252"/>
      <c r="LSZ159" s="252"/>
      <c r="LTA159" s="253"/>
      <c r="LTB159" s="252"/>
      <c r="LTI159" s="249"/>
      <c r="LTJ159" s="249"/>
      <c r="LTK159" s="249"/>
      <c r="LTL159" s="249"/>
      <c r="LTM159" s="249"/>
      <c r="LTO159" s="249"/>
      <c r="LTP159" s="250"/>
      <c r="LTQ159" s="249"/>
      <c r="LTR159" s="251"/>
      <c r="LTS159" s="252"/>
      <c r="LTT159" s="252"/>
      <c r="LTU159" s="253"/>
      <c r="LTV159" s="252"/>
      <c r="LUC159" s="249"/>
      <c r="LUD159" s="249"/>
      <c r="LUE159" s="249"/>
      <c r="LUF159" s="249"/>
      <c r="LUG159" s="249"/>
      <c r="LUI159" s="249"/>
      <c r="LUJ159" s="250"/>
      <c r="LUK159" s="249"/>
      <c r="LUL159" s="251"/>
      <c r="LUM159" s="252"/>
      <c r="LUN159" s="252"/>
      <c r="LUO159" s="253"/>
      <c r="LUP159" s="252"/>
      <c r="LUW159" s="249"/>
      <c r="LUX159" s="249"/>
      <c r="LUY159" s="249"/>
      <c r="LUZ159" s="249"/>
      <c r="LVA159" s="249"/>
      <c r="LVC159" s="249"/>
      <c r="LVD159" s="250"/>
      <c r="LVE159" s="249"/>
      <c r="LVF159" s="251"/>
      <c r="LVG159" s="252"/>
      <c r="LVH159" s="252"/>
      <c r="LVI159" s="253"/>
      <c r="LVJ159" s="252"/>
      <c r="LVQ159" s="249"/>
      <c r="LVR159" s="249"/>
      <c r="LVS159" s="249"/>
      <c r="LVT159" s="249"/>
      <c r="LVU159" s="249"/>
      <c r="LVW159" s="249"/>
      <c r="LVX159" s="250"/>
      <c r="LVY159" s="249"/>
      <c r="LVZ159" s="251"/>
      <c r="LWA159" s="252"/>
      <c r="LWB159" s="252"/>
      <c r="LWC159" s="253"/>
      <c r="LWD159" s="252"/>
      <c r="LWK159" s="249"/>
      <c r="LWL159" s="249"/>
      <c r="LWM159" s="249"/>
      <c r="LWN159" s="249"/>
      <c r="LWO159" s="249"/>
      <c r="LWQ159" s="249"/>
      <c r="LWR159" s="250"/>
      <c r="LWS159" s="249"/>
      <c r="LWT159" s="251"/>
      <c r="LWU159" s="252"/>
      <c r="LWV159" s="252"/>
      <c r="LWW159" s="253"/>
      <c r="LWX159" s="252"/>
      <c r="LXE159" s="249"/>
      <c r="LXF159" s="249"/>
      <c r="LXG159" s="249"/>
      <c r="LXH159" s="249"/>
      <c r="LXI159" s="249"/>
      <c r="LXK159" s="249"/>
      <c r="LXL159" s="250"/>
      <c r="LXM159" s="249"/>
      <c r="LXN159" s="251"/>
      <c r="LXO159" s="252"/>
      <c r="LXP159" s="252"/>
      <c r="LXQ159" s="253"/>
      <c r="LXR159" s="252"/>
      <c r="LXY159" s="249"/>
      <c r="LXZ159" s="249"/>
      <c r="LYA159" s="249"/>
      <c r="LYB159" s="249"/>
      <c r="LYC159" s="249"/>
      <c r="LYE159" s="249"/>
      <c r="LYF159" s="250"/>
      <c r="LYG159" s="249"/>
      <c r="LYH159" s="251"/>
      <c r="LYI159" s="252"/>
      <c r="LYJ159" s="252"/>
      <c r="LYK159" s="253"/>
      <c r="LYL159" s="252"/>
      <c r="LYS159" s="249"/>
      <c r="LYT159" s="249"/>
      <c r="LYU159" s="249"/>
      <c r="LYV159" s="249"/>
      <c r="LYW159" s="249"/>
      <c r="LYY159" s="249"/>
      <c r="LYZ159" s="250"/>
      <c r="LZA159" s="249"/>
      <c r="LZB159" s="251"/>
      <c r="LZC159" s="252"/>
      <c r="LZD159" s="252"/>
      <c r="LZE159" s="253"/>
      <c r="LZF159" s="252"/>
      <c r="LZM159" s="249"/>
      <c r="LZN159" s="249"/>
      <c r="LZO159" s="249"/>
      <c r="LZP159" s="249"/>
      <c r="LZQ159" s="249"/>
      <c r="LZS159" s="249"/>
      <c r="LZT159" s="250"/>
      <c r="LZU159" s="249"/>
      <c r="LZV159" s="251"/>
      <c r="LZW159" s="252"/>
      <c r="LZX159" s="252"/>
      <c r="LZY159" s="253"/>
      <c r="LZZ159" s="252"/>
      <c r="MAG159" s="249"/>
      <c r="MAH159" s="249"/>
      <c r="MAI159" s="249"/>
      <c r="MAJ159" s="249"/>
      <c r="MAK159" s="249"/>
      <c r="MAM159" s="249"/>
      <c r="MAN159" s="250"/>
      <c r="MAO159" s="249"/>
      <c r="MAP159" s="251"/>
      <c r="MAQ159" s="252"/>
      <c r="MAR159" s="252"/>
      <c r="MAS159" s="253"/>
      <c r="MAT159" s="252"/>
      <c r="MBA159" s="249"/>
      <c r="MBB159" s="249"/>
      <c r="MBC159" s="249"/>
      <c r="MBD159" s="249"/>
      <c r="MBE159" s="249"/>
      <c r="MBG159" s="249"/>
      <c r="MBH159" s="250"/>
      <c r="MBI159" s="249"/>
      <c r="MBJ159" s="251"/>
      <c r="MBK159" s="252"/>
      <c r="MBL159" s="252"/>
      <c r="MBM159" s="253"/>
      <c r="MBN159" s="252"/>
      <c r="MBU159" s="249"/>
      <c r="MBV159" s="249"/>
      <c r="MBW159" s="249"/>
      <c r="MBX159" s="249"/>
      <c r="MBY159" s="249"/>
      <c r="MCA159" s="249"/>
      <c r="MCB159" s="250"/>
      <c r="MCC159" s="249"/>
      <c r="MCD159" s="251"/>
      <c r="MCE159" s="252"/>
      <c r="MCF159" s="252"/>
      <c r="MCG159" s="253"/>
      <c r="MCH159" s="252"/>
      <c r="MCO159" s="249"/>
      <c r="MCP159" s="249"/>
      <c r="MCQ159" s="249"/>
      <c r="MCR159" s="249"/>
      <c r="MCS159" s="249"/>
      <c r="MCU159" s="249"/>
      <c r="MCV159" s="250"/>
      <c r="MCW159" s="249"/>
      <c r="MCX159" s="251"/>
      <c r="MCY159" s="252"/>
      <c r="MCZ159" s="252"/>
      <c r="MDA159" s="253"/>
      <c r="MDB159" s="252"/>
      <c r="MDI159" s="249"/>
      <c r="MDJ159" s="249"/>
      <c r="MDK159" s="249"/>
      <c r="MDL159" s="249"/>
      <c r="MDM159" s="249"/>
      <c r="MDO159" s="249"/>
      <c r="MDP159" s="250"/>
      <c r="MDQ159" s="249"/>
      <c r="MDR159" s="251"/>
      <c r="MDS159" s="252"/>
      <c r="MDT159" s="252"/>
      <c r="MDU159" s="253"/>
      <c r="MDV159" s="252"/>
      <c r="MEC159" s="249"/>
      <c r="MED159" s="249"/>
      <c r="MEE159" s="249"/>
      <c r="MEF159" s="249"/>
      <c r="MEG159" s="249"/>
      <c r="MEI159" s="249"/>
      <c r="MEJ159" s="250"/>
      <c r="MEK159" s="249"/>
      <c r="MEL159" s="251"/>
      <c r="MEM159" s="252"/>
      <c r="MEN159" s="252"/>
      <c r="MEO159" s="253"/>
      <c r="MEP159" s="252"/>
      <c r="MEW159" s="249"/>
      <c r="MEX159" s="249"/>
      <c r="MEY159" s="249"/>
      <c r="MEZ159" s="249"/>
      <c r="MFA159" s="249"/>
      <c r="MFC159" s="249"/>
      <c r="MFD159" s="250"/>
      <c r="MFE159" s="249"/>
      <c r="MFF159" s="251"/>
      <c r="MFG159" s="252"/>
      <c r="MFH159" s="252"/>
      <c r="MFI159" s="253"/>
      <c r="MFJ159" s="252"/>
      <c r="MFQ159" s="249"/>
      <c r="MFR159" s="249"/>
      <c r="MFS159" s="249"/>
      <c r="MFT159" s="249"/>
      <c r="MFU159" s="249"/>
      <c r="MFW159" s="249"/>
      <c r="MFX159" s="250"/>
      <c r="MFY159" s="249"/>
      <c r="MFZ159" s="251"/>
      <c r="MGA159" s="252"/>
      <c r="MGB159" s="252"/>
      <c r="MGC159" s="253"/>
      <c r="MGD159" s="252"/>
      <c r="MGK159" s="249"/>
      <c r="MGL159" s="249"/>
      <c r="MGM159" s="249"/>
      <c r="MGN159" s="249"/>
      <c r="MGO159" s="249"/>
      <c r="MGQ159" s="249"/>
      <c r="MGR159" s="250"/>
      <c r="MGS159" s="249"/>
      <c r="MGT159" s="251"/>
      <c r="MGU159" s="252"/>
      <c r="MGV159" s="252"/>
      <c r="MGW159" s="253"/>
      <c r="MGX159" s="252"/>
      <c r="MHE159" s="249"/>
      <c r="MHF159" s="249"/>
      <c r="MHG159" s="249"/>
      <c r="MHH159" s="249"/>
      <c r="MHI159" s="249"/>
      <c r="MHK159" s="249"/>
      <c r="MHL159" s="250"/>
      <c r="MHM159" s="249"/>
      <c r="MHN159" s="251"/>
      <c r="MHO159" s="252"/>
      <c r="MHP159" s="252"/>
      <c r="MHQ159" s="253"/>
      <c r="MHR159" s="252"/>
      <c r="MHY159" s="249"/>
      <c r="MHZ159" s="249"/>
      <c r="MIA159" s="249"/>
      <c r="MIB159" s="249"/>
      <c r="MIC159" s="249"/>
      <c r="MIE159" s="249"/>
      <c r="MIF159" s="250"/>
      <c r="MIG159" s="249"/>
      <c r="MIH159" s="251"/>
      <c r="MII159" s="252"/>
      <c r="MIJ159" s="252"/>
      <c r="MIK159" s="253"/>
      <c r="MIL159" s="252"/>
      <c r="MIS159" s="249"/>
      <c r="MIT159" s="249"/>
      <c r="MIU159" s="249"/>
      <c r="MIV159" s="249"/>
      <c r="MIW159" s="249"/>
      <c r="MIY159" s="249"/>
      <c r="MIZ159" s="250"/>
      <c r="MJA159" s="249"/>
      <c r="MJB159" s="251"/>
      <c r="MJC159" s="252"/>
      <c r="MJD159" s="252"/>
      <c r="MJE159" s="253"/>
      <c r="MJF159" s="252"/>
      <c r="MJM159" s="249"/>
      <c r="MJN159" s="249"/>
      <c r="MJO159" s="249"/>
      <c r="MJP159" s="249"/>
      <c r="MJQ159" s="249"/>
      <c r="MJS159" s="249"/>
      <c r="MJT159" s="250"/>
      <c r="MJU159" s="249"/>
      <c r="MJV159" s="251"/>
      <c r="MJW159" s="252"/>
      <c r="MJX159" s="252"/>
      <c r="MJY159" s="253"/>
      <c r="MJZ159" s="252"/>
      <c r="MKG159" s="249"/>
      <c r="MKH159" s="249"/>
      <c r="MKI159" s="249"/>
      <c r="MKJ159" s="249"/>
      <c r="MKK159" s="249"/>
      <c r="MKM159" s="249"/>
      <c r="MKN159" s="250"/>
      <c r="MKO159" s="249"/>
      <c r="MKP159" s="251"/>
      <c r="MKQ159" s="252"/>
      <c r="MKR159" s="252"/>
      <c r="MKS159" s="253"/>
      <c r="MKT159" s="252"/>
      <c r="MLA159" s="249"/>
      <c r="MLB159" s="249"/>
      <c r="MLC159" s="249"/>
      <c r="MLD159" s="249"/>
      <c r="MLE159" s="249"/>
      <c r="MLG159" s="249"/>
      <c r="MLH159" s="250"/>
      <c r="MLI159" s="249"/>
      <c r="MLJ159" s="251"/>
      <c r="MLK159" s="252"/>
      <c r="MLL159" s="252"/>
      <c r="MLM159" s="253"/>
      <c r="MLN159" s="252"/>
      <c r="MLU159" s="249"/>
      <c r="MLV159" s="249"/>
      <c r="MLW159" s="249"/>
      <c r="MLX159" s="249"/>
      <c r="MLY159" s="249"/>
      <c r="MMA159" s="249"/>
      <c r="MMB159" s="250"/>
      <c r="MMC159" s="249"/>
      <c r="MMD159" s="251"/>
      <c r="MME159" s="252"/>
      <c r="MMF159" s="252"/>
      <c r="MMG159" s="253"/>
      <c r="MMH159" s="252"/>
      <c r="MMO159" s="249"/>
      <c r="MMP159" s="249"/>
      <c r="MMQ159" s="249"/>
      <c r="MMR159" s="249"/>
      <c r="MMS159" s="249"/>
      <c r="MMU159" s="249"/>
      <c r="MMV159" s="250"/>
      <c r="MMW159" s="249"/>
      <c r="MMX159" s="251"/>
      <c r="MMY159" s="252"/>
      <c r="MMZ159" s="252"/>
      <c r="MNA159" s="253"/>
      <c r="MNB159" s="252"/>
      <c r="MNI159" s="249"/>
      <c r="MNJ159" s="249"/>
      <c r="MNK159" s="249"/>
      <c r="MNL159" s="249"/>
      <c r="MNM159" s="249"/>
      <c r="MNO159" s="249"/>
      <c r="MNP159" s="250"/>
      <c r="MNQ159" s="249"/>
      <c r="MNR159" s="251"/>
      <c r="MNS159" s="252"/>
      <c r="MNT159" s="252"/>
      <c r="MNU159" s="253"/>
      <c r="MNV159" s="252"/>
      <c r="MOC159" s="249"/>
      <c r="MOD159" s="249"/>
      <c r="MOE159" s="249"/>
      <c r="MOF159" s="249"/>
      <c r="MOG159" s="249"/>
      <c r="MOI159" s="249"/>
      <c r="MOJ159" s="250"/>
      <c r="MOK159" s="249"/>
      <c r="MOL159" s="251"/>
      <c r="MOM159" s="252"/>
      <c r="MON159" s="252"/>
      <c r="MOO159" s="253"/>
      <c r="MOP159" s="252"/>
      <c r="MOW159" s="249"/>
      <c r="MOX159" s="249"/>
      <c r="MOY159" s="249"/>
      <c r="MOZ159" s="249"/>
      <c r="MPA159" s="249"/>
      <c r="MPC159" s="249"/>
      <c r="MPD159" s="250"/>
      <c r="MPE159" s="249"/>
      <c r="MPF159" s="251"/>
      <c r="MPG159" s="252"/>
      <c r="MPH159" s="252"/>
      <c r="MPI159" s="253"/>
      <c r="MPJ159" s="252"/>
      <c r="MPQ159" s="249"/>
      <c r="MPR159" s="249"/>
      <c r="MPS159" s="249"/>
      <c r="MPT159" s="249"/>
      <c r="MPU159" s="249"/>
      <c r="MPW159" s="249"/>
      <c r="MPX159" s="250"/>
      <c r="MPY159" s="249"/>
      <c r="MPZ159" s="251"/>
      <c r="MQA159" s="252"/>
      <c r="MQB159" s="252"/>
      <c r="MQC159" s="253"/>
      <c r="MQD159" s="252"/>
      <c r="MQK159" s="249"/>
      <c r="MQL159" s="249"/>
      <c r="MQM159" s="249"/>
      <c r="MQN159" s="249"/>
      <c r="MQO159" s="249"/>
      <c r="MQQ159" s="249"/>
      <c r="MQR159" s="250"/>
      <c r="MQS159" s="249"/>
      <c r="MQT159" s="251"/>
      <c r="MQU159" s="252"/>
      <c r="MQV159" s="252"/>
      <c r="MQW159" s="253"/>
      <c r="MQX159" s="252"/>
      <c r="MRE159" s="249"/>
      <c r="MRF159" s="249"/>
      <c r="MRG159" s="249"/>
      <c r="MRH159" s="249"/>
      <c r="MRI159" s="249"/>
      <c r="MRK159" s="249"/>
      <c r="MRL159" s="250"/>
      <c r="MRM159" s="249"/>
      <c r="MRN159" s="251"/>
      <c r="MRO159" s="252"/>
      <c r="MRP159" s="252"/>
      <c r="MRQ159" s="253"/>
      <c r="MRR159" s="252"/>
      <c r="MRY159" s="249"/>
      <c r="MRZ159" s="249"/>
      <c r="MSA159" s="249"/>
      <c r="MSB159" s="249"/>
      <c r="MSC159" s="249"/>
      <c r="MSE159" s="249"/>
      <c r="MSF159" s="250"/>
      <c r="MSG159" s="249"/>
      <c r="MSH159" s="251"/>
      <c r="MSI159" s="252"/>
      <c r="MSJ159" s="252"/>
      <c r="MSK159" s="253"/>
      <c r="MSL159" s="252"/>
      <c r="MSS159" s="249"/>
      <c r="MST159" s="249"/>
      <c r="MSU159" s="249"/>
      <c r="MSV159" s="249"/>
      <c r="MSW159" s="249"/>
      <c r="MSY159" s="249"/>
      <c r="MSZ159" s="250"/>
      <c r="MTA159" s="249"/>
      <c r="MTB159" s="251"/>
      <c r="MTC159" s="252"/>
      <c r="MTD159" s="252"/>
      <c r="MTE159" s="253"/>
      <c r="MTF159" s="252"/>
      <c r="MTM159" s="249"/>
      <c r="MTN159" s="249"/>
      <c r="MTO159" s="249"/>
      <c r="MTP159" s="249"/>
      <c r="MTQ159" s="249"/>
      <c r="MTS159" s="249"/>
      <c r="MTT159" s="250"/>
      <c r="MTU159" s="249"/>
      <c r="MTV159" s="251"/>
      <c r="MTW159" s="252"/>
      <c r="MTX159" s="252"/>
      <c r="MTY159" s="253"/>
      <c r="MTZ159" s="252"/>
      <c r="MUG159" s="249"/>
      <c r="MUH159" s="249"/>
      <c r="MUI159" s="249"/>
      <c r="MUJ159" s="249"/>
      <c r="MUK159" s="249"/>
      <c r="MUM159" s="249"/>
      <c r="MUN159" s="250"/>
      <c r="MUO159" s="249"/>
      <c r="MUP159" s="251"/>
      <c r="MUQ159" s="252"/>
      <c r="MUR159" s="252"/>
      <c r="MUS159" s="253"/>
      <c r="MUT159" s="252"/>
      <c r="MVA159" s="249"/>
      <c r="MVB159" s="249"/>
      <c r="MVC159" s="249"/>
      <c r="MVD159" s="249"/>
      <c r="MVE159" s="249"/>
      <c r="MVG159" s="249"/>
      <c r="MVH159" s="250"/>
      <c r="MVI159" s="249"/>
      <c r="MVJ159" s="251"/>
      <c r="MVK159" s="252"/>
      <c r="MVL159" s="252"/>
      <c r="MVM159" s="253"/>
      <c r="MVN159" s="252"/>
      <c r="MVU159" s="249"/>
      <c r="MVV159" s="249"/>
      <c r="MVW159" s="249"/>
      <c r="MVX159" s="249"/>
      <c r="MVY159" s="249"/>
      <c r="MWA159" s="249"/>
      <c r="MWB159" s="250"/>
      <c r="MWC159" s="249"/>
      <c r="MWD159" s="251"/>
      <c r="MWE159" s="252"/>
      <c r="MWF159" s="252"/>
      <c r="MWG159" s="253"/>
      <c r="MWH159" s="252"/>
      <c r="MWO159" s="249"/>
      <c r="MWP159" s="249"/>
      <c r="MWQ159" s="249"/>
      <c r="MWR159" s="249"/>
      <c r="MWS159" s="249"/>
      <c r="MWU159" s="249"/>
      <c r="MWV159" s="250"/>
      <c r="MWW159" s="249"/>
      <c r="MWX159" s="251"/>
      <c r="MWY159" s="252"/>
      <c r="MWZ159" s="252"/>
      <c r="MXA159" s="253"/>
      <c r="MXB159" s="252"/>
      <c r="MXI159" s="249"/>
      <c r="MXJ159" s="249"/>
      <c r="MXK159" s="249"/>
      <c r="MXL159" s="249"/>
      <c r="MXM159" s="249"/>
      <c r="MXO159" s="249"/>
      <c r="MXP159" s="250"/>
      <c r="MXQ159" s="249"/>
      <c r="MXR159" s="251"/>
      <c r="MXS159" s="252"/>
      <c r="MXT159" s="252"/>
      <c r="MXU159" s="253"/>
      <c r="MXV159" s="252"/>
      <c r="MYC159" s="249"/>
      <c r="MYD159" s="249"/>
      <c r="MYE159" s="249"/>
      <c r="MYF159" s="249"/>
      <c r="MYG159" s="249"/>
      <c r="MYI159" s="249"/>
      <c r="MYJ159" s="250"/>
      <c r="MYK159" s="249"/>
      <c r="MYL159" s="251"/>
      <c r="MYM159" s="252"/>
      <c r="MYN159" s="252"/>
      <c r="MYO159" s="253"/>
      <c r="MYP159" s="252"/>
      <c r="MYW159" s="249"/>
      <c r="MYX159" s="249"/>
      <c r="MYY159" s="249"/>
      <c r="MYZ159" s="249"/>
      <c r="MZA159" s="249"/>
      <c r="MZC159" s="249"/>
      <c r="MZD159" s="250"/>
      <c r="MZE159" s="249"/>
      <c r="MZF159" s="251"/>
      <c r="MZG159" s="252"/>
      <c r="MZH159" s="252"/>
      <c r="MZI159" s="253"/>
      <c r="MZJ159" s="252"/>
      <c r="MZQ159" s="249"/>
      <c r="MZR159" s="249"/>
      <c r="MZS159" s="249"/>
      <c r="MZT159" s="249"/>
      <c r="MZU159" s="249"/>
      <c r="MZW159" s="249"/>
      <c r="MZX159" s="250"/>
      <c r="MZY159" s="249"/>
      <c r="MZZ159" s="251"/>
      <c r="NAA159" s="252"/>
      <c r="NAB159" s="252"/>
      <c r="NAC159" s="253"/>
      <c r="NAD159" s="252"/>
      <c r="NAK159" s="249"/>
      <c r="NAL159" s="249"/>
      <c r="NAM159" s="249"/>
      <c r="NAN159" s="249"/>
      <c r="NAO159" s="249"/>
      <c r="NAQ159" s="249"/>
      <c r="NAR159" s="250"/>
      <c r="NAS159" s="249"/>
      <c r="NAT159" s="251"/>
      <c r="NAU159" s="252"/>
      <c r="NAV159" s="252"/>
      <c r="NAW159" s="253"/>
      <c r="NAX159" s="252"/>
      <c r="NBE159" s="249"/>
      <c r="NBF159" s="249"/>
      <c r="NBG159" s="249"/>
      <c r="NBH159" s="249"/>
      <c r="NBI159" s="249"/>
      <c r="NBK159" s="249"/>
      <c r="NBL159" s="250"/>
      <c r="NBM159" s="249"/>
      <c r="NBN159" s="251"/>
      <c r="NBO159" s="252"/>
      <c r="NBP159" s="252"/>
      <c r="NBQ159" s="253"/>
      <c r="NBR159" s="252"/>
      <c r="NBY159" s="249"/>
      <c r="NBZ159" s="249"/>
      <c r="NCA159" s="249"/>
      <c r="NCB159" s="249"/>
      <c r="NCC159" s="249"/>
      <c r="NCE159" s="249"/>
      <c r="NCF159" s="250"/>
      <c r="NCG159" s="249"/>
      <c r="NCH159" s="251"/>
      <c r="NCI159" s="252"/>
      <c r="NCJ159" s="252"/>
      <c r="NCK159" s="253"/>
      <c r="NCL159" s="252"/>
      <c r="NCS159" s="249"/>
      <c r="NCT159" s="249"/>
      <c r="NCU159" s="249"/>
      <c r="NCV159" s="249"/>
      <c r="NCW159" s="249"/>
      <c r="NCY159" s="249"/>
      <c r="NCZ159" s="250"/>
      <c r="NDA159" s="249"/>
      <c r="NDB159" s="251"/>
      <c r="NDC159" s="252"/>
      <c r="NDD159" s="252"/>
      <c r="NDE159" s="253"/>
      <c r="NDF159" s="252"/>
      <c r="NDM159" s="249"/>
      <c r="NDN159" s="249"/>
      <c r="NDO159" s="249"/>
      <c r="NDP159" s="249"/>
      <c r="NDQ159" s="249"/>
      <c r="NDS159" s="249"/>
      <c r="NDT159" s="250"/>
      <c r="NDU159" s="249"/>
      <c r="NDV159" s="251"/>
      <c r="NDW159" s="252"/>
      <c r="NDX159" s="252"/>
      <c r="NDY159" s="253"/>
      <c r="NDZ159" s="252"/>
      <c r="NEG159" s="249"/>
      <c r="NEH159" s="249"/>
      <c r="NEI159" s="249"/>
      <c r="NEJ159" s="249"/>
      <c r="NEK159" s="249"/>
      <c r="NEM159" s="249"/>
      <c r="NEN159" s="250"/>
      <c r="NEO159" s="249"/>
      <c r="NEP159" s="251"/>
      <c r="NEQ159" s="252"/>
      <c r="NER159" s="252"/>
      <c r="NES159" s="253"/>
      <c r="NET159" s="252"/>
      <c r="NFA159" s="249"/>
      <c r="NFB159" s="249"/>
      <c r="NFC159" s="249"/>
      <c r="NFD159" s="249"/>
      <c r="NFE159" s="249"/>
      <c r="NFG159" s="249"/>
      <c r="NFH159" s="250"/>
      <c r="NFI159" s="249"/>
      <c r="NFJ159" s="251"/>
      <c r="NFK159" s="252"/>
      <c r="NFL159" s="252"/>
      <c r="NFM159" s="253"/>
      <c r="NFN159" s="252"/>
      <c r="NFU159" s="249"/>
      <c r="NFV159" s="249"/>
      <c r="NFW159" s="249"/>
      <c r="NFX159" s="249"/>
      <c r="NFY159" s="249"/>
      <c r="NGA159" s="249"/>
      <c r="NGB159" s="250"/>
      <c r="NGC159" s="249"/>
      <c r="NGD159" s="251"/>
      <c r="NGE159" s="252"/>
      <c r="NGF159" s="252"/>
      <c r="NGG159" s="253"/>
      <c r="NGH159" s="252"/>
      <c r="NGO159" s="249"/>
      <c r="NGP159" s="249"/>
      <c r="NGQ159" s="249"/>
      <c r="NGR159" s="249"/>
      <c r="NGS159" s="249"/>
      <c r="NGU159" s="249"/>
      <c r="NGV159" s="250"/>
      <c r="NGW159" s="249"/>
      <c r="NGX159" s="251"/>
      <c r="NGY159" s="252"/>
      <c r="NGZ159" s="252"/>
      <c r="NHA159" s="253"/>
      <c r="NHB159" s="252"/>
      <c r="NHI159" s="249"/>
      <c r="NHJ159" s="249"/>
      <c r="NHK159" s="249"/>
      <c r="NHL159" s="249"/>
      <c r="NHM159" s="249"/>
      <c r="NHO159" s="249"/>
      <c r="NHP159" s="250"/>
      <c r="NHQ159" s="249"/>
      <c r="NHR159" s="251"/>
      <c r="NHS159" s="252"/>
      <c r="NHT159" s="252"/>
      <c r="NHU159" s="253"/>
      <c r="NHV159" s="252"/>
      <c r="NIC159" s="249"/>
      <c r="NID159" s="249"/>
      <c r="NIE159" s="249"/>
      <c r="NIF159" s="249"/>
      <c r="NIG159" s="249"/>
      <c r="NII159" s="249"/>
      <c r="NIJ159" s="250"/>
      <c r="NIK159" s="249"/>
      <c r="NIL159" s="251"/>
      <c r="NIM159" s="252"/>
      <c r="NIN159" s="252"/>
      <c r="NIO159" s="253"/>
      <c r="NIP159" s="252"/>
      <c r="NIW159" s="249"/>
      <c r="NIX159" s="249"/>
      <c r="NIY159" s="249"/>
      <c r="NIZ159" s="249"/>
      <c r="NJA159" s="249"/>
      <c r="NJC159" s="249"/>
      <c r="NJD159" s="250"/>
      <c r="NJE159" s="249"/>
      <c r="NJF159" s="251"/>
      <c r="NJG159" s="252"/>
      <c r="NJH159" s="252"/>
      <c r="NJI159" s="253"/>
      <c r="NJJ159" s="252"/>
      <c r="NJQ159" s="249"/>
      <c r="NJR159" s="249"/>
      <c r="NJS159" s="249"/>
      <c r="NJT159" s="249"/>
      <c r="NJU159" s="249"/>
      <c r="NJW159" s="249"/>
      <c r="NJX159" s="250"/>
      <c r="NJY159" s="249"/>
      <c r="NJZ159" s="251"/>
      <c r="NKA159" s="252"/>
      <c r="NKB159" s="252"/>
      <c r="NKC159" s="253"/>
      <c r="NKD159" s="252"/>
      <c r="NKK159" s="249"/>
      <c r="NKL159" s="249"/>
      <c r="NKM159" s="249"/>
      <c r="NKN159" s="249"/>
      <c r="NKO159" s="249"/>
      <c r="NKQ159" s="249"/>
      <c r="NKR159" s="250"/>
      <c r="NKS159" s="249"/>
      <c r="NKT159" s="251"/>
      <c r="NKU159" s="252"/>
      <c r="NKV159" s="252"/>
      <c r="NKW159" s="253"/>
      <c r="NKX159" s="252"/>
      <c r="NLE159" s="249"/>
      <c r="NLF159" s="249"/>
      <c r="NLG159" s="249"/>
      <c r="NLH159" s="249"/>
      <c r="NLI159" s="249"/>
      <c r="NLK159" s="249"/>
      <c r="NLL159" s="250"/>
      <c r="NLM159" s="249"/>
      <c r="NLN159" s="251"/>
      <c r="NLO159" s="252"/>
      <c r="NLP159" s="252"/>
      <c r="NLQ159" s="253"/>
      <c r="NLR159" s="252"/>
      <c r="NLY159" s="249"/>
      <c r="NLZ159" s="249"/>
      <c r="NMA159" s="249"/>
      <c r="NMB159" s="249"/>
      <c r="NMC159" s="249"/>
      <c r="NME159" s="249"/>
      <c r="NMF159" s="250"/>
      <c r="NMG159" s="249"/>
      <c r="NMH159" s="251"/>
      <c r="NMI159" s="252"/>
      <c r="NMJ159" s="252"/>
      <c r="NMK159" s="253"/>
      <c r="NML159" s="252"/>
      <c r="NMS159" s="249"/>
      <c r="NMT159" s="249"/>
      <c r="NMU159" s="249"/>
      <c r="NMV159" s="249"/>
      <c r="NMW159" s="249"/>
      <c r="NMY159" s="249"/>
      <c r="NMZ159" s="250"/>
      <c r="NNA159" s="249"/>
      <c r="NNB159" s="251"/>
      <c r="NNC159" s="252"/>
      <c r="NND159" s="252"/>
      <c r="NNE159" s="253"/>
      <c r="NNF159" s="252"/>
      <c r="NNM159" s="249"/>
      <c r="NNN159" s="249"/>
      <c r="NNO159" s="249"/>
      <c r="NNP159" s="249"/>
      <c r="NNQ159" s="249"/>
      <c r="NNS159" s="249"/>
      <c r="NNT159" s="250"/>
      <c r="NNU159" s="249"/>
      <c r="NNV159" s="251"/>
      <c r="NNW159" s="252"/>
      <c r="NNX159" s="252"/>
      <c r="NNY159" s="253"/>
      <c r="NNZ159" s="252"/>
      <c r="NOG159" s="249"/>
      <c r="NOH159" s="249"/>
      <c r="NOI159" s="249"/>
      <c r="NOJ159" s="249"/>
      <c r="NOK159" s="249"/>
      <c r="NOM159" s="249"/>
      <c r="NON159" s="250"/>
      <c r="NOO159" s="249"/>
      <c r="NOP159" s="251"/>
      <c r="NOQ159" s="252"/>
      <c r="NOR159" s="252"/>
      <c r="NOS159" s="253"/>
      <c r="NOT159" s="252"/>
      <c r="NPA159" s="249"/>
      <c r="NPB159" s="249"/>
      <c r="NPC159" s="249"/>
      <c r="NPD159" s="249"/>
      <c r="NPE159" s="249"/>
      <c r="NPG159" s="249"/>
      <c r="NPH159" s="250"/>
      <c r="NPI159" s="249"/>
      <c r="NPJ159" s="251"/>
      <c r="NPK159" s="252"/>
      <c r="NPL159" s="252"/>
      <c r="NPM159" s="253"/>
      <c r="NPN159" s="252"/>
      <c r="NPU159" s="249"/>
      <c r="NPV159" s="249"/>
      <c r="NPW159" s="249"/>
      <c r="NPX159" s="249"/>
      <c r="NPY159" s="249"/>
      <c r="NQA159" s="249"/>
      <c r="NQB159" s="250"/>
      <c r="NQC159" s="249"/>
      <c r="NQD159" s="251"/>
      <c r="NQE159" s="252"/>
      <c r="NQF159" s="252"/>
      <c r="NQG159" s="253"/>
      <c r="NQH159" s="252"/>
      <c r="NQO159" s="249"/>
      <c r="NQP159" s="249"/>
      <c r="NQQ159" s="249"/>
      <c r="NQR159" s="249"/>
      <c r="NQS159" s="249"/>
      <c r="NQU159" s="249"/>
      <c r="NQV159" s="250"/>
      <c r="NQW159" s="249"/>
      <c r="NQX159" s="251"/>
      <c r="NQY159" s="252"/>
      <c r="NQZ159" s="252"/>
      <c r="NRA159" s="253"/>
      <c r="NRB159" s="252"/>
      <c r="NRI159" s="249"/>
      <c r="NRJ159" s="249"/>
      <c r="NRK159" s="249"/>
      <c r="NRL159" s="249"/>
      <c r="NRM159" s="249"/>
      <c r="NRO159" s="249"/>
      <c r="NRP159" s="250"/>
      <c r="NRQ159" s="249"/>
      <c r="NRR159" s="251"/>
      <c r="NRS159" s="252"/>
      <c r="NRT159" s="252"/>
      <c r="NRU159" s="253"/>
      <c r="NRV159" s="252"/>
      <c r="NSC159" s="249"/>
      <c r="NSD159" s="249"/>
      <c r="NSE159" s="249"/>
      <c r="NSF159" s="249"/>
      <c r="NSG159" s="249"/>
      <c r="NSI159" s="249"/>
      <c r="NSJ159" s="250"/>
      <c r="NSK159" s="249"/>
      <c r="NSL159" s="251"/>
      <c r="NSM159" s="252"/>
      <c r="NSN159" s="252"/>
      <c r="NSO159" s="253"/>
      <c r="NSP159" s="252"/>
      <c r="NSW159" s="249"/>
      <c r="NSX159" s="249"/>
      <c r="NSY159" s="249"/>
      <c r="NSZ159" s="249"/>
      <c r="NTA159" s="249"/>
      <c r="NTC159" s="249"/>
      <c r="NTD159" s="250"/>
      <c r="NTE159" s="249"/>
      <c r="NTF159" s="251"/>
      <c r="NTG159" s="252"/>
      <c r="NTH159" s="252"/>
      <c r="NTI159" s="253"/>
      <c r="NTJ159" s="252"/>
      <c r="NTQ159" s="249"/>
      <c r="NTR159" s="249"/>
      <c r="NTS159" s="249"/>
      <c r="NTT159" s="249"/>
      <c r="NTU159" s="249"/>
      <c r="NTW159" s="249"/>
      <c r="NTX159" s="250"/>
      <c r="NTY159" s="249"/>
      <c r="NTZ159" s="251"/>
      <c r="NUA159" s="252"/>
      <c r="NUB159" s="252"/>
      <c r="NUC159" s="253"/>
      <c r="NUD159" s="252"/>
      <c r="NUK159" s="249"/>
      <c r="NUL159" s="249"/>
      <c r="NUM159" s="249"/>
      <c r="NUN159" s="249"/>
      <c r="NUO159" s="249"/>
      <c r="NUQ159" s="249"/>
      <c r="NUR159" s="250"/>
      <c r="NUS159" s="249"/>
      <c r="NUT159" s="251"/>
      <c r="NUU159" s="252"/>
      <c r="NUV159" s="252"/>
      <c r="NUW159" s="253"/>
      <c r="NUX159" s="252"/>
      <c r="NVE159" s="249"/>
      <c r="NVF159" s="249"/>
      <c r="NVG159" s="249"/>
      <c r="NVH159" s="249"/>
      <c r="NVI159" s="249"/>
      <c r="NVK159" s="249"/>
      <c r="NVL159" s="250"/>
      <c r="NVM159" s="249"/>
      <c r="NVN159" s="251"/>
      <c r="NVO159" s="252"/>
      <c r="NVP159" s="252"/>
      <c r="NVQ159" s="253"/>
      <c r="NVR159" s="252"/>
      <c r="NVY159" s="249"/>
      <c r="NVZ159" s="249"/>
      <c r="NWA159" s="249"/>
      <c r="NWB159" s="249"/>
      <c r="NWC159" s="249"/>
      <c r="NWE159" s="249"/>
      <c r="NWF159" s="250"/>
      <c r="NWG159" s="249"/>
      <c r="NWH159" s="251"/>
      <c r="NWI159" s="252"/>
      <c r="NWJ159" s="252"/>
      <c r="NWK159" s="253"/>
      <c r="NWL159" s="252"/>
      <c r="NWS159" s="249"/>
      <c r="NWT159" s="249"/>
      <c r="NWU159" s="249"/>
      <c r="NWV159" s="249"/>
      <c r="NWW159" s="249"/>
      <c r="NWY159" s="249"/>
      <c r="NWZ159" s="250"/>
      <c r="NXA159" s="249"/>
      <c r="NXB159" s="251"/>
      <c r="NXC159" s="252"/>
      <c r="NXD159" s="252"/>
      <c r="NXE159" s="253"/>
      <c r="NXF159" s="252"/>
      <c r="NXM159" s="249"/>
      <c r="NXN159" s="249"/>
      <c r="NXO159" s="249"/>
      <c r="NXP159" s="249"/>
      <c r="NXQ159" s="249"/>
      <c r="NXS159" s="249"/>
      <c r="NXT159" s="250"/>
      <c r="NXU159" s="249"/>
      <c r="NXV159" s="251"/>
      <c r="NXW159" s="252"/>
      <c r="NXX159" s="252"/>
      <c r="NXY159" s="253"/>
      <c r="NXZ159" s="252"/>
      <c r="NYG159" s="249"/>
      <c r="NYH159" s="249"/>
      <c r="NYI159" s="249"/>
      <c r="NYJ159" s="249"/>
      <c r="NYK159" s="249"/>
      <c r="NYM159" s="249"/>
      <c r="NYN159" s="250"/>
      <c r="NYO159" s="249"/>
      <c r="NYP159" s="251"/>
      <c r="NYQ159" s="252"/>
      <c r="NYR159" s="252"/>
      <c r="NYS159" s="253"/>
      <c r="NYT159" s="252"/>
      <c r="NZA159" s="249"/>
      <c r="NZB159" s="249"/>
      <c r="NZC159" s="249"/>
      <c r="NZD159" s="249"/>
      <c r="NZE159" s="249"/>
      <c r="NZG159" s="249"/>
      <c r="NZH159" s="250"/>
      <c r="NZI159" s="249"/>
      <c r="NZJ159" s="251"/>
      <c r="NZK159" s="252"/>
      <c r="NZL159" s="252"/>
      <c r="NZM159" s="253"/>
      <c r="NZN159" s="252"/>
      <c r="NZU159" s="249"/>
      <c r="NZV159" s="249"/>
      <c r="NZW159" s="249"/>
      <c r="NZX159" s="249"/>
      <c r="NZY159" s="249"/>
      <c r="OAA159" s="249"/>
      <c r="OAB159" s="250"/>
      <c r="OAC159" s="249"/>
      <c r="OAD159" s="251"/>
      <c r="OAE159" s="252"/>
      <c r="OAF159" s="252"/>
      <c r="OAG159" s="253"/>
      <c r="OAH159" s="252"/>
      <c r="OAO159" s="249"/>
      <c r="OAP159" s="249"/>
      <c r="OAQ159" s="249"/>
      <c r="OAR159" s="249"/>
      <c r="OAS159" s="249"/>
      <c r="OAU159" s="249"/>
      <c r="OAV159" s="250"/>
      <c r="OAW159" s="249"/>
      <c r="OAX159" s="251"/>
      <c r="OAY159" s="252"/>
      <c r="OAZ159" s="252"/>
      <c r="OBA159" s="253"/>
      <c r="OBB159" s="252"/>
      <c r="OBI159" s="249"/>
      <c r="OBJ159" s="249"/>
      <c r="OBK159" s="249"/>
      <c r="OBL159" s="249"/>
      <c r="OBM159" s="249"/>
      <c r="OBO159" s="249"/>
      <c r="OBP159" s="250"/>
      <c r="OBQ159" s="249"/>
      <c r="OBR159" s="251"/>
      <c r="OBS159" s="252"/>
      <c r="OBT159" s="252"/>
      <c r="OBU159" s="253"/>
      <c r="OBV159" s="252"/>
      <c r="OCC159" s="249"/>
      <c r="OCD159" s="249"/>
      <c r="OCE159" s="249"/>
      <c r="OCF159" s="249"/>
      <c r="OCG159" s="249"/>
      <c r="OCI159" s="249"/>
      <c r="OCJ159" s="250"/>
      <c r="OCK159" s="249"/>
      <c r="OCL159" s="251"/>
      <c r="OCM159" s="252"/>
      <c r="OCN159" s="252"/>
      <c r="OCO159" s="253"/>
      <c r="OCP159" s="252"/>
      <c r="OCW159" s="249"/>
      <c r="OCX159" s="249"/>
      <c r="OCY159" s="249"/>
      <c r="OCZ159" s="249"/>
      <c r="ODA159" s="249"/>
      <c r="ODC159" s="249"/>
      <c r="ODD159" s="250"/>
      <c r="ODE159" s="249"/>
      <c r="ODF159" s="251"/>
      <c r="ODG159" s="252"/>
      <c r="ODH159" s="252"/>
      <c r="ODI159" s="253"/>
      <c r="ODJ159" s="252"/>
      <c r="ODQ159" s="249"/>
      <c r="ODR159" s="249"/>
      <c r="ODS159" s="249"/>
      <c r="ODT159" s="249"/>
      <c r="ODU159" s="249"/>
      <c r="ODW159" s="249"/>
      <c r="ODX159" s="250"/>
      <c r="ODY159" s="249"/>
      <c r="ODZ159" s="251"/>
      <c r="OEA159" s="252"/>
      <c r="OEB159" s="252"/>
      <c r="OEC159" s="253"/>
      <c r="OED159" s="252"/>
      <c r="OEK159" s="249"/>
      <c r="OEL159" s="249"/>
      <c r="OEM159" s="249"/>
      <c r="OEN159" s="249"/>
      <c r="OEO159" s="249"/>
      <c r="OEQ159" s="249"/>
      <c r="OER159" s="250"/>
      <c r="OES159" s="249"/>
      <c r="OET159" s="251"/>
      <c r="OEU159" s="252"/>
      <c r="OEV159" s="252"/>
      <c r="OEW159" s="253"/>
      <c r="OEX159" s="252"/>
      <c r="OFE159" s="249"/>
      <c r="OFF159" s="249"/>
      <c r="OFG159" s="249"/>
      <c r="OFH159" s="249"/>
      <c r="OFI159" s="249"/>
      <c r="OFK159" s="249"/>
      <c r="OFL159" s="250"/>
      <c r="OFM159" s="249"/>
      <c r="OFN159" s="251"/>
      <c r="OFO159" s="252"/>
      <c r="OFP159" s="252"/>
      <c r="OFQ159" s="253"/>
      <c r="OFR159" s="252"/>
      <c r="OFY159" s="249"/>
      <c r="OFZ159" s="249"/>
      <c r="OGA159" s="249"/>
      <c r="OGB159" s="249"/>
      <c r="OGC159" s="249"/>
      <c r="OGE159" s="249"/>
      <c r="OGF159" s="250"/>
      <c r="OGG159" s="249"/>
      <c r="OGH159" s="251"/>
      <c r="OGI159" s="252"/>
      <c r="OGJ159" s="252"/>
      <c r="OGK159" s="253"/>
      <c r="OGL159" s="252"/>
      <c r="OGS159" s="249"/>
      <c r="OGT159" s="249"/>
      <c r="OGU159" s="249"/>
      <c r="OGV159" s="249"/>
      <c r="OGW159" s="249"/>
      <c r="OGY159" s="249"/>
      <c r="OGZ159" s="250"/>
      <c r="OHA159" s="249"/>
      <c r="OHB159" s="251"/>
      <c r="OHC159" s="252"/>
      <c r="OHD159" s="252"/>
      <c r="OHE159" s="253"/>
      <c r="OHF159" s="252"/>
      <c r="OHM159" s="249"/>
      <c r="OHN159" s="249"/>
      <c r="OHO159" s="249"/>
      <c r="OHP159" s="249"/>
      <c r="OHQ159" s="249"/>
      <c r="OHS159" s="249"/>
      <c r="OHT159" s="250"/>
      <c r="OHU159" s="249"/>
      <c r="OHV159" s="251"/>
      <c r="OHW159" s="252"/>
      <c r="OHX159" s="252"/>
      <c r="OHY159" s="253"/>
      <c r="OHZ159" s="252"/>
      <c r="OIG159" s="249"/>
      <c r="OIH159" s="249"/>
      <c r="OII159" s="249"/>
      <c r="OIJ159" s="249"/>
      <c r="OIK159" s="249"/>
      <c r="OIM159" s="249"/>
      <c r="OIN159" s="250"/>
      <c r="OIO159" s="249"/>
      <c r="OIP159" s="251"/>
      <c r="OIQ159" s="252"/>
      <c r="OIR159" s="252"/>
      <c r="OIS159" s="253"/>
      <c r="OIT159" s="252"/>
      <c r="OJA159" s="249"/>
      <c r="OJB159" s="249"/>
      <c r="OJC159" s="249"/>
      <c r="OJD159" s="249"/>
      <c r="OJE159" s="249"/>
      <c r="OJG159" s="249"/>
      <c r="OJH159" s="250"/>
      <c r="OJI159" s="249"/>
      <c r="OJJ159" s="251"/>
      <c r="OJK159" s="252"/>
      <c r="OJL159" s="252"/>
      <c r="OJM159" s="253"/>
      <c r="OJN159" s="252"/>
      <c r="OJU159" s="249"/>
      <c r="OJV159" s="249"/>
      <c r="OJW159" s="249"/>
      <c r="OJX159" s="249"/>
      <c r="OJY159" s="249"/>
      <c r="OKA159" s="249"/>
      <c r="OKB159" s="250"/>
      <c r="OKC159" s="249"/>
      <c r="OKD159" s="251"/>
      <c r="OKE159" s="252"/>
      <c r="OKF159" s="252"/>
      <c r="OKG159" s="253"/>
      <c r="OKH159" s="252"/>
      <c r="OKO159" s="249"/>
      <c r="OKP159" s="249"/>
      <c r="OKQ159" s="249"/>
      <c r="OKR159" s="249"/>
      <c r="OKS159" s="249"/>
      <c r="OKU159" s="249"/>
      <c r="OKV159" s="250"/>
      <c r="OKW159" s="249"/>
      <c r="OKX159" s="251"/>
      <c r="OKY159" s="252"/>
      <c r="OKZ159" s="252"/>
      <c r="OLA159" s="253"/>
      <c r="OLB159" s="252"/>
      <c r="OLI159" s="249"/>
      <c r="OLJ159" s="249"/>
      <c r="OLK159" s="249"/>
      <c r="OLL159" s="249"/>
      <c r="OLM159" s="249"/>
      <c r="OLO159" s="249"/>
      <c r="OLP159" s="250"/>
      <c r="OLQ159" s="249"/>
      <c r="OLR159" s="251"/>
      <c r="OLS159" s="252"/>
      <c r="OLT159" s="252"/>
      <c r="OLU159" s="253"/>
      <c r="OLV159" s="252"/>
      <c r="OMC159" s="249"/>
      <c r="OMD159" s="249"/>
      <c r="OME159" s="249"/>
      <c r="OMF159" s="249"/>
      <c r="OMG159" s="249"/>
      <c r="OMI159" s="249"/>
      <c r="OMJ159" s="250"/>
      <c r="OMK159" s="249"/>
      <c r="OML159" s="251"/>
      <c r="OMM159" s="252"/>
      <c r="OMN159" s="252"/>
      <c r="OMO159" s="253"/>
      <c r="OMP159" s="252"/>
      <c r="OMW159" s="249"/>
      <c r="OMX159" s="249"/>
      <c r="OMY159" s="249"/>
      <c r="OMZ159" s="249"/>
      <c r="ONA159" s="249"/>
      <c r="ONC159" s="249"/>
      <c r="OND159" s="250"/>
      <c r="ONE159" s="249"/>
      <c r="ONF159" s="251"/>
      <c r="ONG159" s="252"/>
      <c r="ONH159" s="252"/>
      <c r="ONI159" s="253"/>
      <c r="ONJ159" s="252"/>
      <c r="ONQ159" s="249"/>
      <c r="ONR159" s="249"/>
      <c r="ONS159" s="249"/>
      <c r="ONT159" s="249"/>
      <c r="ONU159" s="249"/>
      <c r="ONW159" s="249"/>
      <c r="ONX159" s="250"/>
      <c r="ONY159" s="249"/>
      <c r="ONZ159" s="251"/>
      <c r="OOA159" s="252"/>
      <c r="OOB159" s="252"/>
      <c r="OOC159" s="253"/>
      <c r="OOD159" s="252"/>
      <c r="OOK159" s="249"/>
      <c r="OOL159" s="249"/>
      <c r="OOM159" s="249"/>
      <c r="OON159" s="249"/>
      <c r="OOO159" s="249"/>
      <c r="OOQ159" s="249"/>
      <c r="OOR159" s="250"/>
      <c r="OOS159" s="249"/>
      <c r="OOT159" s="251"/>
      <c r="OOU159" s="252"/>
      <c r="OOV159" s="252"/>
      <c r="OOW159" s="253"/>
      <c r="OOX159" s="252"/>
      <c r="OPE159" s="249"/>
      <c r="OPF159" s="249"/>
      <c r="OPG159" s="249"/>
      <c r="OPH159" s="249"/>
      <c r="OPI159" s="249"/>
      <c r="OPK159" s="249"/>
      <c r="OPL159" s="250"/>
      <c r="OPM159" s="249"/>
      <c r="OPN159" s="251"/>
      <c r="OPO159" s="252"/>
      <c r="OPP159" s="252"/>
      <c r="OPQ159" s="253"/>
      <c r="OPR159" s="252"/>
      <c r="OPY159" s="249"/>
      <c r="OPZ159" s="249"/>
      <c r="OQA159" s="249"/>
      <c r="OQB159" s="249"/>
      <c r="OQC159" s="249"/>
      <c r="OQE159" s="249"/>
      <c r="OQF159" s="250"/>
      <c r="OQG159" s="249"/>
      <c r="OQH159" s="251"/>
      <c r="OQI159" s="252"/>
      <c r="OQJ159" s="252"/>
      <c r="OQK159" s="253"/>
      <c r="OQL159" s="252"/>
      <c r="OQS159" s="249"/>
      <c r="OQT159" s="249"/>
      <c r="OQU159" s="249"/>
      <c r="OQV159" s="249"/>
      <c r="OQW159" s="249"/>
      <c r="OQY159" s="249"/>
      <c r="OQZ159" s="250"/>
      <c r="ORA159" s="249"/>
      <c r="ORB159" s="251"/>
      <c r="ORC159" s="252"/>
      <c r="ORD159" s="252"/>
      <c r="ORE159" s="253"/>
      <c r="ORF159" s="252"/>
      <c r="ORM159" s="249"/>
      <c r="ORN159" s="249"/>
      <c r="ORO159" s="249"/>
      <c r="ORP159" s="249"/>
      <c r="ORQ159" s="249"/>
      <c r="ORS159" s="249"/>
      <c r="ORT159" s="250"/>
      <c r="ORU159" s="249"/>
      <c r="ORV159" s="251"/>
      <c r="ORW159" s="252"/>
      <c r="ORX159" s="252"/>
      <c r="ORY159" s="253"/>
      <c r="ORZ159" s="252"/>
      <c r="OSG159" s="249"/>
      <c r="OSH159" s="249"/>
      <c r="OSI159" s="249"/>
      <c r="OSJ159" s="249"/>
      <c r="OSK159" s="249"/>
      <c r="OSM159" s="249"/>
      <c r="OSN159" s="250"/>
      <c r="OSO159" s="249"/>
      <c r="OSP159" s="251"/>
      <c r="OSQ159" s="252"/>
      <c r="OSR159" s="252"/>
      <c r="OSS159" s="253"/>
      <c r="OST159" s="252"/>
      <c r="OTA159" s="249"/>
      <c r="OTB159" s="249"/>
      <c r="OTC159" s="249"/>
      <c r="OTD159" s="249"/>
      <c r="OTE159" s="249"/>
      <c r="OTG159" s="249"/>
      <c r="OTH159" s="250"/>
      <c r="OTI159" s="249"/>
      <c r="OTJ159" s="251"/>
      <c r="OTK159" s="252"/>
      <c r="OTL159" s="252"/>
      <c r="OTM159" s="253"/>
      <c r="OTN159" s="252"/>
      <c r="OTU159" s="249"/>
      <c r="OTV159" s="249"/>
      <c r="OTW159" s="249"/>
      <c r="OTX159" s="249"/>
      <c r="OTY159" s="249"/>
      <c r="OUA159" s="249"/>
      <c r="OUB159" s="250"/>
      <c r="OUC159" s="249"/>
      <c r="OUD159" s="251"/>
      <c r="OUE159" s="252"/>
      <c r="OUF159" s="252"/>
      <c r="OUG159" s="253"/>
      <c r="OUH159" s="252"/>
      <c r="OUO159" s="249"/>
      <c r="OUP159" s="249"/>
      <c r="OUQ159" s="249"/>
      <c r="OUR159" s="249"/>
      <c r="OUS159" s="249"/>
      <c r="OUU159" s="249"/>
      <c r="OUV159" s="250"/>
      <c r="OUW159" s="249"/>
      <c r="OUX159" s="251"/>
      <c r="OUY159" s="252"/>
      <c r="OUZ159" s="252"/>
      <c r="OVA159" s="253"/>
      <c r="OVB159" s="252"/>
      <c r="OVI159" s="249"/>
      <c r="OVJ159" s="249"/>
      <c r="OVK159" s="249"/>
      <c r="OVL159" s="249"/>
      <c r="OVM159" s="249"/>
      <c r="OVO159" s="249"/>
      <c r="OVP159" s="250"/>
      <c r="OVQ159" s="249"/>
      <c r="OVR159" s="251"/>
      <c r="OVS159" s="252"/>
      <c r="OVT159" s="252"/>
      <c r="OVU159" s="253"/>
      <c r="OVV159" s="252"/>
      <c r="OWC159" s="249"/>
      <c r="OWD159" s="249"/>
      <c r="OWE159" s="249"/>
      <c r="OWF159" s="249"/>
      <c r="OWG159" s="249"/>
      <c r="OWI159" s="249"/>
      <c r="OWJ159" s="250"/>
      <c r="OWK159" s="249"/>
      <c r="OWL159" s="251"/>
      <c r="OWM159" s="252"/>
      <c r="OWN159" s="252"/>
      <c r="OWO159" s="253"/>
      <c r="OWP159" s="252"/>
      <c r="OWW159" s="249"/>
      <c r="OWX159" s="249"/>
      <c r="OWY159" s="249"/>
      <c r="OWZ159" s="249"/>
      <c r="OXA159" s="249"/>
      <c r="OXC159" s="249"/>
      <c r="OXD159" s="250"/>
      <c r="OXE159" s="249"/>
      <c r="OXF159" s="251"/>
      <c r="OXG159" s="252"/>
      <c r="OXH159" s="252"/>
      <c r="OXI159" s="253"/>
      <c r="OXJ159" s="252"/>
      <c r="OXQ159" s="249"/>
      <c r="OXR159" s="249"/>
      <c r="OXS159" s="249"/>
      <c r="OXT159" s="249"/>
      <c r="OXU159" s="249"/>
      <c r="OXW159" s="249"/>
      <c r="OXX159" s="250"/>
      <c r="OXY159" s="249"/>
      <c r="OXZ159" s="251"/>
      <c r="OYA159" s="252"/>
      <c r="OYB159" s="252"/>
      <c r="OYC159" s="253"/>
      <c r="OYD159" s="252"/>
      <c r="OYK159" s="249"/>
      <c r="OYL159" s="249"/>
      <c r="OYM159" s="249"/>
      <c r="OYN159" s="249"/>
      <c r="OYO159" s="249"/>
      <c r="OYQ159" s="249"/>
      <c r="OYR159" s="250"/>
      <c r="OYS159" s="249"/>
      <c r="OYT159" s="251"/>
      <c r="OYU159" s="252"/>
      <c r="OYV159" s="252"/>
      <c r="OYW159" s="253"/>
      <c r="OYX159" s="252"/>
      <c r="OZE159" s="249"/>
      <c r="OZF159" s="249"/>
      <c r="OZG159" s="249"/>
      <c r="OZH159" s="249"/>
      <c r="OZI159" s="249"/>
      <c r="OZK159" s="249"/>
      <c r="OZL159" s="250"/>
      <c r="OZM159" s="249"/>
      <c r="OZN159" s="251"/>
      <c r="OZO159" s="252"/>
      <c r="OZP159" s="252"/>
      <c r="OZQ159" s="253"/>
      <c r="OZR159" s="252"/>
      <c r="OZY159" s="249"/>
      <c r="OZZ159" s="249"/>
      <c r="PAA159" s="249"/>
      <c r="PAB159" s="249"/>
      <c r="PAC159" s="249"/>
      <c r="PAE159" s="249"/>
      <c r="PAF159" s="250"/>
      <c r="PAG159" s="249"/>
      <c r="PAH159" s="251"/>
      <c r="PAI159" s="252"/>
      <c r="PAJ159" s="252"/>
      <c r="PAK159" s="253"/>
      <c r="PAL159" s="252"/>
      <c r="PAS159" s="249"/>
      <c r="PAT159" s="249"/>
      <c r="PAU159" s="249"/>
      <c r="PAV159" s="249"/>
      <c r="PAW159" s="249"/>
      <c r="PAY159" s="249"/>
      <c r="PAZ159" s="250"/>
      <c r="PBA159" s="249"/>
      <c r="PBB159" s="251"/>
      <c r="PBC159" s="252"/>
      <c r="PBD159" s="252"/>
      <c r="PBE159" s="253"/>
      <c r="PBF159" s="252"/>
      <c r="PBM159" s="249"/>
      <c r="PBN159" s="249"/>
      <c r="PBO159" s="249"/>
      <c r="PBP159" s="249"/>
      <c r="PBQ159" s="249"/>
      <c r="PBS159" s="249"/>
      <c r="PBT159" s="250"/>
      <c r="PBU159" s="249"/>
      <c r="PBV159" s="251"/>
      <c r="PBW159" s="252"/>
      <c r="PBX159" s="252"/>
      <c r="PBY159" s="253"/>
      <c r="PBZ159" s="252"/>
      <c r="PCG159" s="249"/>
      <c r="PCH159" s="249"/>
      <c r="PCI159" s="249"/>
      <c r="PCJ159" s="249"/>
      <c r="PCK159" s="249"/>
      <c r="PCM159" s="249"/>
      <c r="PCN159" s="250"/>
      <c r="PCO159" s="249"/>
      <c r="PCP159" s="251"/>
      <c r="PCQ159" s="252"/>
      <c r="PCR159" s="252"/>
      <c r="PCS159" s="253"/>
      <c r="PCT159" s="252"/>
      <c r="PDA159" s="249"/>
      <c r="PDB159" s="249"/>
      <c r="PDC159" s="249"/>
      <c r="PDD159" s="249"/>
      <c r="PDE159" s="249"/>
      <c r="PDG159" s="249"/>
      <c r="PDH159" s="250"/>
      <c r="PDI159" s="249"/>
      <c r="PDJ159" s="251"/>
      <c r="PDK159" s="252"/>
      <c r="PDL159" s="252"/>
      <c r="PDM159" s="253"/>
      <c r="PDN159" s="252"/>
      <c r="PDU159" s="249"/>
      <c r="PDV159" s="249"/>
      <c r="PDW159" s="249"/>
      <c r="PDX159" s="249"/>
      <c r="PDY159" s="249"/>
      <c r="PEA159" s="249"/>
      <c r="PEB159" s="250"/>
      <c r="PEC159" s="249"/>
      <c r="PED159" s="251"/>
      <c r="PEE159" s="252"/>
      <c r="PEF159" s="252"/>
      <c r="PEG159" s="253"/>
      <c r="PEH159" s="252"/>
      <c r="PEO159" s="249"/>
      <c r="PEP159" s="249"/>
      <c r="PEQ159" s="249"/>
      <c r="PER159" s="249"/>
      <c r="PES159" s="249"/>
      <c r="PEU159" s="249"/>
      <c r="PEV159" s="250"/>
      <c r="PEW159" s="249"/>
      <c r="PEX159" s="251"/>
      <c r="PEY159" s="252"/>
      <c r="PEZ159" s="252"/>
      <c r="PFA159" s="253"/>
      <c r="PFB159" s="252"/>
      <c r="PFI159" s="249"/>
      <c r="PFJ159" s="249"/>
      <c r="PFK159" s="249"/>
      <c r="PFL159" s="249"/>
      <c r="PFM159" s="249"/>
      <c r="PFO159" s="249"/>
      <c r="PFP159" s="250"/>
      <c r="PFQ159" s="249"/>
      <c r="PFR159" s="251"/>
      <c r="PFS159" s="252"/>
      <c r="PFT159" s="252"/>
      <c r="PFU159" s="253"/>
      <c r="PFV159" s="252"/>
      <c r="PGC159" s="249"/>
      <c r="PGD159" s="249"/>
      <c r="PGE159" s="249"/>
      <c r="PGF159" s="249"/>
      <c r="PGG159" s="249"/>
      <c r="PGI159" s="249"/>
      <c r="PGJ159" s="250"/>
      <c r="PGK159" s="249"/>
      <c r="PGL159" s="251"/>
      <c r="PGM159" s="252"/>
      <c r="PGN159" s="252"/>
      <c r="PGO159" s="253"/>
      <c r="PGP159" s="252"/>
      <c r="PGW159" s="249"/>
      <c r="PGX159" s="249"/>
      <c r="PGY159" s="249"/>
      <c r="PGZ159" s="249"/>
      <c r="PHA159" s="249"/>
      <c r="PHC159" s="249"/>
      <c r="PHD159" s="250"/>
      <c r="PHE159" s="249"/>
      <c r="PHF159" s="251"/>
      <c r="PHG159" s="252"/>
      <c r="PHH159" s="252"/>
      <c r="PHI159" s="253"/>
      <c r="PHJ159" s="252"/>
      <c r="PHQ159" s="249"/>
      <c r="PHR159" s="249"/>
      <c r="PHS159" s="249"/>
      <c r="PHT159" s="249"/>
      <c r="PHU159" s="249"/>
      <c r="PHW159" s="249"/>
      <c r="PHX159" s="250"/>
      <c r="PHY159" s="249"/>
      <c r="PHZ159" s="251"/>
      <c r="PIA159" s="252"/>
      <c r="PIB159" s="252"/>
      <c r="PIC159" s="253"/>
      <c r="PID159" s="252"/>
      <c r="PIK159" s="249"/>
      <c r="PIL159" s="249"/>
      <c r="PIM159" s="249"/>
      <c r="PIN159" s="249"/>
      <c r="PIO159" s="249"/>
      <c r="PIQ159" s="249"/>
      <c r="PIR159" s="250"/>
      <c r="PIS159" s="249"/>
      <c r="PIT159" s="251"/>
      <c r="PIU159" s="252"/>
      <c r="PIV159" s="252"/>
      <c r="PIW159" s="253"/>
      <c r="PIX159" s="252"/>
      <c r="PJE159" s="249"/>
      <c r="PJF159" s="249"/>
      <c r="PJG159" s="249"/>
      <c r="PJH159" s="249"/>
      <c r="PJI159" s="249"/>
      <c r="PJK159" s="249"/>
      <c r="PJL159" s="250"/>
      <c r="PJM159" s="249"/>
      <c r="PJN159" s="251"/>
      <c r="PJO159" s="252"/>
      <c r="PJP159" s="252"/>
      <c r="PJQ159" s="253"/>
      <c r="PJR159" s="252"/>
      <c r="PJY159" s="249"/>
      <c r="PJZ159" s="249"/>
      <c r="PKA159" s="249"/>
      <c r="PKB159" s="249"/>
      <c r="PKC159" s="249"/>
      <c r="PKE159" s="249"/>
      <c r="PKF159" s="250"/>
      <c r="PKG159" s="249"/>
      <c r="PKH159" s="251"/>
      <c r="PKI159" s="252"/>
      <c r="PKJ159" s="252"/>
      <c r="PKK159" s="253"/>
      <c r="PKL159" s="252"/>
      <c r="PKS159" s="249"/>
      <c r="PKT159" s="249"/>
      <c r="PKU159" s="249"/>
      <c r="PKV159" s="249"/>
      <c r="PKW159" s="249"/>
      <c r="PKY159" s="249"/>
      <c r="PKZ159" s="250"/>
      <c r="PLA159" s="249"/>
      <c r="PLB159" s="251"/>
      <c r="PLC159" s="252"/>
      <c r="PLD159" s="252"/>
      <c r="PLE159" s="253"/>
      <c r="PLF159" s="252"/>
      <c r="PLM159" s="249"/>
      <c r="PLN159" s="249"/>
      <c r="PLO159" s="249"/>
      <c r="PLP159" s="249"/>
      <c r="PLQ159" s="249"/>
      <c r="PLS159" s="249"/>
      <c r="PLT159" s="250"/>
      <c r="PLU159" s="249"/>
      <c r="PLV159" s="251"/>
      <c r="PLW159" s="252"/>
      <c r="PLX159" s="252"/>
      <c r="PLY159" s="253"/>
      <c r="PLZ159" s="252"/>
      <c r="PMG159" s="249"/>
      <c r="PMH159" s="249"/>
      <c r="PMI159" s="249"/>
      <c r="PMJ159" s="249"/>
      <c r="PMK159" s="249"/>
      <c r="PMM159" s="249"/>
      <c r="PMN159" s="250"/>
      <c r="PMO159" s="249"/>
      <c r="PMP159" s="251"/>
      <c r="PMQ159" s="252"/>
      <c r="PMR159" s="252"/>
      <c r="PMS159" s="253"/>
      <c r="PMT159" s="252"/>
      <c r="PNA159" s="249"/>
      <c r="PNB159" s="249"/>
      <c r="PNC159" s="249"/>
      <c r="PND159" s="249"/>
      <c r="PNE159" s="249"/>
      <c r="PNG159" s="249"/>
      <c r="PNH159" s="250"/>
      <c r="PNI159" s="249"/>
      <c r="PNJ159" s="251"/>
      <c r="PNK159" s="252"/>
      <c r="PNL159" s="252"/>
      <c r="PNM159" s="253"/>
      <c r="PNN159" s="252"/>
      <c r="PNU159" s="249"/>
      <c r="PNV159" s="249"/>
      <c r="PNW159" s="249"/>
      <c r="PNX159" s="249"/>
      <c r="PNY159" s="249"/>
      <c r="POA159" s="249"/>
      <c r="POB159" s="250"/>
      <c r="POC159" s="249"/>
      <c r="POD159" s="251"/>
      <c r="POE159" s="252"/>
      <c r="POF159" s="252"/>
      <c r="POG159" s="253"/>
      <c r="POH159" s="252"/>
      <c r="POO159" s="249"/>
      <c r="POP159" s="249"/>
      <c r="POQ159" s="249"/>
      <c r="POR159" s="249"/>
      <c r="POS159" s="249"/>
      <c r="POU159" s="249"/>
      <c r="POV159" s="250"/>
      <c r="POW159" s="249"/>
      <c r="POX159" s="251"/>
      <c r="POY159" s="252"/>
      <c r="POZ159" s="252"/>
      <c r="PPA159" s="253"/>
      <c r="PPB159" s="252"/>
      <c r="PPI159" s="249"/>
      <c r="PPJ159" s="249"/>
      <c r="PPK159" s="249"/>
      <c r="PPL159" s="249"/>
      <c r="PPM159" s="249"/>
      <c r="PPO159" s="249"/>
      <c r="PPP159" s="250"/>
      <c r="PPQ159" s="249"/>
      <c r="PPR159" s="251"/>
      <c r="PPS159" s="252"/>
      <c r="PPT159" s="252"/>
      <c r="PPU159" s="253"/>
      <c r="PPV159" s="252"/>
      <c r="PQC159" s="249"/>
      <c r="PQD159" s="249"/>
      <c r="PQE159" s="249"/>
      <c r="PQF159" s="249"/>
      <c r="PQG159" s="249"/>
      <c r="PQI159" s="249"/>
      <c r="PQJ159" s="250"/>
      <c r="PQK159" s="249"/>
      <c r="PQL159" s="251"/>
      <c r="PQM159" s="252"/>
      <c r="PQN159" s="252"/>
      <c r="PQO159" s="253"/>
      <c r="PQP159" s="252"/>
      <c r="PQW159" s="249"/>
      <c r="PQX159" s="249"/>
      <c r="PQY159" s="249"/>
      <c r="PQZ159" s="249"/>
      <c r="PRA159" s="249"/>
      <c r="PRC159" s="249"/>
      <c r="PRD159" s="250"/>
      <c r="PRE159" s="249"/>
      <c r="PRF159" s="251"/>
      <c r="PRG159" s="252"/>
      <c r="PRH159" s="252"/>
      <c r="PRI159" s="253"/>
      <c r="PRJ159" s="252"/>
      <c r="PRQ159" s="249"/>
      <c r="PRR159" s="249"/>
      <c r="PRS159" s="249"/>
      <c r="PRT159" s="249"/>
      <c r="PRU159" s="249"/>
      <c r="PRW159" s="249"/>
      <c r="PRX159" s="250"/>
      <c r="PRY159" s="249"/>
      <c r="PRZ159" s="251"/>
      <c r="PSA159" s="252"/>
      <c r="PSB159" s="252"/>
      <c r="PSC159" s="253"/>
      <c r="PSD159" s="252"/>
      <c r="PSK159" s="249"/>
      <c r="PSL159" s="249"/>
      <c r="PSM159" s="249"/>
      <c r="PSN159" s="249"/>
      <c r="PSO159" s="249"/>
      <c r="PSQ159" s="249"/>
      <c r="PSR159" s="250"/>
      <c r="PSS159" s="249"/>
      <c r="PST159" s="251"/>
      <c r="PSU159" s="252"/>
      <c r="PSV159" s="252"/>
      <c r="PSW159" s="253"/>
      <c r="PSX159" s="252"/>
      <c r="PTE159" s="249"/>
      <c r="PTF159" s="249"/>
      <c r="PTG159" s="249"/>
      <c r="PTH159" s="249"/>
      <c r="PTI159" s="249"/>
      <c r="PTK159" s="249"/>
      <c r="PTL159" s="250"/>
      <c r="PTM159" s="249"/>
      <c r="PTN159" s="251"/>
      <c r="PTO159" s="252"/>
      <c r="PTP159" s="252"/>
      <c r="PTQ159" s="253"/>
      <c r="PTR159" s="252"/>
      <c r="PTY159" s="249"/>
      <c r="PTZ159" s="249"/>
      <c r="PUA159" s="249"/>
      <c r="PUB159" s="249"/>
      <c r="PUC159" s="249"/>
      <c r="PUE159" s="249"/>
      <c r="PUF159" s="250"/>
      <c r="PUG159" s="249"/>
      <c r="PUH159" s="251"/>
      <c r="PUI159" s="252"/>
      <c r="PUJ159" s="252"/>
      <c r="PUK159" s="253"/>
      <c r="PUL159" s="252"/>
      <c r="PUS159" s="249"/>
      <c r="PUT159" s="249"/>
      <c r="PUU159" s="249"/>
      <c r="PUV159" s="249"/>
      <c r="PUW159" s="249"/>
      <c r="PUY159" s="249"/>
      <c r="PUZ159" s="250"/>
      <c r="PVA159" s="249"/>
      <c r="PVB159" s="251"/>
      <c r="PVC159" s="252"/>
      <c r="PVD159" s="252"/>
      <c r="PVE159" s="253"/>
      <c r="PVF159" s="252"/>
      <c r="PVM159" s="249"/>
      <c r="PVN159" s="249"/>
      <c r="PVO159" s="249"/>
      <c r="PVP159" s="249"/>
      <c r="PVQ159" s="249"/>
      <c r="PVS159" s="249"/>
      <c r="PVT159" s="250"/>
      <c r="PVU159" s="249"/>
      <c r="PVV159" s="251"/>
      <c r="PVW159" s="252"/>
      <c r="PVX159" s="252"/>
      <c r="PVY159" s="253"/>
      <c r="PVZ159" s="252"/>
      <c r="PWG159" s="249"/>
      <c r="PWH159" s="249"/>
      <c r="PWI159" s="249"/>
      <c r="PWJ159" s="249"/>
      <c r="PWK159" s="249"/>
      <c r="PWM159" s="249"/>
      <c r="PWN159" s="250"/>
      <c r="PWO159" s="249"/>
      <c r="PWP159" s="251"/>
      <c r="PWQ159" s="252"/>
      <c r="PWR159" s="252"/>
      <c r="PWS159" s="253"/>
      <c r="PWT159" s="252"/>
      <c r="PXA159" s="249"/>
      <c r="PXB159" s="249"/>
      <c r="PXC159" s="249"/>
      <c r="PXD159" s="249"/>
      <c r="PXE159" s="249"/>
      <c r="PXG159" s="249"/>
      <c r="PXH159" s="250"/>
      <c r="PXI159" s="249"/>
      <c r="PXJ159" s="251"/>
      <c r="PXK159" s="252"/>
      <c r="PXL159" s="252"/>
      <c r="PXM159" s="253"/>
      <c r="PXN159" s="252"/>
      <c r="PXU159" s="249"/>
      <c r="PXV159" s="249"/>
      <c r="PXW159" s="249"/>
      <c r="PXX159" s="249"/>
      <c r="PXY159" s="249"/>
      <c r="PYA159" s="249"/>
      <c r="PYB159" s="250"/>
      <c r="PYC159" s="249"/>
      <c r="PYD159" s="251"/>
      <c r="PYE159" s="252"/>
      <c r="PYF159" s="252"/>
      <c r="PYG159" s="253"/>
      <c r="PYH159" s="252"/>
      <c r="PYO159" s="249"/>
      <c r="PYP159" s="249"/>
      <c r="PYQ159" s="249"/>
      <c r="PYR159" s="249"/>
      <c r="PYS159" s="249"/>
      <c r="PYU159" s="249"/>
      <c r="PYV159" s="250"/>
      <c r="PYW159" s="249"/>
      <c r="PYX159" s="251"/>
      <c r="PYY159" s="252"/>
      <c r="PYZ159" s="252"/>
      <c r="PZA159" s="253"/>
      <c r="PZB159" s="252"/>
      <c r="PZI159" s="249"/>
      <c r="PZJ159" s="249"/>
      <c r="PZK159" s="249"/>
      <c r="PZL159" s="249"/>
      <c r="PZM159" s="249"/>
      <c r="PZO159" s="249"/>
      <c r="PZP159" s="250"/>
      <c r="PZQ159" s="249"/>
      <c r="PZR159" s="251"/>
      <c r="PZS159" s="252"/>
      <c r="PZT159" s="252"/>
      <c r="PZU159" s="253"/>
      <c r="PZV159" s="252"/>
      <c r="QAC159" s="249"/>
      <c r="QAD159" s="249"/>
      <c r="QAE159" s="249"/>
      <c r="QAF159" s="249"/>
      <c r="QAG159" s="249"/>
      <c r="QAI159" s="249"/>
      <c r="QAJ159" s="250"/>
      <c r="QAK159" s="249"/>
      <c r="QAL159" s="251"/>
      <c r="QAM159" s="252"/>
      <c r="QAN159" s="252"/>
      <c r="QAO159" s="253"/>
      <c r="QAP159" s="252"/>
      <c r="QAW159" s="249"/>
      <c r="QAX159" s="249"/>
      <c r="QAY159" s="249"/>
      <c r="QAZ159" s="249"/>
      <c r="QBA159" s="249"/>
      <c r="QBC159" s="249"/>
      <c r="QBD159" s="250"/>
      <c r="QBE159" s="249"/>
      <c r="QBF159" s="251"/>
      <c r="QBG159" s="252"/>
      <c r="QBH159" s="252"/>
      <c r="QBI159" s="253"/>
      <c r="QBJ159" s="252"/>
      <c r="QBQ159" s="249"/>
      <c r="QBR159" s="249"/>
      <c r="QBS159" s="249"/>
      <c r="QBT159" s="249"/>
      <c r="QBU159" s="249"/>
      <c r="QBW159" s="249"/>
      <c r="QBX159" s="250"/>
      <c r="QBY159" s="249"/>
      <c r="QBZ159" s="251"/>
      <c r="QCA159" s="252"/>
      <c r="QCB159" s="252"/>
      <c r="QCC159" s="253"/>
      <c r="QCD159" s="252"/>
      <c r="QCK159" s="249"/>
      <c r="QCL159" s="249"/>
      <c r="QCM159" s="249"/>
      <c r="QCN159" s="249"/>
      <c r="QCO159" s="249"/>
      <c r="QCQ159" s="249"/>
      <c r="QCR159" s="250"/>
      <c r="QCS159" s="249"/>
      <c r="QCT159" s="251"/>
      <c r="QCU159" s="252"/>
      <c r="QCV159" s="252"/>
      <c r="QCW159" s="253"/>
      <c r="QCX159" s="252"/>
      <c r="QDE159" s="249"/>
      <c r="QDF159" s="249"/>
      <c r="QDG159" s="249"/>
      <c r="QDH159" s="249"/>
      <c r="QDI159" s="249"/>
      <c r="QDK159" s="249"/>
      <c r="QDL159" s="250"/>
      <c r="QDM159" s="249"/>
      <c r="QDN159" s="251"/>
      <c r="QDO159" s="252"/>
      <c r="QDP159" s="252"/>
      <c r="QDQ159" s="253"/>
      <c r="QDR159" s="252"/>
      <c r="QDY159" s="249"/>
      <c r="QDZ159" s="249"/>
      <c r="QEA159" s="249"/>
      <c r="QEB159" s="249"/>
      <c r="QEC159" s="249"/>
      <c r="QEE159" s="249"/>
      <c r="QEF159" s="250"/>
      <c r="QEG159" s="249"/>
      <c r="QEH159" s="251"/>
      <c r="QEI159" s="252"/>
      <c r="QEJ159" s="252"/>
      <c r="QEK159" s="253"/>
      <c r="QEL159" s="252"/>
      <c r="QES159" s="249"/>
      <c r="QET159" s="249"/>
      <c r="QEU159" s="249"/>
      <c r="QEV159" s="249"/>
      <c r="QEW159" s="249"/>
      <c r="QEY159" s="249"/>
      <c r="QEZ159" s="250"/>
      <c r="QFA159" s="249"/>
      <c r="QFB159" s="251"/>
      <c r="QFC159" s="252"/>
      <c r="QFD159" s="252"/>
      <c r="QFE159" s="253"/>
      <c r="QFF159" s="252"/>
      <c r="QFM159" s="249"/>
      <c r="QFN159" s="249"/>
      <c r="QFO159" s="249"/>
      <c r="QFP159" s="249"/>
      <c r="QFQ159" s="249"/>
      <c r="QFS159" s="249"/>
      <c r="QFT159" s="250"/>
      <c r="QFU159" s="249"/>
      <c r="QFV159" s="251"/>
      <c r="QFW159" s="252"/>
      <c r="QFX159" s="252"/>
      <c r="QFY159" s="253"/>
      <c r="QFZ159" s="252"/>
      <c r="QGG159" s="249"/>
      <c r="QGH159" s="249"/>
      <c r="QGI159" s="249"/>
      <c r="QGJ159" s="249"/>
      <c r="QGK159" s="249"/>
      <c r="QGM159" s="249"/>
      <c r="QGN159" s="250"/>
      <c r="QGO159" s="249"/>
      <c r="QGP159" s="251"/>
      <c r="QGQ159" s="252"/>
      <c r="QGR159" s="252"/>
      <c r="QGS159" s="253"/>
      <c r="QGT159" s="252"/>
      <c r="QHA159" s="249"/>
      <c r="QHB159" s="249"/>
      <c r="QHC159" s="249"/>
      <c r="QHD159" s="249"/>
      <c r="QHE159" s="249"/>
      <c r="QHG159" s="249"/>
      <c r="QHH159" s="250"/>
      <c r="QHI159" s="249"/>
      <c r="QHJ159" s="251"/>
      <c r="QHK159" s="252"/>
      <c r="QHL159" s="252"/>
      <c r="QHM159" s="253"/>
      <c r="QHN159" s="252"/>
      <c r="QHU159" s="249"/>
      <c r="QHV159" s="249"/>
      <c r="QHW159" s="249"/>
      <c r="QHX159" s="249"/>
      <c r="QHY159" s="249"/>
      <c r="QIA159" s="249"/>
      <c r="QIB159" s="250"/>
      <c r="QIC159" s="249"/>
      <c r="QID159" s="251"/>
      <c r="QIE159" s="252"/>
      <c r="QIF159" s="252"/>
      <c r="QIG159" s="253"/>
      <c r="QIH159" s="252"/>
      <c r="QIO159" s="249"/>
      <c r="QIP159" s="249"/>
      <c r="QIQ159" s="249"/>
      <c r="QIR159" s="249"/>
      <c r="QIS159" s="249"/>
      <c r="QIU159" s="249"/>
      <c r="QIV159" s="250"/>
      <c r="QIW159" s="249"/>
      <c r="QIX159" s="251"/>
      <c r="QIY159" s="252"/>
      <c r="QIZ159" s="252"/>
      <c r="QJA159" s="253"/>
      <c r="QJB159" s="252"/>
      <c r="QJI159" s="249"/>
      <c r="QJJ159" s="249"/>
      <c r="QJK159" s="249"/>
      <c r="QJL159" s="249"/>
      <c r="QJM159" s="249"/>
      <c r="QJO159" s="249"/>
      <c r="QJP159" s="250"/>
      <c r="QJQ159" s="249"/>
      <c r="QJR159" s="251"/>
      <c r="QJS159" s="252"/>
      <c r="QJT159" s="252"/>
      <c r="QJU159" s="253"/>
      <c r="QJV159" s="252"/>
      <c r="QKC159" s="249"/>
      <c r="QKD159" s="249"/>
      <c r="QKE159" s="249"/>
      <c r="QKF159" s="249"/>
      <c r="QKG159" s="249"/>
      <c r="QKI159" s="249"/>
      <c r="QKJ159" s="250"/>
      <c r="QKK159" s="249"/>
      <c r="QKL159" s="251"/>
      <c r="QKM159" s="252"/>
      <c r="QKN159" s="252"/>
      <c r="QKO159" s="253"/>
      <c r="QKP159" s="252"/>
      <c r="QKW159" s="249"/>
      <c r="QKX159" s="249"/>
      <c r="QKY159" s="249"/>
      <c r="QKZ159" s="249"/>
      <c r="QLA159" s="249"/>
      <c r="QLC159" s="249"/>
      <c r="QLD159" s="250"/>
      <c r="QLE159" s="249"/>
      <c r="QLF159" s="251"/>
      <c r="QLG159" s="252"/>
      <c r="QLH159" s="252"/>
      <c r="QLI159" s="253"/>
      <c r="QLJ159" s="252"/>
      <c r="QLQ159" s="249"/>
      <c r="QLR159" s="249"/>
      <c r="QLS159" s="249"/>
      <c r="QLT159" s="249"/>
      <c r="QLU159" s="249"/>
      <c r="QLW159" s="249"/>
      <c r="QLX159" s="250"/>
      <c r="QLY159" s="249"/>
      <c r="QLZ159" s="251"/>
      <c r="QMA159" s="252"/>
      <c r="QMB159" s="252"/>
      <c r="QMC159" s="253"/>
      <c r="QMD159" s="252"/>
      <c r="QMK159" s="249"/>
      <c r="QML159" s="249"/>
      <c r="QMM159" s="249"/>
      <c r="QMN159" s="249"/>
      <c r="QMO159" s="249"/>
      <c r="QMQ159" s="249"/>
      <c r="QMR159" s="250"/>
      <c r="QMS159" s="249"/>
      <c r="QMT159" s="251"/>
      <c r="QMU159" s="252"/>
      <c r="QMV159" s="252"/>
      <c r="QMW159" s="253"/>
      <c r="QMX159" s="252"/>
      <c r="QNE159" s="249"/>
      <c r="QNF159" s="249"/>
      <c r="QNG159" s="249"/>
      <c r="QNH159" s="249"/>
      <c r="QNI159" s="249"/>
      <c r="QNK159" s="249"/>
      <c r="QNL159" s="250"/>
      <c r="QNM159" s="249"/>
      <c r="QNN159" s="251"/>
      <c r="QNO159" s="252"/>
      <c r="QNP159" s="252"/>
      <c r="QNQ159" s="253"/>
      <c r="QNR159" s="252"/>
      <c r="QNY159" s="249"/>
      <c r="QNZ159" s="249"/>
      <c r="QOA159" s="249"/>
      <c r="QOB159" s="249"/>
      <c r="QOC159" s="249"/>
      <c r="QOE159" s="249"/>
      <c r="QOF159" s="250"/>
      <c r="QOG159" s="249"/>
      <c r="QOH159" s="251"/>
      <c r="QOI159" s="252"/>
      <c r="QOJ159" s="252"/>
      <c r="QOK159" s="253"/>
      <c r="QOL159" s="252"/>
      <c r="QOS159" s="249"/>
      <c r="QOT159" s="249"/>
      <c r="QOU159" s="249"/>
      <c r="QOV159" s="249"/>
      <c r="QOW159" s="249"/>
      <c r="QOY159" s="249"/>
      <c r="QOZ159" s="250"/>
      <c r="QPA159" s="249"/>
      <c r="QPB159" s="251"/>
      <c r="QPC159" s="252"/>
      <c r="QPD159" s="252"/>
      <c r="QPE159" s="253"/>
      <c r="QPF159" s="252"/>
      <c r="QPM159" s="249"/>
      <c r="QPN159" s="249"/>
      <c r="QPO159" s="249"/>
      <c r="QPP159" s="249"/>
      <c r="QPQ159" s="249"/>
      <c r="QPS159" s="249"/>
      <c r="QPT159" s="250"/>
      <c r="QPU159" s="249"/>
      <c r="QPV159" s="251"/>
      <c r="QPW159" s="252"/>
      <c r="QPX159" s="252"/>
      <c r="QPY159" s="253"/>
      <c r="QPZ159" s="252"/>
      <c r="QQG159" s="249"/>
      <c r="QQH159" s="249"/>
      <c r="QQI159" s="249"/>
      <c r="QQJ159" s="249"/>
      <c r="QQK159" s="249"/>
      <c r="QQM159" s="249"/>
      <c r="QQN159" s="250"/>
      <c r="QQO159" s="249"/>
      <c r="QQP159" s="251"/>
      <c r="QQQ159" s="252"/>
      <c r="QQR159" s="252"/>
      <c r="QQS159" s="253"/>
      <c r="QQT159" s="252"/>
      <c r="QRA159" s="249"/>
      <c r="QRB159" s="249"/>
      <c r="QRC159" s="249"/>
      <c r="QRD159" s="249"/>
      <c r="QRE159" s="249"/>
      <c r="QRG159" s="249"/>
      <c r="QRH159" s="250"/>
      <c r="QRI159" s="249"/>
      <c r="QRJ159" s="251"/>
      <c r="QRK159" s="252"/>
      <c r="QRL159" s="252"/>
      <c r="QRM159" s="253"/>
      <c r="QRN159" s="252"/>
      <c r="QRU159" s="249"/>
      <c r="QRV159" s="249"/>
      <c r="QRW159" s="249"/>
      <c r="QRX159" s="249"/>
      <c r="QRY159" s="249"/>
      <c r="QSA159" s="249"/>
      <c r="QSB159" s="250"/>
      <c r="QSC159" s="249"/>
      <c r="QSD159" s="251"/>
      <c r="QSE159" s="252"/>
      <c r="QSF159" s="252"/>
      <c r="QSG159" s="253"/>
      <c r="QSH159" s="252"/>
      <c r="QSO159" s="249"/>
      <c r="QSP159" s="249"/>
      <c r="QSQ159" s="249"/>
      <c r="QSR159" s="249"/>
      <c r="QSS159" s="249"/>
      <c r="QSU159" s="249"/>
      <c r="QSV159" s="250"/>
      <c r="QSW159" s="249"/>
      <c r="QSX159" s="251"/>
      <c r="QSY159" s="252"/>
      <c r="QSZ159" s="252"/>
      <c r="QTA159" s="253"/>
      <c r="QTB159" s="252"/>
      <c r="QTI159" s="249"/>
      <c r="QTJ159" s="249"/>
      <c r="QTK159" s="249"/>
      <c r="QTL159" s="249"/>
      <c r="QTM159" s="249"/>
      <c r="QTO159" s="249"/>
      <c r="QTP159" s="250"/>
      <c r="QTQ159" s="249"/>
      <c r="QTR159" s="251"/>
      <c r="QTS159" s="252"/>
      <c r="QTT159" s="252"/>
      <c r="QTU159" s="253"/>
      <c r="QTV159" s="252"/>
      <c r="QUC159" s="249"/>
      <c r="QUD159" s="249"/>
      <c r="QUE159" s="249"/>
      <c r="QUF159" s="249"/>
      <c r="QUG159" s="249"/>
      <c r="QUI159" s="249"/>
      <c r="QUJ159" s="250"/>
      <c r="QUK159" s="249"/>
      <c r="QUL159" s="251"/>
      <c r="QUM159" s="252"/>
      <c r="QUN159" s="252"/>
      <c r="QUO159" s="253"/>
      <c r="QUP159" s="252"/>
      <c r="QUW159" s="249"/>
      <c r="QUX159" s="249"/>
      <c r="QUY159" s="249"/>
      <c r="QUZ159" s="249"/>
      <c r="QVA159" s="249"/>
      <c r="QVC159" s="249"/>
      <c r="QVD159" s="250"/>
      <c r="QVE159" s="249"/>
      <c r="QVF159" s="251"/>
      <c r="QVG159" s="252"/>
      <c r="QVH159" s="252"/>
      <c r="QVI159" s="253"/>
      <c r="QVJ159" s="252"/>
      <c r="QVQ159" s="249"/>
      <c r="QVR159" s="249"/>
      <c r="QVS159" s="249"/>
      <c r="QVT159" s="249"/>
      <c r="QVU159" s="249"/>
      <c r="QVW159" s="249"/>
      <c r="QVX159" s="250"/>
      <c r="QVY159" s="249"/>
      <c r="QVZ159" s="251"/>
      <c r="QWA159" s="252"/>
      <c r="QWB159" s="252"/>
      <c r="QWC159" s="253"/>
      <c r="QWD159" s="252"/>
      <c r="QWK159" s="249"/>
      <c r="QWL159" s="249"/>
      <c r="QWM159" s="249"/>
      <c r="QWN159" s="249"/>
      <c r="QWO159" s="249"/>
      <c r="QWQ159" s="249"/>
      <c r="QWR159" s="250"/>
      <c r="QWS159" s="249"/>
      <c r="QWT159" s="251"/>
      <c r="QWU159" s="252"/>
      <c r="QWV159" s="252"/>
      <c r="QWW159" s="253"/>
      <c r="QWX159" s="252"/>
      <c r="QXE159" s="249"/>
      <c r="QXF159" s="249"/>
      <c r="QXG159" s="249"/>
      <c r="QXH159" s="249"/>
      <c r="QXI159" s="249"/>
      <c r="QXK159" s="249"/>
      <c r="QXL159" s="250"/>
      <c r="QXM159" s="249"/>
      <c r="QXN159" s="251"/>
      <c r="QXO159" s="252"/>
      <c r="QXP159" s="252"/>
      <c r="QXQ159" s="253"/>
      <c r="QXR159" s="252"/>
      <c r="QXY159" s="249"/>
      <c r="QXZ159" s="249"/>
      <c r="QYA159" s="249"/>
      <c r="QYB159" s="249"/>
      <c r="QYC159" s="249"/>
      <c r="QYE159" s="249"/>
      <c r="QYF159" s="250"/>
      <c r="QYG159" s="249"/>
      <c r="QYH159" s="251"/>
      <c r="QYI159" s="252"/>
      <c r="QYJ159" s="252"/>
      <c r="QYK159" s="253"/>
      <c r="QYL159" s="252"/>
      <c r="QYS159" s="249"/>
      <c r="QYT159" s="249"/>
      <c r="QYU159" s="249"/>
      <c r="QYV159" s="249"/>
      <c r="QYW159" s="249"/>
      <c r="QYY159" s="249"/>
      <c r="QYZ159" s="250"/>
      <c r="QZA159" s="249"/>
      <c r="QZB159" s="251"/>
      <c r="QZC159" s="252"/>
      <c r="QZD159" s="252"/>
      <c r="QZE159" s="253"/>
      <c r="QZF159" s="252"/>
      <c r="QZM159" s="249"/>
      <c r="QZN159" s="249"/>
      <c r="QZO159" s="249"/>
      <c r="QZP159" s="249"/>
      <c r="QZQ159" s="249"/>
      <c r="QZS159" s="249"/>
      <c r="QZT159" s="250"/>
      <c r="QZU159" s="249"/>
      <c r="QZV159" s="251"/>
      <c r="QZW159" s="252"/>
      <c r="QZX159" s="252"/>
      <c r="QZY159" s="253"/>
      <c r="QZZ159" s="252"/>
      <c r="RAG159" s="249"/>
      <c r="RAH159" s="249"/>
      <c r="RAI159" s="249"/>
      <c r="RAJ159" s="249"/>
      <c r="RAK159" s="249"/>
      <c r="RAM159" s="249"/>
      <c r="RAN159" s="250"/>
      <c r="RAO159" s="249"/>
      <c r="RAP159" s="251"/>
      <c r="RAQ159" s="252"/>
      <c r="RAR159" s="252"/>
      <c r="RAS159" s="253"/>
      <c r="RAT159" s="252"/>
      <c r="RBA159" s="249"/>
      <c r="RBB159" s="249"/>
      <c r="RBC159" s="249"/>
      <c r="RBD159" s="249"/>
      <c r="RBE159" s="249"/>
      <c r="RBG159" s="249"/>
      <c r="RBH159" s="250"/>
      <c r="RBI159" s="249"/>
      <c r="RBJ159" s="251"/>
      <c r="RBK159" s="252"/>
      <c r="RBL159" s="252"/>
      <c r="RBM159" s="253"/>
      <c r="RBN159" s="252"/>
      <c r="RBU159" s="249"/>
      <c r="RBV159" s="249"/>
      <c r="RBW159" s="249"/>
      <c r="RBX159" s="249"/>
      <c r="RBY159" s="249"/>
      <c r="RCA159" s="249"/>
      <c r="RCB159" s="250"/>
      <c r="RCC159" s="249"/>
      <c r="RCD159" s="251"/>
      <c r="RCE159" s="252"/>
      <c r="RCF159" s="252"/>
      <c r="RCG159" s="253"/>
      <c r="RCH159" s="252"/>
      <c r="RCO159" s="249"/>
      <c r="RCP159" s="249"/>
      <c r="RCQ159" s="249"/>
      <c r="RCR159" s="249"/>
      <c r="RCS159" s="249"/>
      <c r="RCU159" s="249"/>
      <c r="RCV159" s="250"/>
      <c r="RCW159" s="249"/>
      <c r="RCX159" s="251"/>
      <c r="RCY159" s="252"/>
      <c r="RCZ159" s="252"/>
      <c r="RDA159" s="253"/>
      <c r="RDB159" s="252"/>
      <c r="RDI159" s="249"/>
      <c r="RDJ159" s="249"/>
      <c r="RDK159" s="249"/>
      <c r="RDL159" s="249"/>
      <c r="RDM159" s="249"/>
      <c r="RDO159" s="249"/>
      <c r="RDP159" s="250"/>
      <c r="RDQ159" s="249"/>
      <c r="RDR159" s="251"/>
      <c r="RDS159" s="252"/>
      <c r="RDT159" s="252"/>
      <c r="RDU159" s="253"/>
      <c r="RDV159" s="252"/>
      <c r="REC159" s="249"/>
      <c r="RED159" s="249"/>
      <c r="REE159" s="249"/>
      <c r="REF159" s="249"/>
      <c r="REG159" s="249"/>
      <c r="REI159" s="249"/>
      <c r="REJ159" s="250"/>
      <c r="REK159" s="249"/>
      <c r="REL159" s="251"/>
      <c r="REM159" s="252"/>
      <c r="REN159" s="252"/>
      <c r="REO159" s="253"/>
      <c r="REP159" s="252"/>
      <c r="REW159" s="249"/>
      <c r="REX159" s="249"/>
      <c r="REY159" s="249"/>
      <c r="REZ159" s="249"/>
      <c r="RFA159" s="249"/>
      <c r="RFC159" s="249"/>
      <c r="RFD159" s="250"/>
      <c r="RFE159" s="249"/>
      <c r="RFF159" s="251"/>
      <c r="RFG159" s="252"/>
      <c r="RFH159" s="252"/>
      <c r="RFI159" s="253"/>
      <c r="RFJ159" s="252"/>
      <c r="RFQ159" s="249"/>
      <c r="RFR159" s="249"/>
      <c r="RFS159" s="249"/>
      <c r="RFT159" s="249"/>
      <c r="RFU159" s="249"/>
      <c r="RFW159" s="249"/>
      <c r="RFX159" s="250"/>
      <c r="RFY159" s="249"/>
      <c r="RFZ159" s="251"/>
      <c r="RGA159" s="252"/>
      <c r="RGB159" s="252"/>
      <c r="RGC159" s="253"/>
      <c r="RGD159" s="252"/>
      <c r="RGK159" s="249"/>
      <c r="RGL159" s="249"/>
      <c r="RGM159" s="249"/>
      <c r="RGN159" s="249"/>
      <c r="RGO159" s="249"/>
      <c r="RGQ159" s="249"/>
      <c r="RGR159" s="250"/>
      <c r="RGS159" s="249"/>
      <c r="RGT159" s="251"/>
      <c r="RGU159" s="252"/>
      <c r="RGV159" s="252"/>
      <c r="RGW159" s="253"/>
      <c r="RGX159" s="252"/>
      <c r="RHE159" s="249"/>
      <c r="RHF159" s="249"/>
      <c r="RHG159" s="249"/>
      <c r="RHH159" s="249"/>
      <c r="RHI159" s="249"/>
      <c r="RHK159" s="249"/>
      <c r="RHL159" s="250"/>
      <c r="RHM159" s="249"/>
      <c r="RHN159" s="251"/>
      <c r="RHO159" s="252"/>
      <c r="RHP159" s="252"/>
      <c r="RHQ159" s="253"/>
      <c r="RHR159" s="252"/>
      <c r="RHY159" s="249"/>
      <c r="RHZ159" s="249"/>
      <c r="RIA159" s="249"/>
      <c r="RIB159" s="249"/>
      <c r="RIC159" s="249"/>
      <c r="RIE159" s="249"/>
      <c r="RIF159" s="250"/>
      <c r="RIG159" s="249"/>
      <c r="RIH159" s="251"/>
      <c r="RII159" s="252"/>
      <c r="RIJ159" s="252"/>
      <c r="RIK159" s="253"/>
      <c r="RIL159" s="252"/>
      <c r="RIS159" s="249"/>
      <c r="RIT159" s="249"/>
      <c r="RIU159" s="249"/>
      <c r="RIV159" s="249"/>
      <c r="RIW159" s="249"/>
      <c r="RIY159" s="249"/>
      <c r="RIZ159" s="250"/>
      <c r="RJA159" s="249"/>
      <c r="RJB159" s="251"/>
      <c r="RJC159" s="252"/>
      <c r="RJD159" s="252"/>
      <c r="RJE159" s="253"/>
      <c r="RJF159" s="252"/>
      <c r="RJM159" s="249"/>
      <c r="RJN159" s="249"/>
      <c r="RJO159" s="249"/>
      <c r="RJP159" s="249"/>
      <c r="RJQ159" s="249"/>
      <c r="RJS159" s="249"/>
      <c r="RJT159" s="250"/>
      <c r="RJU159" s="249"/>
      <c r="RJV159" s="251"/>
      <c r="RJW159" s="252"/>
      <c r="RJX159" s="252"/>
      <c r="RJY159" s="253"/>
      <c r="RJZ159" s="252"/>
      <c r="RKG159" s="249"/>
      <c r="RKH159" s="249"/>
      <c r="RKI159" s="249"/>
      <c r="RKJ159" s="249"/>
      <c r="RKK159" s="249"/>
      <c r="RKM159" s="249"/>
      <c r="RKN159" s="250"/>
      <c r="RKO159" s="249"/>
      <c r="RKP159" s="251"/>
      <c r="RKQ159" s="252"/>
      <c r="RKR159" s="252"/>
      <c r="RKS159" s="253"/>
      <c r="RKT159" s="252"/>
      <c r="RLA159" s="249"/>
      <c r="RLB159" s="249"/>
      <c r="RLC159" s="249"/>
      <c r="RLD159" s="249"/>
      <c r="RLE159" s="249"/>
      <c r="RLG159" s="249"/>
      <c r="RLH159" s="250"/>
      <c r="RLI159" s="249"/>
      <c r="RLJ159" s="251"/>
      <c r="RLK159" s="252"/>
      <c r="RLL159" s="252"/>
      <c r="RLM159" s="253"/>
      <c r="RLN159" s="252"/>
      <c r="RLU159" s="249"/>
      <c r="RLV159" s="249"/>
      <c r="RLW159" s="249"/>
      <c r="RLX159" s="249"/>
      <c r="RLY159" s="249"/>
      <c r="RMA159" s="249"/>
      <c r="RMB159" s="250"/>
      <c r="RMC159" s="249"/>
      <c r="RMD159" s="251"/>
      <c r="RME159" s="252"/>
      <c r="RMF159" s="252"/>
      <c r="RMG159" s="253"/>
      <c r="RMH159" s="252"/>
      <c r="RMO159" s="249"/>
      <c r="RMP159" s="249"/>
      <c r="RMQ159" s="249"/>
      <c r="RMR159" s="249"/>
      <c r="RMS159" s="249"/>
      <c r="RMU159" s="249"/>
      <c r="RMV159" s="250"/>
      <c r="RMW159" s="249"/>
      <c r="RMX159" s="251"/>
      <c r="RMY159" s="252"/>
      <c r="RMZ159" s="252"/>
      <c r="RNA159" s="253"/>
      <c r="RNB159" s="252"/>
      <c r="RNI159" s="249"/>
      <c r="RNJ159" s="249"/>
      <c r="RNK159" s="249"/>
      <c r="RNL159" s="249"/>
      <c r="RNM159" s="249"/>
      <c r="RNO159" s="249"/>
      <c r="RNP159" s="250"/>
      <c r="RNQ159" s="249"/>
      <c r="RNR159" s="251"/>
      <c r="RNS159" s="252"/>
      <c r="RNT159" s="252"/>
      <c r="RNU159" s="253"/>
      <c r="RNV159" s="252"/>
      <c r="ROC159" s="249"/>
      <c r="ROD159" s="249"/>
      <c r="ROE159" s="249"/>
      <c r="ROF159" s="249"/>
      <c r="ROG159" s="249"/>
      <c r="ROI159" s="249"/>
      <c r="ROJ159" s="250"/>
      <c r="ROK159" s="249"/>
      <c r="ROL159" s="251"/>
      <c r="ROM159" s="252"/>
      <c r="RON159" s="252"/>
      <c r="ROO159" s="253"/>
      <c r="ROP159" s="252"/>
      <c r="ROW159" s="249"/>
      <c r="ROX159" s="249"/>
      <c r="ROY159" s="249"/>
      <c r="ROZ159" s="249"/>
      <c r="RPA159" s="249"/>
      <c r="RPC159" s="249"/>
      <c r="RPD159" s="250"/>
      <c r="RPE159" s="249"/>
      <c r="RPF159" s="251"/>
      <c r="RPG159" s="252"/>
      <c r="RPH159" s="252"/>
      <c r="RPI159" s="253"/>
      <c r="RPJ159" s="252"/>
      <c r="RPQ159" s="249"/>
      <c r="RPR159" s="249"/>
      <c r="RPS159" s="249"/>
      <c r="RPT159" s="249"/>
      <c r="RPU159" s="249"/>
      <c r="RPW159" s="249"/>
      <c r="RPX159" s="250"/>
      <c r="RPY159" s="249"/>
      <c r="RPZ159" s="251"/>
      <c r="RQA159" s="252"/>
      <c r="RQB159" s="252"/>
      <c r="RQC159" s="253"/>
      <c r="RQD159" s="252"/>
      <c r="RQK159" s="249"/>
      <c r="RQL159" s="249"/>
      <c r="RQM159" s="249"/>
      <c r="RQN159" s="249"/>
      <c r="RQO159" s="249"/>
      <c r="RQQ159" s="249"/>
      <c r="RQR159" s="250"/>
      <c r="RQS159" s="249"/>
      <c r="RQT159" s="251"/>
      <c r="RQU159" s="252"/>
      <c r="RQV159" s="252"/>
      <c r="RQW159" s="253"/>
      <c r="RQX159" s="252"/>
      <c r="RRE159" s="249"/>
      <c r="RRF159" s="249"/>
      <c r="RRG159" s="249"/>
      <c r="RRH159" s="249"/>
      <c r="RRI159" s="249"/>
      <c r="RRK159" s="249"/>
      <c r="RRL159" s="250"/>
      <c r="RRM159" s="249"/>
      <c r="RRN159" s="251"/>
      <c r="RRO159" s="252"/>
      <c r="RRP159" s="252"/>
      <c r="RRQ159" s="253"/>
      <c r="RRR159" s="252"/>
      <c r="RRY159" s="249"/>
      <c r="RRZ159" s="249"/>
      <c r="RSA159" s="249"/>
      <c r="RSB159" s="249"/>
      <c r="RSC159" s="249"/>
      <c r="RSE159" s="249"/>
      <c r="RSF159" s="250"/>
      <c r="RSG159" s="249"/>
      <c r="RSH159" s="251"/>
      <c r="RSI159" s="252"/>
      <c r="RSJ159" s="252"/>
      <c r="RSK159" s="253"/>
      <c r="RSL159" s="252"/>
      <c r="RSS159" s="249"/>
      <c r="RST159" s="249"/>
      <c r="RSU159" s="249"/>
      <c r="RSV159" s="249"/>
      <c r="RSW159" s="249"/>
      <c r="RSY159" s="249"/>
      <c r="RSZ159" s="250"/>
      <c r="RTA159" s="249"/>
      <c r="RTB159" s="251"/>
      <c r="RTC159" s="252"/>
      <c r="RTD159" s="252"/>
      <c r="RTE159" s="253"/>
      <c r="RTF159" s="252"/>
      <c r="RTM159" s="249"/>
      <c r="RTN159" s="249"/>
      <c r="RTO159" s="249"/>
      <c r="RTP159" s="249"/>
      <c r="RTQ159" s="249"/>
      <c r="RTS159" s="249"/>
      <c r="RTT159" s="250"/>
      <c r="RTU159" s="249"/>
      <c r="RTV159" s="251"/>
      <c r="RTW159" s="252"/>
      <c r="RTX159" s="252"/>
      <c r="RTY159" s="253"/>
      <c r="RTZ159" s="252"/>
      <c r="RUG159" s="249"/>
      <c r="RUH159" s="249"/>
      <c r="RUI159" s="249"/>
      <c r="RUJ159" s="249"/>
      <c r="RUK159" s="249"/>
      <c r="RUM159" s="249"/>
      <c r="RUN159" s="250"/>
      <c r="RUO159" s="249"/>
      <c r="RUP159" s="251"/>
      <c r="RUQ159" s="252"/>
      <c r="RUR159" s="252"/>
      <c r="RUS159" s="253"/>
      <c r="RUT159" s="252"/>
      <c r="RVA159" s="249"/>
      <c r="RVB159" s="249"/>
      <c r="RVC159" s="249"/>
      <c r="RVD159" s="249"/>
      <c r="RVE159" s="249"/>
      <c r="RVG159" s="249"/>
      <c r="RVH159" s="250"/>
      <c r="RVI159" s="249"/>
      <c r="RVJ159" s="251"/>
      <c r="RVK159" s="252"/>
      <c r="RVL159" s="252"/>
      <c r="RVM159" s="253"/>
      <c r="RVN159" s="252"/>
      <c r="RVU159" s="249"/>
      <c r="RVV159" s="249"/>
      <c r="RVW159" s="249"/>
      <c r="RVX159" s="249"/>
      <c r="RVY159" s="249"/>
      <c r="RWA159" s="249"/>
      <c r="RWB159" s="250"/>
      <c r="RWC159" s="249"/>
      <c r="RWD159" s="251"/>
      <c r="RWE159" s="252"/>
      <c r="RWF159" s="252"/>
      <c r="RWG159" s="253"/>
      <c r="RWH159" s="252"/>
      <c r="RWO159" s="249"/>
      <c r="RWP159" s="249"/>
      <c r="RWQ159" s="249"/>
      <c r="RWR159" s="249"/>
      <c r="RWS159" s="249"/>
      <c r="RWU159" s="249"/>
      <c r="RWV159" s="250"/>
      <c r="RWW159" s="249"/>
      <c r="RWX159" s="251"/>
      <c r="RWY159" s="252"/>
      <c r="RWZ159" s="252"/>
      <c r="RXA159" s="253"/>
      <c r="RXB159" s="252"/>
      <c r="RXI159" s="249"/>
      <c r="RXJ159" s="249"/>
      <c r="RXK159" s="249"/>
      <c r="RXL159" s="249"/>
      <c r="RXM159" s="249"/>
      <c r="RXO159" s="249"/>
      <c r="RXP159" s="250"/>
      <c r="RXQ159" s="249"/>
      <c r="RXR159" s="251"/>
      <c r="RXS159" s="252"/>
      <c r="RXT159" s="252"/>
      <c r="RXU159" s="253"/>
      <c r="RXV159" s="252"/>
      <c r="RYC159" s="249"/>
      <c r="RYD159" s="249"/>
      <c r="RYE159" s="249"/>
      <c r="RYF159" s="249"/>
      <c r="RYG159" s="249"/>
      <c r="RYI159" s="249"/>
      <c r="RYJ159" s="250"/>
      <c r="RYK159" s="249"/>
      <c r="RYL159" s="251"/>
      <c r="RYM159" s="252"/>
      <c r="RYN159" s="252"/>
      <c r="RYO159" s="253"/>
      <c r="RYP159" s="252"/>
      <c r="RYW159" s="249"/>
      <c r="RYX159" s="249"/>
      <c r="RYY159" s="249"/>
      <c r="RYZ159" s="249"/>
      <c r="RZA159" s="249"/>
      <c r="RZC159" s="249"/>
      <c r="RZD159" s="250"/>
      <c r="RZE159" s="249"/>
      <c r="RZF159" s="251"/>
      <c r="RZG159" s="252"/>
      <c r="RZH159" s="252"/>
      <c r="RZI159" s="253"/>
      <c r="RZJ159" s="252"/>
      <c r="RZQ159" s="249"/>
      <c r="RZR159" s="249"/>
      <c r="RZS159" s="249"/>
      <c r="RZT159" s="249"/>
      <c r="RZU159" s="249"/>
      <c r="RZW159" s="249"/>
      <c r="RZX159" s="250"/>
      <c r="RZY159" s="249"/>
      <c r="RZZ159" s="251"/>
      <c r="SAA159" s="252"/>
      <c r="SAB159" s="252"/>
      <c r="SAC159" s="253"/>
      <c r="SAD159" s="252"/>
      <c r="SAK159" s="249"/>
      <c r="SAL159" s="249"/>
      <c r="SAM159" s="249"/>
      <c r="SAN159" s="249"/>
      <c r="SAO159" s="249"/>
      <c r="SAQ159" s="249"/>
      <c r="SAR159" s="250"/>
      <c r="SAS159" s="249"/>
      <c r="SAT159" s="251"/>
      <c r="SAU159" s="252"/>
      <c r="SAV159" s="252"/>
      <c r="SAW159" s="253"/>
      <c r="SAX159" s="252"/>
      <c r="SBE159" s="249"/>
      <c r="SBF159" s="249"/>
      <c r="SBG159" s="249"/>
      <c r="SBH159" s="249"/>
      <c r="SBI159" s="249"/>
      <c r="SBK159" s="249"/>
      <c r="SBL159" s="250"/>
      <c r="SBM159" s="249"/>
      <c r="SBN159" s="251"/>
      <c r="SBO159" s="252"/>
      <c r="SBP159" s="252"/>
      <c r="SBQ159" s="253"/>
      <c r="SBR159" s="252"/>
      <c r="SBY159" s="249"/>
      <c r="SBZ159" s="249"/>
      <c r="SCA159" s="249"/>
      <c r="SCB159" s="249"/>
      <c r="SCC159" s="249"/>
      <c r="SCE159" s="249"/>
      <c r="SCF159" s="250"/>
      <c r="SCG159" s="249"/>
      <c r="SCH159" s="251"/>
      <c r="SCI159" s="252"/>
      <c r="SCJ159" s="252"/>
      <c r="SCK159" s="253"/>
      <c r="SCL159" s="252"/>
      <c r="SCS159" s="249"/>
      <c r="SCT159" s="249"/>
      <c r="SCU159" s="249"/>
      <c r="SCV159" s="249"/>
      <c r="SCW159" s="249"/>
      <c r="SCY159" s="249"/>
      <c r="SCZ159" s="250"/>
      <c r="SDA159" s="249"/>
      <c r="SDB159" s="251"/>
      <c r="SDC159" s="252"/>
      <c r="SDD159" s="252"/>
      <c r="SDE159" s="253"/>
      <c r="SDF159" s="252"/>
      <c r="SDM159" s="249"/>
      <c r="SDN159" s="249"/>
      <c r="SDO159" s="249"/>
      <c r="SDP159" s="249"/>
      <c r="SDQ159" s="249"/>
      <c r="SDS159" s="249"/>
      <c r="SDT159" s="250"/>
      <c r="SDU159" s="249"/>
      <c r="SDV159" s="251"/>
      <c r="SDW159" s="252"/>
      <c r="SDX159" s="252"/>
      <c r="SDY159" s="253"/>
      <c r="SDZ159" s="252"/>
      <c r="SEG159" s="249"/>
      <c r="SEH159" s="249"/>
      <c r="SEI159" s="249"/>
      <c r="SEJ159" s="249"/>
      <c r="SEK159" s="249"/>
      <c r="SEM159" s="249"/>
      <c r="SEN159" s="250"/>
      <c r="SEO159" s="249"/>
      <c r="SEP159" s="251"/>
      <c r="SEQ159" s="252"/>
      <c r="SER159" s="252"/>
      <c r="SES159" s="253"/>
      <c r="SET159" s="252"/>
      <c r="SFA159" s="249"/>
      <c r="SFB159" s="249"/>
      <c r="SFC159" s="249"/>
      <c r="SFD159" s="249"/>
      <c r="SFE159" s="249"/>
      <c r="SFG159" s="249"/>
      <c r="SFH159" s="250"/>
      <c r="SFI159" s="249"/>
      <c r="SFJ159" s="251"/>
      <c r="SFK159" s="252"/>
      <c r="SFL159" s="252"/>
      <c r="SFM159" s="253"/>
      <c r="SFN159" s="252"/>
      <c r="SFU159" s="249"/>
      <c r="SFV159" s="249"/>
      <c r="SFW159" s="249"/>
      <c r="SFX159" s="249"/>
      <c r="SFY159" s="249"/>
      <c r="SGA159" s="249"/>
      <c r="SGB159" s="250"/>
      <c r="SGC159" s="249"/>
      <c r="SGD159" s="251"/>
      <c r="SGE159" s="252"/>
      <c r="SGF159" s="252"/>
      <c r="SGG159" s="253"/>
      <c r="SGH159" s="252"/>
      <c r="SGO159" s="249"/>
      <c r="SGP159" s="249"/>
      <c r="SGQ159" s="249"/>
      <c r="SGR159" s="249"/>
      <c r="SGS159" s="249"/>
      <c r="SGU159" s="249"/>
      <c r="SGV159" s="250"/>
      <c r="SGW159" s="249"/>
      <c r="SGX159" s="251"/>
      <c r="SGY159" s="252"/>
      <c r="SGZ159" s="252"/>
      <c r="SHA159" s="253"/>
      <c r="SHB159" s="252"/>
      <c r="SHI159" s="249"/>
      <c r="SHJ159" s="249"/>
      <c r="SHK159" s="249"/>
      <c r="SHL159" s="249"/>
      <c r="SHM159" s="249"/>
      <c r="SHO159" s="249"/>
      <c r="SHP159" s="250"/>
      <c r="SHQ159" s="249"/>
      <c r="SHR159" s="251"/>
      <c r="SHS159" s="252"/>
      <c r="SHT159" s="252"/>
      <c r="SHU159" s="253"/>
      <c r="SHV159" s="252"/>
      <c r="SIC159" s="249"/>
      <c r="SID159" s="249"/>
      <c r="SIE159" s="249"/>
      <c r="SIF159" s="249"/>
      <c r="SIG159" s="249"/>
      <c r="SII159" s="249"/>
      <c r="SIJ159" s="250"/>
      <c r="SIK159" s="249"/>
      <c r="SIL159" s="251"/>
      <c r="SIM159" s="252"/>
      <c r="SIN159" s="252"/>
      <c r="SIO159" s="253"/>
      <c r="SIP159" s="252"/>
      <c r="SIW159" s="249"/>
      <c r="SIX159" s="249"/>
      <c r="SIY159" s="249"/>
      <c r="SIZ159" s="249"/>
      <c r="SJA159" s="249"/>
      <c r="SJC159" s="249"/>
      <c r="SJD159" s="250"/>
      <c r="SJE159" s="249"/>
      <c r="SJF159" s="251"/>
      <c r="SJG159" s="252"/>
      <c r="SJH159" s="252"/>
      <c r="SJI159" s="253"/>
      <c r="SJJ159" s="252"/>
      <c r="SJQ159" s="249"/>
      <c r="SJR159" s="249"/>
      <c r="SJS159" s="249"/>
      <c r="SJT159" s="249"/>
      <c r="SJU159" s="249"/>
      <c r="SJW159" s="249"/>
      <c r="SJX159" s="250"/>
      <c r="SJY159" s="249"/>
      <c r="SJZ159" s="251"/>
      <c r="SKA159" s="252"/>
      <c r="SKB159" s="252"/>
      <c r="SKC159" s="253"/>
      <c r="SKD159" s="252"/>
      <c r="SKK159" s="249"/>
      <c r="SKL159" s="249"/>
      <c r="SKM159" s="249"/>
      <c r="SKN159" s="249"/>
      <c r="SKO159" s="249"/>
      <c r="SKQ159" s="249"/>
      <c r="SKR159" s="250"/>
      <c r="SKS159" s="249"/>
      <c r="SKT159" s="251"/>
      <c r="SKU159" s="252"/>
      <c r="SKV159" s="252"/>
      <c r="SKW159" s="253"/>
      <c r="SKX159" s="252"/>
      <c r="SLE159" s="249"/>
      <c r="SLF159" s="249"/>
      <c r="SLG159" s="249"/>
      <c r="SLH159" s="249"/>
      <c r="SLI159" s="249"/>
      <c r="SLK159" s="249"/>
      <c r="SLL159" s="250"/>
      <c r="SLM159" s="249"/>
      <c r="SLN159" s="251"/>
      <c r="SLO159" s="252"/>
      <c r="SLP159" s="252"/>
      <c r="SLQ159" s="253"/>
      <c r="SLR159" s="252"/>
      <c r="SLY159" s="249"/>
      <c r="SLZ159" s="249"/>
      <c r="SMA159" s="249"/>
      <c r="SMB159" s="249"/>
      <c r="SMC159" s="249"/>
      <c r="SME159" s="249"/>
      <c r="SMF159" s="250"/>
      <c r="SMG159" s="249"/>
      <c r="SMH159" s="251"/>
      <c r="SMI159" s="252"/>
      <c r="SMJ159" s="252"/>
      <c r="SMK159" s="253"/>
      <c r="SML159" s="252"/>
      <c r="SMS159" s="249"/>
      <c r="SMT159" s="249"/>
      <c r="SMU159" s="249"/>
      <c r="SMV159" s="249"/>
      <c r="SMW159" s="249"/>
      <c r="SMY159" s="249"/>
      <c r="SMZ159" s="250"/>
      <c r="SNA159" s="249"/>
      <c r="SNB159" s="251"/>
      <c r="SNC159" s="252"/>
      <c r="SND159" s="252"/>
      <c r="SNE159" s="253"/>
      <c r="SNF159" s="252"/>
      <c r="SNM159" s="249"/>
      <c r="SNN159" s="249"/>
      <c r="SNO159" s="249"/>
      <c r="SNP159" s="249"/>
      <c r="SNQ159" s="249"/>
      <c r="SNS159" s="249"/>
      <c r="SNT159" s="250"/>
      <c r="SNU159" s="249"/>
      <c r="SNV159" s="251"/>
      <c r="SNW159" s="252"/>
      <c r="SNX159" s="252"/>
      <c r="SNY159" s="253"/>
      <c r="SNZ159" s="252"/>
      <c r="SOG159" s="249"/>
      <c r="SOH159" s="249"/>
      <c r="SOI159" s="249"/>
      <c r="SOJ159" s="249"/>
      <c r="SOK159" s="249"/>
      <c r="SOM159" s="249"/>
      <c r="SON159" s="250"/>
      <c r="SOO159" s="249"/>
      <c r="SOP159" s="251"/>
      <c r="SOQ159" s="252"/>
      <c r="SOR159" s="252"/>
      <c r="SOS159" s="253"/>
      <c r="SOT159" s="252"/>
      <c r="SPA159" s="249"/>
      <c r="SPB159" s="249"/>
      <c r="SPC159" s="249"/>
      <c r="SPD159" s="249"/>
      <c r="SPE159" s="249"/>
      <c r="SPG159" s="249"/>
      <c r="SPH159" s="250"/>
      <c r="SPI159" s="249"/>
      <c r="SPJ159" s="251"/>
      <c r="SPK159" s="252"/>
      <c r="SPL159" s="252"/>
      <c r="SPM159" s="253"/>
      <c r="SPN159" s="252"/>
      <c r="SPU159" s="249"/>
      <c r="SPV159" s="249"/>
      <c r="SPW159" s="249"/>
      <c r="SPX159" s="249"/>
      <c r="SPY159" s="249"/>
      <c r="SQA159" s="249"/>
      <c r="SQB159" s="250"/>
      <c r="SQC159" s="249"/>
      <c r="SQD159" s="251"/>
      <c r="SQE159" s="252"/>
      <c r="SQF159" s="252"/>
      <c r="SQG159" s="253"/>
      <c r="SQH159" s="252"/>
      <c r="SQO159" s="249"/>
      <c r="SQP159" s="249"/>
      <c r="SQQ159" s="249"/>
      <c r="SQR159" s="249"/>
      <c r="SQS159" s="249"/>
      <c r="SQU159" s="249"/>
      <c r="SQV159" s="250"/>
      <c r="SQW159" s="249"/>
      <c r="SQX159" s="251"/>
      <c r="SQY159" s="252"/>
      <c r="SQZ159" s="252"/>
      <c r="SRA159" s="253"/>
      <c r="SRB159" s="252"/>
      <c r="SRI159" s="249"/>
      <c r="SRJ159" s="249"/>
      <c r="SRK159" s="249"/>
      <c r="SRL159" s="249"/>
      <c r="SRM159" s="249"/>
      <c r="SRO159" s="249"/>
      <c r="SRP159" s="250"/>
      <c r="SRQ159" s="249"/>
      <c r="SRR159" s="251"/>
      <c r="SRS159" s="252"/>
      <c r="SRT159" s="252"/>
      <c r="SRU159" s="253"/>
      <c r="SRV159" s="252"/>
      <c r="SSC159" s="249"/>
      <c r="SSD159" s="249"/>
      <c r="SSE159" s="249"/>
      <c r="SSF159" s="249"/>
      <c r="SSG159" s="249"/>
      <c r="SSI159" s="249"/>
      <c r="SSJ159" s="250"/>
      <c r="SSK159" s="249"/>
      <c r="SSL159" s="251"/>
      <c r="SSM159" s="252"/>
      <c r="SSN159" s="252"/>
      <c r="SSO159" s="253"/>
      <c r="SSP159" s="252"/>
      <c r="SSW159" s="249"/>
      <c r="SSX159" s="249"/>
      <c r="SSY159" s="249"/>
      <c r="SSZ159" s="249"/>
      <c r="STA159" s="249"/>
      <c r="STC159" s="249"/>
      <c r="STD159" s="250"/>
      <c r="STE159" s="249"/>
      <c r="STF159" s="251"/>
      <c r="STG159" s="252"/>
      <c r="STH159" s="252"/>
      <c r="STI159" s="253"/>
      <c r="STJ159" s="252"/>
      <c r="STQ159" s="249"/>
      <c r="STR159" s="249"/>
      <c r="STS159" s="249"/>
      <c r="STT159" s="249"/>
      <c r="STU159" s="249"/>
      <c r="STW159" s="249"/>
      <c r="STX159" s="250"/>
      <c r="STY159" s="249"/>
      <c r="STZ159" s="251"/>
      <c r="SUA159" s="252"/>
      <c r="SUB159" s="252"/>
      <c r="SUC159" s="253"/>
      <c r="SUD159" s="252"/>
      <c r="SUK159" s="249"/>
      <c r="SUL159" s="249"/>
      <c r="SUM159" s="249"/>
      <c r="SUN159" s="249"/>
      <c r="SUO159" s="249"/>
      <c r="SUQ159" s="249"/>
      <c r="SUR159" s="250"/>
      <c r="SUS159" s="249"/>
      <c r="SUT159" s="251"/>
      <c r="SUU159" s="252"/>
      <c r="SUV159" s="252"/>
      <c r="SUW159" s="253"/>
      <c r="SUX159" s="252"/>
      <c r="SVE159" s="249"/>
      <c r="SVF159" s="249"/>
      <c r="SVG159" s="249"/>
      <c r="SVH159" s="249"/>
      <c r="SVI159" s="249"/>
      <c r="SVK159" s="249"/>
      <c r="SVL159" s="250"/>
      <c r="SVM159" s="249"/>
      <c r="SVN159" s="251"/>
      <c r="SVO159" s="252"/>
      <c r="SVP159" s="252"/>
      <c r="SVQ159" s="253"/>
      <c r="SVR159" s="252"/>
      <c r="SVY159" s="249"/>
      <c r="SVZ159" s="249"/>
      <c r="SWA159" s="249"/>
      <c r="SWB159" s="249"/>
      <c r="SWC159" s="249"/>
      <c r="SWE159" s="249"/>
      <c r="SWF159" s="250"/>
      <c r="SWG159" s="249"/>
      <c r="SWH159" s="251"/>
      <c r="SWI159" s="252"/>
      <c r="SWJ159" s="252"/>
      <c r="SWK159" s="253"/>
      <c r="SWL159" s="252"/>
      <c r="SWS159" s="249"/>
      <c r="SWT159" s="249"/>
      <c r="SWU159" s="249"/>
      <c r="SWV159" s="249"/>
      <c r="SWW159" s="249"/>
      <c r="SWY159" s="249"/>
      <c r="SWZ159" s="250"/>
      <c r="SXA159" s="249"/>
      <c r="SXB159" s="251"/>
      <c r="SXC159" s="252"/>
      <c r="SXD159" s="252"/>
      <c r="SXE159" s="253"/>
      <c r="SXF159" s="252"/>
      <c r="SXM159" s="249"/>
      <c r="SXN159" s="249"/>
      <c r="SXO159" s="249"/>
      <c r="SXP159" s="249"/>
      <c r="SXQ159" s="249"/>
      <c r="SXS159" s="249"/>
      <c r="SXT159" s="250"/>
      <c r="SXU159" s="249"/>
      <c r="SXV159" s="251"/>
      <c r="SXW159" s="252"/>
      <c r="SXX159" s="252"/>
      <c r="SXY159" s="253"/>
      <c r="SXZ159" s="252"/>
      <c r="SYG159" s="249"/>
      <c r="SYH159" s="249"/>
      <c r="SYI159" s="249"/>
      <c r="SYJ159" s="249"/>
      <c r="SYK159" s="249"/>
      <c r="SYM159" s="249"/>
      <c r="SYN159" s="250"/>
      <c r="SYO159" s="249"/>
      <c r="SYP159" s="251"/>
      <c r="SYQ159" s="252"/>
      <c r="SYR159" s="252"/>
      <c r="SYS159" s="253"/>
      <c r="SYT159" s="252"/>
      <c r="SZA159" s="249"/>
      <c r="SZB159" s="249"/>
      <c r="SZC159" s="249"/>
      <c r="SZD159" s="249"/>
      <c r="SZE159" s="249"/>
      <c r="SZG159" s="249"/>
      <c r="SZH159" s="250"/>
      <c r="SZI159" s="249"/>
      <c r="SZJ159" s="251"/>
      <c r="SZK159" s="252"/>
      <c r="SZL159" s="252"/>
      <c r="SZM159" s="253"/>
      <c r="SZN159" s="252"/>
      <c r="SZU159" s="249"/>
      <c r="SZV159" s="249"/>
      <c r="SZW159" s="249"/>
      <c r="SZX159" s="249"/>
      <c r="SZY159" s="249"/>
      <c r="TAA159" s="249"/>
      <c r="TAB159" s="250"/>
      <c r="TAC159" s="249"/>
      <c r="TAD159" s="251"/>
      <c r="TAE159" s="252"/>
      <c r="TAF159" s="252"/>
      <c r="TAG159" s="253"/>
      <c r="TAH159" s="252"/>
      <c r="TAO159" s="249"/>
      <c r="TAP159" s="249"/>
      <c r="TAQ159" s="249"/>
      <c r="TAR159" s="249"/>
      <c r="TAS159" s="249"/>
      <c r="TAU159" s="249"/>
      <c r="TAV159" s="250"/>
      <c r="TAW159" s="249"/>
      <c r="TAX159" s="251"/>
      <c r="TAY159" s="252"/>
      <c r="TAZ159" s="252"/>
      <c r="TBA159" s="253"/>
      <c r="TBB159" s="252"/>
      <c r="TBI159" s="249"/>
      <c r="TBJ159" s="249"/>
      <c r="TBK159" s="249"/>
      <c r="TBL159" s="249"/>
      <c r="TBM159" s="249"/>
      <c r="TBO159" s="249"/>
      <c r="TBP159" s="250"/>
      <c r="TBQ159" s="249"/>
      <c r="TBR159" s="251"/>
      <c r="TBS159" s="252"/>
      <c r="TBT159" s="252"/>
      <c r="TBU159" s="253"/>
      <c r="TBV159" s="252"/>
      <c r="TCC159" s="249"/>
      <c r="TCD159" s="249"/>
      <c r="TCE159" s="249"/>
      <c r="TCF159" s="249"/>
      <c r="TCG159" s="249"/>
      <c r="TCI159" s="249"/>
      <c r="TCJ159" s="250"/>
      <c r="TCK159" s="249"/>
      <c r="TCL159" s="251"/>
      <c r="TCM159" s="252"/>
      <c r="TCN159" s="252"/>
      <c r="TCO159" s="253"/>
      <c r="TCP159" s="252"/>
      <c r="TCW159" s="249"/>
      <c r="TCX159" s="249"/>
      <c r="TCY159" s="249"/>
      <c r="TCZ159" s="249"/>
      <c r="TDA159" s="249"/>
      <c r="TDC159" s="249"/>
      <c r="TDD159" s="250"/>
      <c r="TDE159" s="249"/>
      <c r="TDF159" s="251"/>
      <c r="TDG159" s="252"/>
      <c r="TDH159" s="252"/>
      <c r="TDI159" s="253"/>
      <c r="TDJ159" s="252"/>
      <c r="TDQ159" s="249"/>
      <c r="TDR159" s="249"/>
      <c r="TDS159" s="249"/>
      <c r="TDT159" s="249"/>
      <c r="TDU159" s="249"/>
      <c r="TDW159" s="249"/>
      <c r="TDX159" s="250"/>
      <c r="TDY159" s="249"/>
      <c r="TDZ159" s="251"/>
      <c r="TEA159" s="252"/>
      <c r="TEB159" s="252"/>
      <c r="TEC159" s="253"/>
      <c r="TED159" s="252"/>
      <c r="TEK159" s="249"/>
      <c r="TEL159" s="249"/>
      <c r="TEM159" s="249"/>
      <c r="TEN159" s="249"/>
      <c r="TEO159" s="249"/>
      <c r="TEQ159" s="249"/>
      <c r="TER159" s="250"/>
      <c r="TES159" s="249"/>
      <c r="TET159" s="251"/>
      <c r="TEU159" s="252"/>
      <c r="TEV159" s="252"/>
      <c r="TEW159" s="253"/>
      <c r="TEX159" s="252"/>
      <c r="TFE159" s="249"/>
      <c r="TFF159" s="249"/>
      <c r="TFG159" s="249"/>
      <c r="TFH159" s="249"/>
      <c r="TFI159" s="249"/>
      <c r="TFK159" s="249"/>
      <c r="TFL159" s="250"/>
      <c r="TFM159" s="249"/>
      <c r="TFN159" s="251"/>
      <c r="TFO159" s="252"/>
      <c r="TFP159" s="252"/>
      <c r="TFQ159" s="253"/>
      <c r="TFR159" s="252"/>
      <c r="TFY159" s="249"/>
      <c r="TFZ159" s="249"/>
      <c r="TGA159" s="249"/>
      <c r="TGB159" s="249"/>
      <c r="TGC159" s="249"/>
      <c r="TGE159" s="249"/>
      <c r="TGF159" s="250"/>
      <c r="TGG159" s="249"/>
      <c r="TGH159" s="251"/>
      <c r="TGI159" s="252"/>
      <c r="TGJ159" s="252"/>
      <c r="TGK159" s="253"/>
      <c r="TGL159" s="252"/>
      <c r="TGS159" s="249"/>
      <c r="TGT159" s="249"/>
      <c r="TGU159" s="249"/>
      <c r="TGV159" s="249"/>
      <c r="TGW159" s="249"/>
      <c r="TGY159" s="249"/>
      <c r="TGZ159" s="250"/>
      <c r="THA159" s="249"/>
      <c r="THB159" s="251"/>
      <c r="THC159" s="252"/>
      <c r="THD159" s="252"/>
      <c r="THE159" s="253"/>
      <c r="THF159" s="252"/>
      <c r="THM159" s="249"/>
      <c r="THN159" s="249"/>
      <c r="THO159" s="249"/>
      <c r="THP159" s="249"/>
      <c r="THQ159" s="249"/>
      <c r="THS159" s="249"/>
      <c r="THT159" s="250"/>
      <c r="THU159" s="249"/>
      <c r="THV159" s="251"/>
      <c r="THW159" s="252"/>
      <c r="THX159" s="252"/>
      <c r="THY159" s="253"/>
      <c r="THZ159" s="252"/>
      <c r="TIG159" s="249"/>
      <c r="TIH159" s="249"/>
      <c r="TII159" s="249"/>
      <c r="TIJ159" s="249"/>
      <c r="TIK159" s="249"/>
      <c r="TIM159" s="249"/>
      <c r="TIN159" s="250"/>
      <c r="TIO159" s="249"/>
      <c r="TIP159" s="251"/>
      <c r="TIQ159" s="252"/>
      <c r="TIR159" s="252"/>
      <c r="TIS159" s="253"/>
      <c r="TIT159" s="252"/>
      <c r="TJA159" s="249"/>
      <c r="TJB159" s="249"/>
      <c r="TJC159" s="249"/>
      <c r="TJD159" s="249"/>
      <c r="TJE159" s="249"/>
      <c r="TJG159" s="249"/>
      <c r="TJH159" s="250"/>
      <c r="TJI159" s="249"/>
      <c r="TJJ159" s="251"/>
      <c r="TJK159" s="252"/>
      <c r="TJL159" s="252"/>
      <c r="TJM159" s="253"/>
      <c r="TJN159" s="252"/>
      <c r="TJU159" s="249"/>
      <c r="TJV159" s="249"/>
      <c r="TJW159" s="249"/>
      <c r="TJX159" s="249"/>
      <c r="TJY159" s="249"/>
      <c r="TKA159" s="249"/>
      <c r="TKB159" s="250"/>
      <c r="TKC159" s="249"/>
      <c r="TKD159" s="251"/>
      <c r="TKE159" s="252"/>
      <c r="TKF159" s="252"/>
      <c r="TKG159" s="253"/>
      <c r="TKH159" s="252"/>
      <c r="TKO159" s="249"/>
      <c r="TKP159" s="249"/>
      <c r="TKQ159" s="249"/>
      <c r="TKR159" s="249"/>
      <c r="TKS159" s="249"/>
      <c r="TKU159" s="249"/>
      <c r="TKV159" s="250"/>
      <c r="TKW159" s="249"/>
      <c r="TKX159" s="251"/>
      <c r="TKY159" s="252"/>
      <c r="TKZ159" s="252"/>
      <c r="TLA159" s="253"/>
      <c r="TLB159" s="252"/>
      <c r="TLI159" s="249"/>
      <c r="TLJ159" s="249"/>
      <c r="TLK159" s="249"/>
      <c r="TLL159" s="249"/>
      <c r="TLM159" s="249"/>
      <c r="TLO159" s="249"/>
      <c r="TLP159" s="250"/>
      <c r="TLQ159" s="249"/>
      <c r="TLR159" s="251"/>
      <c r="TLS159" s="252"/>
      <c r="TLT159" s="252"/>
      <c r="TLU159" s="253"/>
      <c r="TLV159" s="252"/>
      <c r="TMC159" s="249"/>
      <c r="TMD159" s="249"/>
      <c r="TME159" s="249"/>
      <c r="TMF159" s="249"/>
      <c r="TMG159" s="249"/>
      <c r="TMI159" s="249"/>
      <c r="TMJ159" s="250"/>
      <c r="TMK159" s="249"/>
      <c r="TML159" s="251"/>
      <c r="TMM159" s="252"/>
      <c r="TMN159" s="252"/>
      <c r="TMO159" s="253"/>
      <c r="TMP159" s="252"/>
      <c r="TMW159" s="249"/>
      <c r="TMX159" s="249"/>
      <c r="TMY159" s="249"/>
      <c r="TMZ159" s="249"/>
      <c r="TNA159" s="249"/>
      <c r="TNC159" s="249"/>
      <c r="TND159" s="250"/>
      <c r="TNE159" s="249"/>
      <c r="TNF159" s="251"/>
      <c r="TNG159" s="252"/>
      <c r="TNH159" s="252"/>
      <c r="TNI159" s="253"/>
      <c r="TNJ159" s="252"/>
      <c r="TNQ159" s="249"/>
      <c r="TNR159" s="249"/>
      <c r="TNS159" s="249"/>
      <c r="TNT159" s="249"/>
      <c r="TNU159" s="249"/>
      <c r="TNW159" s="249"/>
      <c r="TNX159" s="250"/>
      <c r="TNY159" s="249"/>
      <c r="TNZ159" s="251"/>
      <c r="TOA159" s="252"/>
      <c r="TOB159" s="252"/>
      <c r="TOC159" s="253"/>
      <c r="TOD159" s="252"/>
      <c r="TOK159" s="249"/>
      <c r="TOL159" s="249"/>
      <c r="TOM159" s="249"/>
      <c r="TON159" s="249"/>
      <c r="TOO159" s="249"/>
      <c r="TOQ159" s="249"/>
      <c r="TOR159" s="250"/>
      <c r="TOS159" s="249"/>
      <c r="TOT159" s="251"/>
      <c r="TOU159" s="252"/>
      <c r="TOV159" s="252"/>
      <c r="TOW159" s="253"/>
      <c r="TOX159" s="252"/>
      <c r="TPE159" s="249"/>
      <c r="TPF159" s="249"/>
      <c r="TPG159" s="249"/>
      <c r="TPH159" s="249"/>
      <c r="TPI159" s="249"/>
      <c r="TPK159" s="249"/>
      <c r="TPL159" s="250"/>
      <c r="TPM159" s="249"/>
      <c r="TPN159" s="251"/>
      <c r="TPO159" s="252"/>
      <c r="TPP159" s="252"/>
      <c r="TPQ159" s="253"/>
      <c r="TPR159" s="252"/>
      <c r="TPY159" s="249"/>
      <c r="TPZ159" s="249"/>
      <c r="TQA159" s="249"/>
      <c r="TQB159" s="249"/>
      <c r="TQC159" s="249"/>
      <c r="TQE159" s="249"/>
      <c r="TQF159" s="250"/>
      <c r="TQG159" s="249"/>
      <c r="TQH159" s="251"/>
      <c r="TQI159" s="252"/>
      <c r="TQJ159" s="252"/>
      <c r="TQK159" s="253"/>
      <c r="TQL159" s="252"/>
      <c r="TQS159" s="249"/>
      <c r="TQT159" s="249"/>
      <c r="TQU159" s="249"/>
      <c r="TQV159" s="249"/>
      <c r="TQW159" s="249"/>
      <c r="TQY159" s="249"/>
      <c r="TQZ159" s="250"/>
      <c r="TRA159" s="249"/>
      <c r="TRB159" s="251"/>
      <c r="TRC159" s="252"/>
      <c r="TRD159" s="252"/>
      <c r="TRE159" s="253"/>
      <c r="TRF159" s="252"/>
      <c r="TRM159" s="249"/>
      <c r="TRN159" s="249"/>
      <c r="TRO159" s="249"/>
      <c r="TRP159" s="249"/>
      <c r="TRQ159" s="249"/>
      <c r="TRS159" s="249"/>
      <c r="TRT159" s="250"/>
      <c r="TRU159" s="249"/>
      <c r="TRV159" s="251"/>
      <c r="TRW159" s="252"/>
      <c r="TRX159" s="252"/>
      <c r="TRY159" s="253"/>
      <c r="TRZ159" s="252"/>
      <c r="TSG159" s="249"/>
      <c r="TSH159" s="249"/>
      <c r="TSI159" s="249"/>
      <c r="TSJ159" s="249"/>
      <c r="TSK159" s="249"/>
      <c r="TSM159" s="249"/>
      <c r="TSN159" s="250"/>
      <c r="TSO159" s="249"/>
      <c r="TSP159" s="251"/>
      <c r="TSQ159" s="252"/>
      <c r="TSR159" s="252"/>
      <c r="TSS159" s="253"/>
      <c r="TST159" s="252"/>
      <c r="TTA159" s="249"/>
      <c r="TTB159" s="249"/>
      <c r="TTC159" s="249"/>
      <c r="TTD159" s="249"/>
      <c r="TTE159" s="249"/>
      <c r="TTG159" s="249"/>
      <c r="TTH159" s="250"/>
      <c r="TTI159" s="249"/>
      <c r="TTJ159" s="251"/>
      <c r="TTK159" s="252"/>
      <c r="TTL159" s="252"/>
      <c r="TTM159" s="253"/>
      <c r="TTN159" s="252"/>
      <c r="TTU159" s="249"/>
      <c r="TTV159" s="249"/>
      <c r="TTW159" s="249"/>
      <c r="TTX159" s="249"/>
      <c r="TTY159" s="249"/>
      <c r="TUA159" s="249"/>
      <c r="TUB159" s="250"/>
      <c r="TUC159" s="249"/>
      <c r="TUD159" s="251"/>
      <c r="TUE159" s="252"/>
      <c r="TUF159" s="252"/>
      <c r="TUG159" s="253"/>
      <c r="TUH159" s="252"/>
      <c r="TUO159" s="249"/>
      <c r="TUP159" s="249"/>
      <c r="TUQ159" s="249"/>
      <c r="TUR159" s="249"/>
      <c r="TUS159" s="249"/>
      <c r="TUU159" s="249"/>
      <c r="TUV159" s="250"/>
      <c r="TUW159" s="249"/>
      <c r="TUX159" s="251"/>
      <c r="TUY159" s="252"/>
      <c r="TUZ159" s="252"/>
      <c r="TVA159" s="253"/>
      <c r="TVB159" s="252"/>
      <c r="TVI159" s="249"/>
      <c r="TVJ159" s="249"/>
      <c r="TVK159" s="249"/>
      <c r="TVL159" s="249"/>
      <c r="TVM159" s="249"/>
      <c r="TVO159" s="249"/>
      <c r="TVP159" s="250"/>
      <c r="TVQ159" s="249"/>
      <c r="TVR159" s="251"/>
      <c r="TVS159" s="252"/>
      <c r="TVT159" s="252"/>
      <c r="TVU159" s="253"/>
      <c r="TVV159" s="252"/>
      <c r="TWC159" s="249"/>
      <c r="TWD159" s="249"/>
      <c r="TWE159" s="249"/>
      <c r="TWF159" s="249"/>
      <c r="TWG159" s="249"/>
      <c r="TWI159" s="249"/>
      <c r="TWJ159" s="250"/>
      <c r="TWK159" s="249"/>
      <c r="TWL159" s="251"/>
      <c r="TWM159" s="252"/>
      <c r="TWN159" s="252"/>
      <c r="TWO159" s="253"/>
      <c r="TWP159" s="252"/>
      <c r="TWW159" s="249"/>
      <c r="TWX159" s="249"/>
      <c r="TWY159" s="249"/>
      <c r="TWZ159" s="249"/>
      <c r="TXA159" s="249"/>
      <c r="TXC159" s="249"/>
      <c r="TXD159" s="250"/>
      <c r="TXE159" s="249"/>
      <c r="TXF159" s="251"/>
      <c r="TXG159" s="252"/>
      <c r="TXH159" s="252"/>
      <c r="TXI159" s="253"/>
      <c r="TXJ159" s="252"/>
      <c r="TXQ159" s="249"/>
      <c r="TXR159" s="249"/>
      <c r="TXS159" s="249"/>
      <c r="TXT159" s="249"/>
      <c r="TXU159" s="249"/>
      <c r="TXW159" s="249"/>
      <c r="TXX159" s="250"/>
      <c r="TXY159" s="249"/>
      <c r="TXZ159" s="251"/>
      <c r="TYA159" s="252"/>
      <c r="TYB159" s="252"/>
      <c r="TYC159" s="253"/>
      <c r="TYD159" s="252"/>
      <c r="TYK159" s="249"/>
      <c r="TYL159" s="249"/>
      <c r="TYM159" s="249"/>
      <c r="TYN159" s="249"/>
      <c r="TYO159" s="249"/>
      <c r="TYQ159" s="249"/>
      <c r="TYR159" s="250"/>
      <c r="TYS159" s="249"/>
      <c r="TYT159" s="251"/>
      <c r="TYU159" s="252"/>
      <c r="TYV159" s="252"/>
      <c r="TYW159" s="253"/>
      <c r="TYX159" s="252"/>
      <c r="TZE159" s="249"/>
      <c r="TZF159" s="249"/>
      <c r="TZG159" s="249"/>
      <c r="TZH159" s="249"/>
      <c r="TZI159" s="249"/>
      <c r="TZK159" s="249"/>
      <c r="TZL159" s="250"/>
      <c r="TZM159" s="249"/>
      <c r="TZN159" s="251"/>
      <c r="TZO159" s="252"/>
      <c r="TZP159" s="252"/>
      <c r="TZQ159" s="253"/>
      <c r="TZR159" s="252"/>
      <c r="TZY159" s="249"/>
      <c r="TZZ159" s="249"/>
      <c r="UAA159" s="249"/>
      <c r="UAB159" s="249"/>
      <c r="UAC159" s="249"/>
      <c r="UAE159" s="249"/>
      <c r="UAF159" s="250"/>
      <c r="UAG159" s="249"/>
      <c r="UAH159" s="251"/>
      <c r="UAI159" s="252"/>
      <c r="UAJ159" s="252"/>
      <c r="UAK159" s="253"/>
      <c r="UAL159" s="252"/>
      <c r="UAS159" s="249"/>
      <c r="UAT159" s="249"/>
      <c r="UAU159" s="249"/>
      <c r="UAV159" s="249"/>
      <c r="UAW159" s="249"/>
      <c r="UAY159" s="249"/>
      <c r="UAZ159" s="250"/>
      <c r="UBA159" s="249"/>
      <c r="UBB159" s="251"/>
      <c r="UBC159" s="252"/>
      <c r="UBD159" s="252"/>
      <c r="UBE159" s="253"/>
      <c r="UBF159" s="252"/>
      <c r="UBM159" s="249"/>
      <c r="UBN159" s="249"/>
      <c r="UBO159" s="249"/>
      <c r="UBP159" s="249"/>
      <c r="UBQ159" s="249"/>
      <c r="UBS159" s="249"/>
      <c r="UBT159" s="250"/>
      <c r="UBU159" s="249"/>
      <c r="UBV159" s="251"/>
      <c r="UBW159" s="252"/>
      <c r="UBX159" s="252"/>
      <c r="UBY159" s="253"/>
      <c r="UBZ159" s="252"/>
      <c r="UCG159" s="249"/>
      <c r="UCH159" s="249"/>
      <c r="UCI159" s="249"/>
      <c r="UCJ159" s="249"/>
      <c r="UCK159" s="249"/>
      <c r="UCM159" s="249"/>
      <c r="UCN159" s="250"/>
      <c r="UCO159" s="249"/>
      <c r="UCP159" s="251"/>
      <c r="UCQ159" s="252"/>
      <c r="UCR159" s="252"/>
      <c r="UCS159" s="253"/>
      <c r="UCT159" s="252"/>
      <c r="UDA159" s="249"/>
      <c r="UDB159" s="249"/>
      <c r="UDC159" s="249"/>
      <c r="UDD159" s="249"/>
      <c r="UDE159" s="249"/>
      <c r="UDG159" s="249"/>
      <c r="UDH159" s="250"/>
      <c r="UDI159" s="249"/>
      <c r="UDJ159" s="251"/>
      <c r="UDK159" s="252"/>
      <c r="UDL159" s="252"/>
      <c r="UDM159" s="253"/>
      <c r="UDN159" s="252"/>
      <c r="UDU159" s="249"/>
      <c r="UDV159" s="249"/>
      <c r="UDW159" s="249"/>
      <c r="UDX159" s="249"/>
      <c r="UDY159" s="249"/>
      <c r="UEA159" s="249"/>
      <c r="UEB159" s="250"/>
      <c r="UEC159" s="249"/>
      <c r="UED159" s="251"/>
      <c r="UEE159" s="252"/>
      <c r="UEF159" s="252"/>
      <c r="UEG159" s="253"/>
      <c r="UEH159" s="252"/>
      <c r="UEO159" s="249"/>
      <c r="UEP159" s="249"/>
      <c r="UEQ159" s="249"/>
      <c r="UER159" s="249"/>
      <c r="UES159" s="249"/>
      <c r="UEU159" s="249"/>
      <c r="UEV159" s="250"/>
      <c r="UEW159" s="249"/>
      <c r="UEX159" s="251"/>
      <c r="UEY159" s="252"/>
      <c r="UEZ159" s="252"/>
      <c r="UFA159" s="253"/>
      <c r="UFB159" s="252"/>
      <c r="UFI159" s="249"/>
      <c r="UFJ159" s="249"/>
      <c r="UFK159" s="249"/>
      <c r="UFL159" s="249"/>
      <c r="UFM159" s="249"/>
      <c r="UFO159" s="249"/>
      <c r="UFP159" s="250"/>
      <c r="UFQ159" s="249"/>
      <c r="UFR159" s="251"/>
      <c r="UFS159" s="252"/>
      <c r="UFT159" s="252"/>
      <c r="UFU159" s="253"/>
      <c r="UFV159" s="252"/>
      <c r="UGC159" s="249"/>
      <c r="UGD159" s="249"/>
      <c r="UGE159" s="249"/>
      <c r="UGF159" s="249"/>
      <c r="UGG159" s="249"/>
      <c r="UGI159" s="249"/>
      <c r="UGJ159" s="250"/>
      <c r="UGK159" s="249"/>
      <c r="UGL159" s="251"/>
      <c r="UGM159" s="252"/>
      <c r="UGN159" s="252"/>
      <c r="UGO159" s="253"/>
      <c r="UGP159" s="252"/>
      <c r="UGW159" s="249"/>
      <c r="UGX159" s="249"/>
      <c r="UGY159" s="249"/>
      <c r="UGZ159" s="249"/>
      <c r="UHA159" s="249"/>
      <c r="UHC159" s="249"/>
      <c r="UHD159" s="250"/>
      <c r="UHE159" s="249"/>
      <c r="UHF159" s="251"/>
      <c r="UHG159" s="252"/>
      <c r="UHH159" s="252"/>
      <c r="UHI159" s="253"/>
      <c r="UHJ159" s="252"/>
      <c r="UHQ159" s="249"/>
      <c r="UHR159" s="249"/>
      <c r="UHS159" s="249"/>
      <c r="UHT159" s="249"/>
      <c r="UHU159" s="249"/>
      <c r="UHW159" s="249"/>
      <c r="UHX159" s="250"/>
      <c r="UHY159" s="249"/>
      <c r="UHZ159" s="251"/>
      <c r="UIA159" s="252"/>
      <c r="UIB159" s="252"/>
      <c r="UIC159" s="253"/>
      <c r="UID159" s="252"/>
      <c r="UIK159" s="249"/>
      <c r="UIL159" s="249"/>
      <c r="UIM159" s="249"/>
      <c r="UIN159" s="249"/>
      <c r="UIO159" s="249"/>
      <c r="UIQ159" s="249"/>
      <c r="UIR159" s="250"/>
      <c r="UIS159" s="249"/>
      <c r="UIT159" s="251"/>
      <c r="UIU159" s="252"/>
      <c r="UIV159" s="252"/>
      <c r="UIW159" s="253"/>
      <c r="UIX159" s="252"/>
      <c r="UJE159" s="249"/>
      <c r="UJF159" s="249"/>
      <c r="UJG159" s="249"/>
      <c r="UJH159" s="249"/>
      <c r="UJI159" s="249"/>
      <c r="UJK159" s="249"/>
      <c r="UJL159" s="250"/>
      <c r="UJM159" s="249"/>
      <c r="UJN159" s="251"/>
      <c r="UJO159" s="252"/>
      <c r="UJP159" s="252"/>
      <c r="UJQ159" s="253"/>
      <c r="UJR159" s="252"/>
      <c r="UJY159" s="249"/>
      <c r="UJZ159" s="249"/>
      <c r="UKA159" s="249"/>
      <c r="UKB159" s="249"/>
      <c r="UKC159" s="249"/>
      <c r="UKE159" s="249"/>
      <c r="UKF159" s="250"/>
      <c r="UKG159" s="249"/>
      <c r="UKH159" s="251"/>
      <c r="UKI159" s="252"/>
      <c r="UKJ159" s="252"/>
      <c r="UKK159" s="253"/>
      <c r="UKL159" s="252"/>
      <c r="UKS159" s="249"/>
      <c r="UKT159" s="249"/>
      <c r="UKU159" s="249"/>
      <c r="UKV159" s="249"/>
      <c r="UKW159" s="249"/>
      <c r="UKY159" s="249"/>
      <c r="UKZ159" s="250"/>
      <c r="ULA159" s="249"/>
      <c r="ULB159" s="251"/>
      <c r="ULC159" s="252"/>
      <c r="ULD159" s="252"/>
      <c r="ULE159" s="253"/>
      <c r="ULF159" s="252"/>
      <c r="ULM159" s="249"/>
      <c r="ULN159" s="249"/>
      <c r="ULO159" s="249"/>
      <c r="ULP159" s="249"/>
      <c r="ULQ159" s="249"/>
      <c r="ULS159" s="249"/>
      <c r="ULT159" s="250"/>
      <c r="ULU159" s="249"/>
      <c r="ULV159" s="251"/>
      <c r="ULW159" s="252"/>
      <c r="ULX159" s="252"/>
      <c r="ULY159" s="253"/>
      <c r="ULZ159" s="252"/>
      <c r="UMG159" s="249"/>
      <c r="UMH159" s="249"/>
      <c r="UMI159" s="249"/>
      <c r="UMJ159" s="249"/>
      <c r="UMK159" s="249"/>
      <c r="UMM159" s="249"/>
      <c r="UMN159" s="250"/>
      <c r="UMO159" s="249"/>
      <c r="UMP159" s="251"/>
      <c r="UMQ159" s="252"/>
      <c r="UMR159" s="252"/>
      <c r="UMS159" s="253"/>
      <c r="UMT159" s="252"/>
      <c r="UNA159" s="249"/>
      <c r="UNB159" s="249"/>
      <c r="UNC159" s="249"/>
      <c r="UND159" s="249"/>
      <c r="UNE159" s="249"/>
      <c r="UNG159" s="249"/>
      <c r="UNH159" s="250"/>
      <c r="UNI159" s="249"/>
      <c r="UNJ159" s="251"/>
      <c r="UNK159" s="252"/>
      <c r="UNL159" s="252"/>
      <c r="UNM159" s="253"/>
      <c r="UNN159" s="252"/>
      <c r="UNU159" s="249"/>
      <c r="UNV159" s="249"/>
      <c r="UNW159" s="249"/>
      <c r="UNX159" s="249"/>
      <c r="UNY159" s="249"/>
      <c r="UOA159" s="249"/>
      <c r="UOB159" s="250"/>
      <c r="UOC159" s="249"/>
      <c r="UOD159" s="251"/>
      <c r="UOE159" s="252"/>
      <c r="UOF159" s="252"/>
      <c r="UOG159" s="253"/>
      <c r="UOH159" s="252"/>
      <c r="UOO159" s="249"/>
      <c r="UOP159" s="249"/>
      <c r="UOQ159" s="249"/>
      <c r="UOR159" s="249"/>
      <c r="UOS159" s="249"/>
      <c r="UOU159" s="249"/>
      <c r="UOV159" s="250"/>
      <c r="UOW159" s="249"/>
      <c r="UOX159" s="251"/>
      <c r="UOY159" s="252"/>
      <c r="UOZ159" s="252"/>
      <c r="UPA159" s="253"/>
      <c r="UPB159" s="252"/>
      <c r="UPI159" s="249"/>
      <c r="UPJ159" s="249"/>
      <c r="UPK159" s="249"/>
      <c r="UPL159" s="249"/>
      <c r="UPM159" s="249"/>
      <c r="UPO159" s="249"/>
      <c r="UPP159" s="250"/>
      <c r="UPQ159" s="249"/>
      <c r="UPR159" s="251"/>
      <c r="UPS159" s="252"/>
      <c r="UPT159" s="252"/>
      <c r="UPU159" s="253"/>
      <c r="UPV159" s="252"/>
      <c r="UQC159" s="249"/>
      <c r="UQD159" s="249"/>
      <c r="UQE159" s="249"/>
      <c r="UQF159" s="249"/>
      <c r="UQG159" s="249"/>
      <c r="UQI159" s="249"/>
      <c r="UQJ159" s="250"/>
      <c r="UQK159" s="249"/>
      <c r="UQL159" s="251"/>
      <c r="UQM159" s="252"/>
      <c r="UQN159" s="252"/>
      <c r="UQO159" s="253"/>
      <c r="UQP159" s="252"/>
      <c r="UQW159" s="249"/>
      <c r="UQX159" s="249"/>
      <c r="UQY159" s="249"/>
      <c r="UQZ159" s="249"/>
      <c r="URA159" s="249"/>
      <c r="URC159" s="249"/>
      <c r="URD159" s="250"/>
      <c r="URE159" s="249"/>
      <c r="URF159" s="251"/>
      <c r="URG159" s="252"/>
      <c r="URH159" s="252"/>
      <c r="URI159" s="253"/>
      <c r="URJ159" s="252"/>
      <c r="URQ159" s="249"/>
      <c r="URR159" s="249"/>
      <c r="URS159" s="249"/>
      <c r="URT159" s="249"/>
      <c r="URU159" s="249"/>
      <c r="URW159" s="249"/>
      <c r="URX159" s="250"/>
      <c r="URY159" s="249"/>
      <c r="URZ159" s="251"/>
      <c r="USA159" s="252"/>
      <c r="USB159" s="252"/>
      <c r="USC159" s="253"/>
      <c r="USD159" s="252"/>
      <c r="USK159" s="249"/>
      <c r="USL159" s="249"/>
      <c r="USM159" s="249"/>
      <c r="USN159" s="249"/>
      <c r="USO159" s="249"/>
      <c r="USQ159" s="249"/>
      <c r="USR159" s="250"/>
      <c r="USS159" s="249"/>
      <c r="UST159" s="251"/>
      <c r="USU159" s="252"/>
      <c r="USV159" s="252"/>
      <c r="USW159" s="253"/>
      <c r="USX159" s="252"/>
      <c r="UTE159" s="249"/>
      <c r="UTF159" s="249"/>
      <c r="UTG159" s="249"/>
      <c r="UTH159" s="249"/>
      <c r="UTI159" s="249"/>
      <c r="UTK159" s="249"/>
      <c r="UTL159" s="250"/>
      <c r="UTM159" s="249"/>
      <c r="UTN159" s="251"/>
      <c r="UTO159" s="252"/>
      <c r="UTP159" s="252"/>
      <c r="UTQ159" s="253"/>
      <c r="UTR159" s="252"/>
      <c r="UTY159" s="249"/>
      <c r="UTZ159" s="249"/>
      <c r="UUA159" s="249"/>
      <c r="UUB159" s="249"/>
      <c r="UUC159" s="249"/>
      <c r="UUE159" s="249"/>
      <c r="UUF159" s="250"/>
      <c r="UUG159" s="249"/>
      <c r="UUH159" s="251"/>
      <c r="UUI159" s="252"/>
      <c r="UUJ159" s="252"/>
      <c r="UUK159" s="253"/>
      <c r="UUL159" s="252"/>
      <c r="UUS159" s="249"/>
      <c r="UUT159" s="249"/>
      <c r="UUU159" s="249"/>
      <c r="UUV159" s="249"/>
      <c r="UUW159" s="249"/>
      <c r="UUY159" s="249"/>
      <c r="UUZ159" s="250"/>
      <c r="UVA159" s="249"/>
      <c r="UVB159" s="251"/>
      <c r="UVC159" s="252"/>
      <c r="UVD159" s="252"/>
      <c r="UVE159" s="253"/>
      <c r="UVF159" s="252"/>
      <c r="UVM159" s="249"/>
      <c r="UVN159" s="249"/>
      <c r="UVO159" s="249"/>
      <c r="UVP159" s="249"/>
      <c r="UVQ159" s="249"/>
      <c r="UVS159" s="249"/>
      <c r="UVT159" s="250"/>
      <c r="UVU159" s="249"/>
      <c r="UVV159" s="251"/>
      <c r="UVW159" s="252"/>
      <c r="UVX159" s="252"/>
      <c r="UVY159" s="253"/>
      <c r="UVZ159" s="252"/>
      <c r="UWG159" s="249"/>
      <c r="UWH159" s="249"/>
      <c r="UWI159" s="249"/>
      <c r="UWJ159" s="249"/>
      <c r="UWK159" s="249"/>
      <c r="UWM159" s="249"/>
      <c r="UWN159" s="250"/>
      <c r="UWO159" s="249"/>
      <c r="UWP159" s="251"/>
      <c r="UWQ159" s="252"/>
      <c r="UWR159" s="252"/>
      <c r="UWS159" s="253"/>
      <c r="UWT159" s="252"/>
      <c r="UXA159" s="249"/>
      <c r="UXB159" s="249"/>
      <c r="UXC159" s="249"/>
      <c r="UXD159" s="249"/>
      <c r="UXE159" s="249"/>
      <c r="UXG159" s="249"/>
      <c r="UXH159" s="250"/>
      <c r="UXI159" s="249"/>
      <c r="UXJ159" s="251"/>
      <c r="UXK159" s="252"/>
      <c r="UXL159" s="252"/>
      <c r="UXM159" s="253"/>
      <c r="UXN159" s="252"/>
      <c r="UXU159" s="249"/>
      <c r="UXV159" s="249"/>
      <c r="UXW159" s="249"/>
      <c r="UXX159" s="249"/>
      <c r="UXY159" s="249"/>
      <c r="UYA159" s="249"/>
      <c r="UYB159" s="250"/>
      <c r="UYC159" s="249"/>
      <c r="UYD159" s="251"/>
      <c r="UYE159" s="252"/>
      <c r="UYF159" s="252"/>
      <c r="UYG159" s="253"/>
      <c r="UYH159" s="252"/>
      <c r="UYO159" s="249"/>
      <c r="UYP159" s="249"/>
      <c r="UYQ159" s="249"/>
      <c r="UYR159" s="249"/>
      <c r="UYS159" s="249"/>
      <c r="UYU159" s="249"/>
      <c r="UYV159" s="250"/>
      <c r="UYW159" s="249"/>
      <c r="UYX159" s="251"/>
      <c r="UYY159" s="252"/>
      <c r="UYZ159" s="252"/>
      <c r="UZA159" s="253"/>
      <c r="UZB159" s="252"/>
      <c r="UZI159" s="249"/>
      <c r="UZJ159" s="249"/>
      <c r="UZK159" s="249"/>
      <c r="UZL159" s="249"/>
      <c r="UZM159" s="249"/>
      <c r="UZO159" s="249"/>
      <c r="UZP159" s="250"/>
      <c r="UZQ159" s="249"/>
      <c r="UZR159" s="251"/>
      <c r="UZS159" s="252"/>
      <c r="UZT159" s="252"/>
      <c r="UZU159" s="253"/>
      <c r="UZV159" s="252"/>
      <c r="VAC159" s="249"/>
      <c r="VAD159" s="249"/>
      <c r="VAE159" s="249"/>
      <c r="VAF159" s="249"/>
      <c r="VAG159" s="249"/>
      <c r="VAI159" s="249"/>
      <c r="VAJ159" s="250"/>
      <c r="VAK159" s="249"/>
      <c r="VAL159" s="251"/>
      <c r="VAM159" s="252"/>
      <c r="VAN159" s="252"/>
      <c r="VAO159" s="253"/>
      <c r="VAP159" s="252"/>
      <c r="VAW159" s="249"/>
      <c r="VAX159" s="249"/>
      <c r="VAY159" s="249"/>
      <c r="VAZ159" s="249"/>
      <c r="VBA159" s="249"/>
      <c r="VBC159" s="249"/>
      <c r="VBD159" s="250"/>
      <c r="VBE159" s="249"/>
      <c r="VBF159" s="251"/>
      <c r="VBG159" s="252"/>
      <c r="VBH159" s="252"/>
      <c r="VBI159" s="253"/>
      <c r="VBJ159" s="252"/>
      <c r="VBQ159" s="249"/>
      <c r="VBR159" s="249"/>
      <c r="VBS159" s="249"/>
      <c r="VBT159" s="249"/>
      <c r="VBU159" s="249"/>
      <c r="VBW159" s="249"/>
      <c r="VBX159" s="250"/>
      <c r="VBY159" s="249"/>
      <c r="VBZ159" s="251"/>
      <c r="VCA159" s="252"/>
      <c r="VCB159" s="252"/>
      <c r="VCC159" s="253"/>
      <c r="VCD159" s="252"/>
      <c r="VCK159" s="249"/>
      <c r="VCL159" s="249"/>
      <c r="VCM159" s="249"/>
      <c r="VCN159" s="249"/>
      <c r="VCO159" s="249"/>
      <c r="VCQ159" s="249"/>
      <c r="VCR159" s="250"/>
      <c r="VCS159" s="249"/>
      <c r="VCT159" s="251"/>
      <c r="VCU159" s="252"/>
      <c r="VCV159" s="252"/>
      <c r="VCW159" s="253"/>
      <c r="VCX159" s="252"/>
      <c r="VDE159" s="249"/>
      <c r="VDF159" s="249"/>
      <c r="VDG159" s="249"/>
      <c r="VDH159" s="249"/>
      <c r="VDI159" s="249"/>
      <c r="VDK159" s="249"/>
      <c r="VDL159" s="250"/>
      <c r="VDM159" s="249"/>
      <c r="VDN159" s="251"/>
      <c r="VDO159" s="252"/>
      <c r="VDP159" s="252"/>
      <c r="VDQ159" s="253"/>
      <c r="VDR159" s="252"/>
      <c r="VDY159" s="249"/>
      <c r="VDZ159" s="249"/>
      <c r="VEA159" s="249"/>
      <c r="VEB159" s="249"/>
      <c r="VEC159" s="249"/>
      <c r="VEE159" s="249"/>
      <c r="VEF159" s="250"/>
      <c r="VEG159" s="249"/>
      <c r="VEH159" s="251"/>
      <c r="VEI159" s="252"/>
      <c r="VEJ159" s="252"/>
      <c r="VEK159" s="253"/>
      <c r="VEL159" s="252"/>
      <c r="VES159" s="249"/>
      <c r="VET159" s="249"/>
      <c r="VEU159" s="249"/>
      <c r="VEV159" s="249"/>
      <c r="VEW159" s="249"/>
      <c r="VEY159" s="249"/>
      <c r="VEZ159" s="250"/>
      <c r="VFA159" s="249"/>
      <c r="VFB159" s="251"/>
      <c r="VFC159" s="252"/>
      <c r="VFD159" s="252"/>
      <c r="VFE159" s="253"/>
      <c r="VFF159" s="252"/>
      <c r="VFM159" s="249"/>
      <c r="VFN159" s="249"/>
      <c r="VFO159" s="249"/>
      <c r="VFP159" s="249"/>
      <c r="VFQ159" s="249"/>
      <c r="VFS159" s="249"/>
      <c r="VFT159" s="250"/>
      <c r="VFU159" s="249"/>
      <c r="VFV159" s="251"/>
      <c r="VFW159" s="252"/>
      <c r="VFX159" s="252"/>
      <c r="VFY159" s="253"/>
      <c r="VFZ159" s="252"/>
      <c r="VGG159" s="249"/>
      <c r="VGH159" s="249"/>
      <c r="VGI159" s="249"/>
      <c r="VGJ159" s="249"/>
      <c r="VGK159" s="249"/>
      <c r="VGM159" s="249"/>
      <c r="VGN159" s="250"/>
      <c r="VGO159" s="249"/>
      <c r="VGP159" s="251"/>
      <c r="VGQ159" s="252"/>
      <c r="VGR159" s="252"/>
      <c r="VGS159" s="253"/>
      <c r="VGT159" s="252"/>
      <c r="VHA159" s="249"/>
      <c r="VHB159" s="249"/>
      <c r="VHC159" s="249"/>
      <c r="VHD159" s="249"/>
      <c r="VHE159" s="249"/>
      <c r="VHG159" s="249"/>
      <c r="VHH159" s="250"/>
      <c r="VHI159" s="249"/>
      <c r="VHJ159" s="251"/>
      <c r="VHK159" s="252"/>
      <c r="VHL159" s="252"/>
      <c r="VHM159" s="253"/>
      <c r="VHN159" s="252"/>
      <c r="VHU159" s="249"/>
      <c r="VHV159" s="249"/>
      <c r="VHW159" s="249"/>
      <c r="VHX159" s="249"/>
      <c r="VHY159" s="249"/>
      <c r="VIA159" s="249"/>
      <c r="VIB159" s="250"/>
      <c r="VIC159" s="249"/>
      <c r="VID159" s="251"/>
      <c r="VIE159" s="252"/>
      <c r="VIF159" s="252"/>
      <c r="VIG159" s="253"/>
      <c r="VIH159" s="252"/>
      <c r="VIO159" s="249"/>
      <c r="VIP159" s="249"/>
      <c r="VIQ159" s="249"/>
      <c r="VIR159" s="249"/>
      <c r="VIS159" s="249"/>
      <c r="VIU159" s="249"/>
      <c r="VIV159" s="250"/>
      <c r="VIW159" s="249"/>
      <c r="VIX159" s="251"/>
      <c r="VIY159" s="252"/>
      <c r="VIZ159" s="252"/>
      <c r="VJA159" s="253"/>
      <c r="VJB159" s="252"/>
      <c r="VJI159" s="249"/>
      <c r="VJJ159" s="249"/>
      <c r="VJK159" s="249"/>
      <c r="VJL159" s="249"/>
      <c r="VJM159" s="249"/>
      <c r="VJO159" s="249"/>
      <c r="VJP159" s="250"/>
      <c r="VJQ159" s="249"/>
      <c r="VJR159" s="251"/>
      <c r="VJS159" s="252"/>
      <c r="VJT159" s="252"/>
      <c r="VJU159" s="253"/>
      <c r="VJV159" s="252"/>
      <c r="VKC159" s="249"/>
      <c r="VKD159" s="249"/>
      <c r="VKE159" s="249"/>
      <c r="VKF159" s="249"/>
      <c r="VKG159" s="249"/>
      <c r="VKI159" s="249"/>
      <c r="VKJ159" s="250"/>
      <c r="VKK159" s="249"/>
      <c r="VKL159" s="251"/>
      <c r="VKM159" s="252"/>
      <c r="VKN159" s="252"/>
      <c r="VKO159" s="253"/>
      <c r="VKP159" s="252"/>
      <c r="VKW159" s="249"/>
      <c r="VKX159" s="249"/>
      <c r="VKY159" s="249"/>
      <c r="VKZ159" s="249"/>
      <c r="VLA159" s="249"/>
      <c r="VLC159" s="249"/>
      <c r="VLD159" s="250"/>
      <c r="VLE159" s="249"/>
      <c r="VLF159" s="251"/>
      <c r="VLG159" s="252"/>
      <c r="VLH159" s="252"/>
      <c r="VLI159" s="253"/>
      <c r="VLJ159" s="252"/>
      <c r="VLQ159" s="249"/>
      <c r="VLR159" s="249"/>
      <c r="VLS159" s="249"/>
      <c r="VLT159" s="249"/>
      <c r="VLU159" s="249"/>
      <c r="VLW159" s="249"/>
      <c r="VLX159" s="250"/>
      <c r="VLY159" s="249"/>
      <c r="VLZ159" s="251"/>
      <c r="VMA159" s="252"/>
      <c r="VMB159" s="252"/>
      <c r="VMC159" s="253"/>
      <c r="VMD159" s="252"/>
      <c r="VMK159" s="249"/>
      <c r="VML159" s="249"/>
      <c r="VMM159" s="249"/>
      <c r="VMN159" s="249"/>
      <c r="VMO159" s="249"/>
      <c r="VMQ159" s="249"/>
      <c r="VMR159" s="250"/>
      <c r="VMS159" s="249"/>
      <c r="VMT159" s="251"/>
      <c r="VMU159" s="252"/>
      <c r="VMV159" s="252"/>
      <c r="VMW159" s="253"/>
      <c r="VMX159" s="252"/>
      <c r="VNE159" s="249"/>
      <c r="VNF159" s="249"/>
      <c r="VNG159" s="249"/>
      <c r="VNH159" s="249"/>
      <c r="VNI159" s="249"/>
      <c r="VNK159" s="249"/>
      <c r="VNL159" s="250"/>
      <c r="VNM159" s="249"/>
      <c r="VNN159" s="251"/>
      <c r="VNO159" s="252"/>
      <c r="VNP159" s="252"/>
      <c r="VNQ159" s="253"/>
      <c r="VNR159" s="252"/>
      <c r="VNY159" s="249"/>
      <c r="VNZ159" s="249"/>
      <c r="VOA159" s="249"/>
      <c r="VOB159" s="249"/>
      <c r="VOC159" s="249"/>
      <c r="VOE159" s="249"/>
      <c r="VOF159" s="250"/>
      <c r="VOG159" s="249"/>
      <c r="VOH159" s="251"/>
      <c r="VOI159" s="252"/>
      <c r="VOJ159" s="252"/>
      <c r="VOK159" s="253"/>
      <c r="VOL159" s="252"/>
      <c r="VOS159" s="249"/>
      <c r="VOT159" s="249"/>
      <c r="VOU159" s="249"/>
      <c r="VOV159" s="249"/>
      <c r="VOW159" s="249"/>
      <c r="VOY159" s="249"/>
      <c r="VOZ159" s="250"/>
      <c r="VPA159" s="249"/>
      <c r="VPB159" s="251"/>
      <c r="VPC159" s="252"/>
      <c r="VPD159" s="252"/>
      <c r="VPE159" s="253"/>
      <c r="VPF159" s="252"/>
      <c r="VPM159" s="249"/>
      <c r="VPN159" s="249"/>
      <c r="VPO159" s="249"/>
      <c r="VPP159" s="249"/>
      <c r="VPQ159" s="249"/>
      <c r="VPS159" s="249"/>
      <c r="VPT159" s="250"/>
      <c r="VPU159" s="249"/>
      <c r="VPV159" s="251"/>
      <c r="VPW159" s="252"/>
      <c r="VPX159" s="252"/>
      <c r="VPY159" s="253"/>
      <c r="VPZ159" s="252"/>
      <c r="VQG159" s="249"/>
      <c r="VQH159" s="249"/>
      <c r="VQI159" s="249"/>
      <c r="VQJ159" s="249"/>
      <c r="VQK159" s="249"/>
      <c r="VQM159" s="249"/>
      <c r="VQN159" s="250"/>
      <c r="VQO159" s="249"/>
      <c r="VQP159" s="251"/>
      <c r="VQQ159" s="252"/>
      <c r="VQR159" s="252"/>
      <c r="VQS159" s="253"/>
      <c r="VQT159" s="252"/>
      <c r="VRA159" s="249"/>
      <c r="VRB159" s="249"/>
      <c r="VRC159" s="249"/>
      <c r="VRD159" s="249"/>
      <c r="VRE159" s="249"/>
      <c r="VRG159" s="249"/>
      <c r="VRH159" s="250"/>
      <c r="VRI159" s="249"/>
      <c r="VRJ159" s="251"/>
      <c r="VRK159" s="252"/>
      <c r="VRL159" s="252"/>
      <c r="VRM159" s="253"/>
      <c r="VRN159" s="252"/>
      <c r="VRU159" s="249"/>
      <c r="VRV159" s="249"/>
      <c r="VRW159" s="249"/>
      <c r="VRX159" s="249"/>
      <c r="VRY159" s="249"/>
      <c r="VSA159" s="249"/>
      <c r="VSB159" s="250"/>
      <c r="VSC159" s="249"/>
      <c r="VSD159" s="251"/>
      <c r="VSE159" s="252"/>
      <c r="VSF159" s="252"/>
      <c r="VSG159" s="253"/>
      <c r="VSH159" s="252"/>
      <c r="VSO159" s="249"/>
      <c r="VSP159" s="249"/>
      <c r="VSQ159" s="249"/>
      <c r="VSR159" s="249"/>
      <c r="VSS159" s="249"/>
      <c r="VSU159" s="249"/>
      <c r="VSV159" s="250"/>
      <c r="VSW159" s="249"/>
      <c r="VSX159" s="251"/>
      <c r="VSY159" s="252"/>
      <c r="VSZ159" s="252"/>
      <c r="VTA159" s="253"/>
      <c r="VTB159" s="252"/>
      <c r="VTI159" s="249"/>
      <c r="VTJ159" s="249"/>
      <c r="VTK159" s="249"/>
      <c r="VTL159" s="249"/>
      <c r="VTM159" s="249"/>
      <c r="VTO159" s="249"/>
      <c r="VTP159" s="250"/>
      <c r="VTQ159" s="249"/>
      <c r="VTR159" s="251"/>
      <c r="VTS159" s="252"/>
      <c r="VTT159" s="252"/>
      <c r="VTU159" s="253"/>
      <c r="VTV159" s="252"/>
      <c r="VUC159" s="249"/>
      <c r="VUD159" s="249"/>
      <c r="VUE159" s="249"/>
      <c r="VUF159" s="249"/>
      <c r="VUG159" s="249"/>
      <c r="VUI159" s="249"/>
      <c r="VUJ159" s="250"/>
      <c r="VUK159" s="249"/>
      <c r="VUL159" s="251"/>
      <c r="VUM159" s="252"/>
      <c r="VUN159" s="252"/>
      <c r="VUO159" s="253"/>
      <c r="VUP159" s="252"/>
      <c r="VUW159" s="249"/>
      <c r="VUX159" s="249"/>
      <c r="VUY159" s="249"/>
      <c r="VUZ159" s="249"/>
      <c r="VVA159" s="249"/>
      <c r="VVC159" s="249"/>
      <c r="VVD159" s="250"/>
      <c r="VVE159" s="249"/>
      <c r="VVF159" s="251"/>
      <c r="VVG159" s="252"/>
      <c r="VVH159" s="252"/>
      <c r="VVI159" s="253"/>
      <c r="VVJ159" s="252"/>
      <c r="VVQ159" s="249"/>
      <c r="VVR159" s="249"/>
      <c r="VVS159" s="249"/>
      <c r="VVT159" s="249"/>
      <c r="VVU159" s="249"/>
      <c r="VVW159" s="249"/>
      <c r="VVX159" s="250"/>
      <c r="VVY159" s="249"/>
      <c r="VVZ159" s="251"/>
      <c r="VWA159" s="252"/>
      <c r="VWB159" s="252"/>
      <c r="VWC159" s="253"/>
      <c r="VWD159" s="252"/>
      <c r="VWK159" s="249"/>
      <c r="VWL159" s="249"/>
      <c r="VWM159" s="249"/>
      <c r="VWN159" s="249"/>
      <c r="VWO159" s="249"/>
      <c r="VWQ159" s="249"/>
      <c r="VWR159" s="250"/>
      <c r="VWS159" s="249"/>
      <c r="VWT159" s="251"/>
      <c r="VWU159" s="252"/>
      <c r="VWV159" s="252"/>
      <c r="VWW159" s="253"/>
      <c r="VWX159" s="252"/>
      <c r="VXE159" s="249"/>
      <c r="VXF159" s="249"/>
      <c r="VXG159" s="249"/>
      <c r="VXH159" s="249"/>
      <c r="VXI159" s="249"/>
      <c r="VXK159" s="249"/>
      <c r="VXL159" s="250"/>
      <c r="VXM159" s="249"/>
      <c r="VXN159" s="251"/>
      <c r="VXO159" s="252"/>
      <c r="VXP159" s="252"/>
      <c r="VXQ159" s="253"/>
      <c r="VXR159" s="252"/>
      <c r="VXY159" s="249"/>
      <c r="VXZ159" s="249"/>
      <c r="VYA159" s="249"/>
      <c r="VYB159" s="249"/>
      <c r="VYC159" s="249"/>
      <c r="VYE159" s="249"/>
      <c r="VYF159" s="250"/>
      <c r="VYG159" s="249"/>
      <c r="VYH159" s="251"/>
      <c r="VYI159" s="252"/>
      <c r="VYJ159" s="252"/>
      <c r="VYK159" s="253"/>
      <c r="VYL159" s="252"/>
      <c r="VYS159" s="249"/>
      <c r="VYT159" s="249"/>
      <c r="VYU159" s="249"/>
      <c r="VYV159" s="249"/>
      <c r="VYW159" s="249"/>
      <c r="VYY159" s="249"/>
      <c r="VYZ159" s="250"/>
      <c r="VZA159" s="249"/>
      <c r="VZB159" s="251"/>
      <c r="VZC159" s="252"/>
      <c r="VZD159" s="252"/>
      <c r="VZE159" s="253"/>
      <c r="VZF159" s="252"/>
      <c r="VZM159" s="249"/>
      <c r="VZN159" s="249"/>
      <c r="VZO159" s="249"/>
      <c r="VZP159" s="249"/>
      <c r="VZQ159" s="249"/>
      <c r="VZS159" s="249"/>
      <c r="VZT159" s="250"/>
      <c r="VZU159" s="249"/>
      <c r="VZV159" s="251"/>
      <c r="VZW159" s="252"/>
      <c r="VZX159" s="252"/>
      <c r="VZY159" s="253"/>
      <c r="VZZ159" s="252"/>
      <c r="WAG159" s="249"/>
      <c r="WAH159" s="249"/>
      <c r="WAI159" s="249"/>
      <c r="WAJ159" s="249"/>
      <c r="WAK159" s="249"/>
      <c r="WAM159" s="249"/>
      <c r="WAN159" s="250"/>
      <c r="WAO159" s="249"/>
      <c r="WAP159" s="251"/>
      <c r="WAQ159" s="252"/>
      <c r="WAR159" s="252"/>
      <c r="WAS159" s="253"/>
      <c r="WAT159" s="252"/>
      <c r="WBA159" s="249"/>
      <c r="WBB159" s="249"/>
      <c r="WBC159" s="249"/>
      <c r="WBD159" s="249"/>
      <c r="WBE159" s="249"/>
      <c r="WBG159" s="249"/>
      <c r="WBH159" s="250"/>
      <c r="WBI159" s="249"/>
      <c r="WBJ159" s="251"/>
      <c r="WBK159" s="252"/>
      <c r="WBL159" s="252"/>
      <c r="WBM159" s="253"/>
      <c r="WBN159" s="252"/>
      <c r="WBU159" s="249"/>
      <c r="WBV159" s="249"/>
      <c r="WBW159" s="249"/>
      <c r="WBX159" s="249"/>
      <c r="WBY159" s="249"/>
      <c r="WCA159" s="249"/>
      <c r="WCB159" s="250"/>
      <c r="WCC159" s="249"/>
      <c r="WCD159" s="251"/>
      <c r="WCE159" s="252"/>
      <c r="WCF159" s="252"/>
      <c r="WCG159" s="253"/>
      <c r="WCH159" s="252"/>
      <c r="WCO159" s="249"/>
      <c r="WCP159" s="249"/>
      <c r="WCQ159" s="249"/>
      <c r="WCR159" s="249"/>
      <c r="WCS159" s="249"/>
      <c r="WCU159" s="249"/>
      <c r="WCV159" s="250"/>
      <c r="WCW159" s="249"/>
      <c r="WCX159" s="251"/>
      <c r="WCY159" s="252"/>
      <c r="WCZ159" s="252"/>
      <c r="WDA159" s="253"/>
      <c r="WDB159" s="252"/>
      <c r="WDI159" s="249"/>
      <c r="WDJ159" s="249"/>
      <c r="WDK159" s="249"/>
      <c r="WDL159" s="249"/>
      <c r="WDM159" s="249"/>
      <c r="WDO159" s="249"/>
      <c r="WDP159" s="250"/>
      <c r="WDQ159" s="249"/>
      <c r="WDR159" s="251"/>
      <c r="WDS159" s="252"/>
      <c r="WDT159" s="252"/>
      <c r="WDU159" s="253"/>
      <c r="WDV159" s="252"/>
      <c r="WEC159" s="249"/>
      <c r="WED159" s="249"/>
      <c r="WEE159" s="249"/>
      <c r="WEF159" s="249"/>
      <c r="WEG159" s="249"/>
      <c r="WEI159" s="249"/>
      <c r="WEJ159" s="250"/>
      <c r="WEK159" s="249"/>
      <c r="WEL159" s="251"/>
      <c r="WEM159" s="252"/>
      <c r="WEN159" s="252"/>
      <c r="WEO159" s="253"/>
      <c r="WEP159" s="252"/>
      <c r="WEW159" s="249"/>
      <c r="WEX159" s="249"/>
      <c r="WEY159" s="249"/>
      <c r="WEZ159" s="249"/>
      <c r="WFA159" s="249"/>
      <c r="WFC159" s="249"/>
      <c r="WFD159" s="250"/>
      <c r="WFE159" s="249"/>
      <c r="WFF159" s="251"/>
      <c r="WFG159" s="252"/>
      <c r="WFH159" s="252"/>
      <c r="WFI159" s="253"/>
      <c r="WFJ159" s="252"/>
      <c r="WFQ159" s="249"/>
      <c r="WFR159" s="249"/>
      <c r="WFS159" s="249"/>
      <c r="WFT159" s="249"/>
      <c r="WFU159" s="249"/>
      <c r="WFW159" s="249"/>
      <c r="WFX159" s="250"/>
      <c r="WFY159" s="249"/>
      <c r="WFZ159" s="251"/>
      <c r="WGA159" s="252"/>
      <c r="WGB159" s="252"/>
      <c r="WGC159" s="253"/>
      <c r="WGD159" s="252"/>
      <c r="WGK159" s="249"/>
      <c r="WGL159" s="249"/>
      <c r="WGM159" s="249"/>
      <c r="WGN159" s="249"/>
      <c r="WGO159" s="249"/>
      <c r="WGQ159" s="249"/>
      <c r="WGR159" s="250"/>
      <c r="WGS159" s="249"/>
      <c r="WGT159" s="251"/>
      <c r="WGU159" s="252"/>
      <c r="WGV159" s="252"/>
      <c r="WGW159" s="253"/>
      <c r="WGX159" s="252"/>
      <c r="WHE159" s="249"/>
      <c r="WHF159" s="249"/>
      <c r="WHG159" s="249"/>
      <c r="WHH159" s="249"/>
      <c r="WHI159" s="249"/>
      <c r="WHK159" s="249"/>
      <c r="WHL159" s="250"/>
      <c r="WHM159" s="249"/>
      <c r="WHN159" s="251"/>
      <c r="WHO159" s="252"/>
      <c r="WHP159" s="252"/>
      <c r="WHQ159" s="253"/>
      <c r="WHR159" s="252"/>
      <c r="WHY159" s="249"/>
      <c r="WHZ159" s="249"/>
      <c r="WIA159" s="249"/>
      <c r="WIB159" s="249"/>
      <c r="WIC159" s="249"/>
      <c r="WIE159" s="249"/>
      <c r="WIF159" s="250"/>
      <c r="WIG159" s="249"/>
      <c r="WIH159" s="251"/>
      <c r="WII159" s="252"/>
      <c r="WIJ159" s="252"/>
      <c r="WIK159" s="253"/>
      <c r="WIL159" s="252"/>
      <c r="WIS159" s="249"/>
      <c r="WIT159" s="249"/>
      <c r="WIU159" s="249"/>
      <c r="WIV159" s="249"/>
      <c r="WIW159" s="249"/>
      <c r="WIY159" s="249"/>
      <c r="WIZ159" s="250"/>
      <c r="WJA159" s="249"/>
      <c r="WJB159" s="251"/>
      <c r="WJC159" s="252"/>
      <c r="WJD159" s="252"/>
      <c r="WJE159" s="253"/>
      <c r="WJF159" s="252"/>
      <c r="WJM159" s="249"/>
      <c r="WJN159" s="249"/>
      <c r="WJO159" s="249"/>
      <c r="WJP159" s="249"/>
      <c r="WJQ159" s="249"/>
      <c r="WJS159" s="249"/>
      <c r="WJT159" s="250"/>
      <c r="WJU159" s="249"/>
      <c r="WJV159" s="251"/>
      <c r="WJW159" s="252"/>
      <c r="WJX159" s="252"/>
      <c r="WJY159" s="253"/>
      <c r="WJZ159" s="252"/>
      <c r="WKG159" s="249"/>
      <c r="WKH159" s="249"/>
      <c r="WKI159" s="249"/>
      <c r="WKJ159" s="249"/>
      <c r="WKK159" s="249"/>
      <c r="WKM159" s="249"/>
      <c r="WKN159" s="250"/>
      <c r="WKO159" s="249"/>
      <c r="WKP159" s="251"/>
      <c r="WKQ159" s="252"/>
      <c r="WKR159" s="252"/>
      <c r="WKS159" s="253"/>
      <c r="WKT159" s="252"/>
      <c r="WLA159" s="249"/>
      <c r="WLB159" s="249"/>
      <c r="WLC159" s="249"/>
      <c r="WLD159" s="249"/>
      <c r="WLE159" s="249"/>
      <c r="WLG159" s="249"/>
      <c r="WLH159" s="250"/>
      <c r="WLI159" s="249"/>
      <c r="WLJ159" s="251"/>
      <c r="WLK159" s="252"/>
      <c r="WLL159" s="252"/>
      <c r="WLM159" s="253"/>
      <c r="WLN159" s="252"/>
      <c r="WLU159" s="249"/>
      <c r="WLV159" s="249"/>
      <c r="WLW159" s="249"/>
      <c r="WLX159" s="249"/>
      <c r="WLY159" s="249"/>
      <c r="WMA159" s="249"/>
      <c r="WMB159" s="250"/>
      <c r="WMC159" s="249"/>
      <c r="WMD159" s="251"/>
      <c r="WME159" s="252"/>
      <c r="WMF159" s="252"/>
      <c r="WMG159" s="253"/>
      <c r="WMH159" s="252"/>
      <c r="WMO159" s="249"/>
      <c r="WMP159" s="249"/>
      <c r="WMQ159" s="249"/>
      <c r="WMR159" s="249"/>
      <c r="WMS159" s="249"/>
      <c r="WMU159" s="249"/>
      <c r="WMV159" s="250"/>
      <c r="WMW159" s="249"/>
      <c r="WMX159" s="251"/>
      <c r="WMY159" s="252"/>
      <c r="WMZ159" s="252"/>
      <c r="WNA159" s="253"/>
      <c r="WNB159" s="252"/>
      <c r="WNI159" s="249"/>
      <c r="WNJ159" s="249"/>
      <c r="WNK159" s="249"/>
      <c r="WNL159" s="249"/>
      <c r="WNM159" s="249"/>
      <c r="WNO159" s="249"/>
      <c r="WNP159" s="250"/>
      <c r="WNQ159" s="249"/>
      <c r="WNR159" s="251"/>
      <c r="WNS159" s="252"/>
      <c r="WNT159" s="252"/>
      <c r="WNU159" s="253"/>
      <c r="WNV159" s="252"/>
      <c r="WOC159" s="249"/>
      <c r="WOD159" s="249"/>
      <c r="WOE159" s="249"/>
      <c r="WOF159" s="249"/>
      <c r="WOG159" s="249"/>
      <c r="WOI159" s="249"/>
      <c r="WOJ159" s="250"/>
      <c r="WOK159" s="249"/>
      <c r="WOL159" s="251"/>
      <c r="WOM159" s="252"/>
      <c r="WON159" s="252"/>
      <c r="WOO159" s="253"/>
      <c r="WOP159" s="252"/>
      <c r="WOW159" s="249"/>
      <c r="WOX159" s="249"/>
      <c r="WOY159" s="249"/>
      <c r="WOZ159" s="249"/>
      <c r="WPA159" s="249"/>
      <c r="WPC159" s="249"/>
      <c r="WPD159" s="250"/>
      <c r="WPE159" s="249"/>
      <c r="WPF159" s="251"/>
      <c r="WPG159" s="252"/>
      <c r="WPH159" s="252"/>
      <c r="WPI159" s="253"/>
      <c r="WPJ159" s="252"/>
      <c r="WPQ159" s="249"/>
      <c r="WPR159" s="249"/>
      <c r="WPS159" s="249"/>
      <c r="WPT159" s="249"/>
      <c r="WPU159" s="249"/>
      <c r="WPW159" s="249"/>
      <c r="WPX159" s="250"/>
      <c r="WPY159" s="249"/>
      <c r="WPZ159" s="251"/>
      <c r="WQA159" s="252"/>
      <c r="WQB159" s="252"/>
      <c r="WQC159" s="253"/>
      <c r="WQD159" s="252"/>
      <c r="WQK159" s="249"/>
      <c r="WQL159" s="249"/>
      <c r="WQM159" s="249"/>
      <c r="WQN159" s="249"/>
      <c r="WQO159" s="249"/>
      <c r="WQQ159" s="249"/>
      <c r="WQR159" s="250"/>
      <c r="WQS159" s="249"/>
      <c r="WQT159" s="251"/>
      <c r="WQU159" s="252"/>
      <c r="WQV159" s="252"/>
      <c r="WQW159" s="253"/>
      <c r="WQX159" s="252"/>
      <c r="WRE159" s="249"/>
      <c r="WRF159" s="249"/>
      <c r="WRG159" s="249"/>
      <c r="WRH159" s="249"/>
      <c r="WRI159" s="249"/>
      <c r="WRK159" s="249"/>
      <c r="WRL159" s="250"/>
      <c r="WRM159" s="249"/>
      <c r="WRN159" s="251"/>
      <c r="WRO159" s="252"/>
      <c r="WRP159" s="252"/>
      <c r="WRQ159" s="253"/>
      <c r="WRR159" s="252"/>
      <c r="WRY159" s="249"/>
      <c r="WRZ159" s="249"/>
      <c r="WSA159" s="249"/>
      <c r="WSB159" s="249"/>
      <c r="WSC159" s="249"/>
      <c r="WSE159" s="249"/>
      <c r="WSF159" s="250"/>
      <c r="WSG159" s="249"/>
      <c r="WSH159" s="251"/>
      <c r="WSI159" s="252"/>
      <c r="WSJ159" s="252"/>
      <c r="WSK159" s="253"/>
      <c r="WSL159" s="252"/>
      <c r="WSS159" s="249"/>
      <c r="WST159" s="249"/>
      <c r="WSU159" s="249"/>
      <c r="WSV159" s="249"/>
      <c r="WSW159" s="249"/>
      <c r="WSY159" s="249"/>
      <c r="WSZ159" s="250"/>
      <c r="WTA159" s="249"/>
      <c r="WTB159" s="251"/>
      <c r="WTC159" s="252"/>
      <c r="WTD159" s="252"/>
      <c r="WTE159" s="253"/>
      <c r="WTF159" s="252"/>
      <c r="WTM159" s="249"/>
      <c r="WTN159" s="249"/>
      <c r="WTO159" s="249"/>
      <c r="WTP159" s="249"/>
      <c r="WTQ159" s="249"/>
      <c r="WTS159" s="249"/>
      <c r="WTT159" s="250"/>
      <c r="WTU159" s="249"/>
      <c r="WTV159" s="251"/>
      <c r="WTW159" s="252"/>
      <c r="WTX159" s="252"/>
      <c r="WTY159" s="253"/>
      <c r="WTZ159" s="252"/>
      <c r="WUG159" s="249"/>
      <c r="WUH159" s="249"/>
      <c r="WUI159" s="249"/>
      <c r="WUJ159" s="249"/>
      <c r="WUK159" s="249"/>
      <c r="WUM159" s="249"/>
      <c r="WUN159" s="250"/>
      <c r="WUO159" s="249"/>
      <c r="WUP159" s="251"/>
      <c r="WUQ159" s="252"/>
      <c r="WUR159" s="252"/>
      <c r="WUS159" s="253"/>
      <c r="WUT159" s="252"/>
      <c r="WVA159" s="249"/>
      <c r="WVB159" s="249"/>
      <c r="WVC159" s="249"/>
      <c r="WVD159" s="249"/>
      <c r="WVE159" s="249"/>
      <c r="WVG159" s="249"/>
      <c r="WVH159" s="250"/>
      <c r="WVI159" s="249"/>
      <c r="WVJ159" s="251"/>
      <c r="WVK159" s="252"/>
      <c r="WVL159" s="252"/>
      <c r="WVM159" s="253"/>
      <c r="WVN159" s="252"/>
      <c r="WVU159" s="249"/>
      <c r="WVV159" s="249"/>
      <c r="WVW159" s="249"/>
      <c r="WVX159" s="249"/>
      <c r="WVY159" s="249"/>
      <c r="WWA159" s="249"/>
      <c r="WWB159" s="250"/>
      <c r="WWC159" s="249"/>
      <c r="WWD159" s="251"/>
      <c r="WWE159" s="252"/>
      <c r="WWF159" s="252"/>
      <c r="WWG159" s="253"/>
      <c r="WWH159" s="252"/>
      <c r="WWO159" s="249"/>
      <c r="WWP159" s="249"/>
      <c r="WWQ159" s="249"/>
      <c r="WWR159" s="249"/>
      <c r="WWS159" s="249"/>
      <c r="WWU159" s="249"/>
      <c r="WWV159" s="250"/>
      <c r="WWW159" s="249"/>
      <c r="WWX159" s="251"/>
      <c r="WWY159" s="252"/>
      <c r="WWZ159" s="252"/>
      <c r="WXA159" s="253"/>
      <c r="WXB159" s="252"/>
      <c r="WXI159" s="249"/>
      <c r="WXJ159" s="249"/>
      <c r="WXK159" s="249"/>
      <c r="WXL159" s="249"/>
      <c r="WXM159" s="249"/>
      <c r="WXO159" s="249"/>
      <c r="WXP159" s="250"/>
      <c r="WXQ159" s="249"/>
      <c r="WXR159" s="251"/>
      <c r="WXS159" s="252"/>
      <c r="WXT159" s="252"/>
      <c r="WXU159" s="253"/>
      <c r="WXV159" s="252"/>
      <c r="WYC159" s="249"/>
      <c r="WYD159" s="249"/>
      <c r="WYE159" s="249"/>
      <c r="WYF159" s="249"/>
      <c r="WYG159" s="249"/>
      <c r="WYI159" s="249"/>
      <c r="WYJ159" s="250"/>
      <c r="WYK159" s="249"/>
      <c r="WYL159" s="251"/>
      <c r="WYM159" s="252"/>
      <c r="WYN159" s="252"/>
      <c r="WYO159" s="253"/>
      <c r="WYP159" s="252"/>
      <c r="WYW159" s="249"/>
      <c r="WYX159" s="249"/>
      <c r="WYY159" s="249"/>
      <c r="WYZ159" s="249"/>
      <c r="WZA159" s="249"/>
      <c r="WZC159" s="249"/>
      <c r="WZD159" s="250"/>
      <c r="WZE159" s="249"/>
      <c r="WZF159" s="251"/>
      <c r="WZG159" s="252"/>
      <c r="WZH159" s="252"/>
      <c r="WZI159" s="253"/>
      <c r="WZJ159" s="252"/>
      <c r="WZQ159" s="249"/>
      <c r="WZR159" s="249"/>
      <c r="WZS159" s="249"/>
      <c r="WZT159" s="249"/>
      <c r="WZU159" s="249"/>
      <c r="WZW159" s="249"/>
      <c r="WZX159" s="250"/>
      <c r="WZY159" s="249"/>
      <c r="WZZ159" s="251"/>
      <c r="XAA159" s="252"/>
      <c r="XAB159" s="252"/>
      <c r="XAC159" s="253"/>
      <c r="XAD159" s="252"/>
      <c r="XAK159" s="249"/>
      <c r="XAL159" s="249"/>
      <c r="XAM159" s="249"/>
      <c r="XAN159" s="249"/>
      <c r="XAO159" s="249"/>
      <c r="XAQ159" s="249"/>
      <c r="XAR159" s="250"/>
      <c r="XAS159" s="249"/>
      <c r="XAT159" s="251"/>
      <c r="XAU159" s="252"/>
      <c r="XAV159" s="252"/>
      <c r="XAW159" s="253"/>
      <c r="XAX159" s="252"/>
      <c r="XBE159" s="249"/>
      <c r="XBF159" s="249"/>
      <c r="XBG159" s="249"/>
      <c r="XBH159" s="249"/>
      <c r="XBI159" s="249"/>
      <c r="XBK159" s="249"/>
      <c r="XBL159" s="250"/>
      <c r="XBM159" s="249"/>
      <c r="XBN159" s="251"/>
      <c r="XBO159" s="252"/>
      <c r="XBP159" s="252"/>
      <c r="XBQ159" s="253"/>
      <c r="XBR159" s="252"/>
      <c r="XBY159" s="249"/>
      <c r="XBZ159" s="249"/>
      <c r="XCA159" s="249"/>
      <c r="XCB159" s="249"/>
      <c r="XCC159" s="249"/>
      <c r="XCE159" s="249"/>
      <c r="XCF159" s="250"/>
      <c r="XCG159" s="249"/>
      <c r="XCH159" s="251"/>
      <c r="XCI159" s="252"/>
      <c r="XCJ159" s="252"/>
      <c r="XCK159" s="253"/>
      <c r="XCL159" s="252"/>
      <c r="XCS159" s="249"/>
      <c r="XCT159" s="249"/>
      <c r="XCU159" s="249"/>
      <c r="XCV159" s="249"/>
      <c r="XCW159" s="249"/>
      <c r="XCY159" s="249"/>
      <c r="XCZ159" s="250"/>
      <c r="XDA159" s="249"/>
      <c r="XDB159" s="251"/>
      <c r="XDC159" s="252"/>
      <c r="XDD159" s="252"/>
      <c r="XDE159" s="253"/>
      <c r="XDF159" s="252"/>
      <c r="XDM159" s="249"/>
      <c r="XDN159" s="249"/>
      <c r="XDO159" s="249"/>
      <c r="XDP159" s="249"/>
      <c r="XDQ159" s="249"/>
      <c r="XDS159" s="249"/>
      <c r="XDT159" s="250"/>
      <c r="XDU159" s="249"/>
      <c r="XDV159" s="251"/>
      <c r="XDW159" s="252"/>
      <c r="XDX159" s="252"/>
      <c r="XDY159" s="253"/>
      <c r="XDZ159" s="252"/>
      <c r="XEG159" s="249"/>
      <c r="XEH159" s="249"/>
      <c r="XEI159" s="249"/>
      <c r="XEJ159" s="249"/>
      <c r="XEK159" s="249"/>
      <c r="XEM159" s="249"/>
      <c r="XEN159" s="250"/>
      <c r="XEO159" s="249"/>
      <c r="XEP159" s="251"/>
      <c r="XEQ159" s="252"/>
      <c r="XER159" s="252"/>
      <c r="XES159" s="253"/>
      <c r="XET159" s="252"/>
      <c r="XFA159" s="249"/>
      <c r="XFB159" s="249"/>
      <c r="XFC159" s="249"/>
      <c r="XFD159" s="249"/>
    </row>
    <row r="160" spans="1:4094 4101:5114 5121:9214 9221:10234 10241:14334 14341:15354 15361:16384" ht="31.5" customHeight="1">
      <c r="A160" s="43">
        <v>159</v>
      </c>
      <c r="B160" s="43" t="s">
        <v>521</v>
      </c>
      <c r="C160" s="43">
        <v>200</v>
      </c>
      <c r="D160" s="43">
        <v>400</v>
      </c>
      <c r="E160" s="43" t="s">
        <v>475</v>
      </c>
      <c r="F160" s="93" t="s">
        <v>7</v>
      </c>
      <c r="G160" s="43">
        <v>2</v>
      </c>
      <c r="H160" s="93" t="s">
        <v>9</v>
      </c>
      <c r="I160" s="93" t="s">
        <v>42</v>
      </c>
      <c r="J160" s="44">
        <v>46203</v>
      </c>
      <c r="K160" s="49"/>
      <c r="L160" s="204" t="s">
        <v>133</v>
      </c>
      <c r="M160" s="63"/>
      <c r="N160" s="49"/>
      <c r="O160" s="93"/>
      <c r="P160" s="93"/>
      <c r="Q160" s="93"/>
      <c r="R160" s="93"/>
      <c r="S160" s="93"/>
      <c r="T160" s="93"/>
      <c r="U160" s="43"/>
      <c r="W160" s="80"/>
      <c r="X160" s="80"/>
      <c r="Y160" s="80"/>
      <c r="AA160" s="80"/>
      <c r="AB160" s="178"/>
      <c r="AC160" s="80"/>
      <c r="AD160" s="92"/>
      <c r="AE160" s="53"/>
      <c r="AF160" s="53"/>
      <c r="AG160" s="66"/>
      <c r="AH160" s="53"/>
      <c r="AO160" s="80"/>
      <c r="AP160" s="80"/>
      <c r="AQ160" s="80"/>
      <c r="AR160" s="80"/>
      <c r="AS160" s="80"/>
      <c r="AU160" s="80"/>
      <c r="AV160" s="178"/>
      <c r="AW160" s="80"/>
      <c r="AX160" s="92"/>
      <c r="AY160" s="53"/>
      <c r="AZ160" s="53"/>
      <c r="BA160" s="66"/>
      <c r="BB160" s="53"/>
      <c r="BI160" s="80"/>
      <c r="BJ160" s="80"/>
      <c r="BK160" s="80"/>
      <c r="BL160" s="80"/>
      <c r="BM160" s="80"/>
      <c r="BO160" s="80"/>
      <c r="BP160" s="178"/>
      <c r="BQ160" s="80"/>
      <c r="BR160" s="92"/>
      <c r="BS160" s="53"/>
      <c r="BT160" s="53"/>
      <c r="BU160" s="66"/>
      <c r="BV160" s="53"/>
      <c r="CC160" s="80"/>
      <c r="CD160" s="80"/>
      <c r="CE160" s="80"/>
      <c r="CF160" s="80"/>
      <c r="CG160" s="80"/>
      <c r="CI160" s="80"/>
      <c r="CJ160" s="178"/>
      <c r="CK160" s="80"/>
      <c r="CL160" s="92"/>
      <c r="CM160" s="53"/>
      <c r="CN160" s="53"/>
      <c r="CO160" s="66"/>
      <c r="CP160" s="53"/>
      <c r="CW160" s="80"/>
      <c r="CX160" s="80"/>
      <c r="CY160" s="80"/>
      <c r="CZ160" s="80"/>
      <c r="DA160" s="80"/>
      <c r="DC160" s="80"/>
      <c r="DD160" s="178"/>
      <c r="DE160" s="80"/>
      <c r="DF160" s="92"/>
      <c r="DG160" s="53"/>
      <c r="DH160" s="53"/>
      <c r="DI160" s="66"/>
      <c r="DJ160" s="53"/>
      <c r="DQ160" s="80"/>
      <c r="DR160" s="80"/>
      <c r="DS160" s="80"/>
      <c r="DT160" s="80"/>
      <c r="DU160" s="80"/>
      <c r="DW160" s="80"/>
      <c r="DX160" s="178"/>
      <c r="DY160" s="80"/>
      <c r="DZ160" s="92"/>
      <c r="EA160" s="53"/>
      <c r="EB160" s="53"/>
      <c r="EC160" s="66"/>
      <c r="ED160" s="53"/>
      <c r="EK160" s="80"/>
      <c r="EL160" s="80"/>
      <c r="EM160" s="80"/>
      <c r="EN160" s="80"/>
      <c r="EO160" s="80"/>
      <c r="EQ160" s="80"/>
      <c r="ER160" s="178"/>
      <c r="ES160" s="80"/>
      <c r="ET160" s="92"/>
      <c r="EU160" s="53"/>
      <c r="EV160" s="53"/>
      <c r="EW160" s="66"/>
      <c r="EX160" s="53"/>
      <c r="FE160" s="80"/>
      <c r="FF160" s="80"/>
      <c r="FG160" s="80"/>
      <c r="FH160" s="80"/>
      <c r="FI160" s="80"/>
      <c r="FK160" s="80"/>
      <c r="FL160" s="178"/>
      <c r="FM160" s="80"/>
      <c r="FN160" s="92"/>
      <c r="FO160" s="53"/>
      <c r="FP160" s="53"/>
      <c r="FQ160" s="66"/>
      <c r="FR160" s="53"/>
      <c r="FY160" s="80"/>
      <c r="FZ160" s="80"/>
      <c r="GA160" s="80"/>
      <c r="GB160" s="80"/>
      <c r="GC160" s="80"/>
      <c r="GE160" s="80"/>
      <c r="GF160" s="178"/>
      <c r="GG160" s="80"/>
      <c r="GH160" s="92"/>
      <c r="GI160" s="53"/>
      <c r="GJ160" s="53"/>
      <c r="GK160" s="66"/>
      <c r="GL160" s="53"/>
      <c r="GS160" s="80"/>
      <c r="GT160" s="80"/>
      <c r="GU160" s="80"/>
      <c r="GV160" s="80"/>
      <c r="GW160" s="80"/>
      <c r="GY160" s="80"/>
      <c r="GZ160" s="178"/>
      <c r="HA160" s="80"/>
      <c r="HB160" s="92"/>
      <c r="HC160" s="53"/>
      <c r="HD160" s="53"/>
      <c r="HE160" s="66"/>
      <c r="HF160" s="53"/>
      <c r="HM160" s="80"/>
      <c r="HN160" s="80"/>
      <c r="HO160" s="80"/>
      <c r="HP160" s="80"/>
      <c r="HQ160" s="80"/>
      <c r="HS160" s="80"/>
      <c r="HT160" s="178"/>
      <c r="HU160" s="80"/>
      <c r="HV160" s="92"/>
      <c r="HW160" s="53"/>
      <c r="HX160" s="53"/>
      <c r="HY160" s="66"/>
      <c r="HZ160" s="53"/>
      <c r="IG160" s="80"/>
      <c r="IH160" s="80"/>
      <c r="II160" s="80"/>
      <c r="IJ160" s="80"/>
      <c r="IK160" s="80"/>
      <c r="IM160" s="80"/>
      <c r="IN160" s="178"/>
      <c r="IO160" s="80"/>
      <c r="IP160" s="92"/>
      <c r="IQ160" s="53"/>
      <c r="IR160" s="53"/>
      <c r="IS160" s="66"/>
      <c r="IT160" s="53"/>
      <c r="JA160" s="80"/>
      <c r="JB160" s="80"/>
      <c r="JC160" s="80"/>
      <c r="JD160" s="80"/>
      <c r="JE160" s="80"/>
      <c r="JG160" s="80"/>
      <c r="JH160" s="178"/>
      <c r="JI160" s="80"/>
      <c r="JJ160" s="92"/>
      <c r="JK160" s="53"/>
      <c r="JL160" s="53"/>
      <c r="JM160" s="66"/>
      <c r="JN160" s="53"/>
      <c r="JU160" s="80"/>
      <c r="JV160" s="80"/>
      <c r="JW160" s="80"/>
      <c r="JX160" s="80"/>
      <c r="JY160" s="80"/>
      <c r="KA160" s="80"/>
      <c r="KB160" s="178"/>
      <c r="KC160" s="80"/>
      <c r="KD160" s="92"/>
      <c r="KE160" s="53"/>
      <c r="KF160" s="53"/>
      <c r="KG160" s="66"/>
      <c r="KH160" s="53"/>
      <c r="KO160" s="80"/>
      <c r="KP160" s="80"/>
      <c r="KQ160" s="80"/>
      <c r="KR160" s="80"/>
      <c r="KS160" s="80"/>
      <c r="KU160" s="80"/>
      <c r="KV160" s="178"/>
      <c r="KW160" s="80"/>
      <c r="KX160" s="92"/>
      <c r="KY160" s="53"/>
      <c r="KZ160" s="53"/>
      <c r="LA160" s="66"/>
      <c r="LB160" s="53"/>
      <c r="LI160" s="80"/>
      <c r="LJ160" s="80"/>
      <c r="LK160" s="80"/>
      <c r="LL160" s="80"/>
      <c r="LM160" s="80"/>
      <c r="LO160" s="80"/>
      <c r="LP160" s="178"/>
      <c r="LQ160" s="80"/>
      <c r="LR160" s="92"/>
      <c r="LS160" s="53"/>
      <c r="LT160" s="53"/>
      <c r="LU160" s="66"/>
      <c r="LV160" s="53"/>
      <c r="MC160" s="80"/>
      <c r="MD160" s="80"/>
      <c r="ME160" s="80"/>
      <c r="MF160" s="80"/>
      <c r="MG160" s="80"/>
      <c r="MI160" s="80"/>
      <c r="MJ160" s="178"/>
      <c r="MK160" s="80"/>
      <c r="ML160" s="92"/>
      <c r="MM160" s="53"/>
      <c r="MN160" s="53"/>
      <c r="MO160" s="66"/>
      <c r="MP160" s="53"/>
      <c r="MW160" s="80"/>
      <c r="MX160" s="80"/>
      <c r="MY160" s="80"/>
      <c r="MZ160" s="80"/>
      <c r="NA160" s="80"/>
      <c r="NC160" s="80"/>
      <c r="ND160" s="178"/>
      <c r="NE160" s="80"/>
      <c r="NF160" s="92"/>
      <c r="NG160" s="53"/>
      <c r="NH160" s="53"/>
      <c r="NI160" s="66"/>
      <c r="NJ160" s="53"/>
      <c r="NQ160" s="80"/>
      <c r="NR160" s="80"/>
      <c r="NS160" s="80"/>
      <c r="NT160" s="80"/>
      <c r="NU160" s="80"/>
      <c r="NW160" s="80"/>
      <c r="NX160" s="178"/>
      <c r="NY160" s="80"/>
      <c r="NZ160" s="92"/>
      <c r="OA160" s="53"/>
      <c r="OB160" s="53"/>
      <c r="OC160" s="66"/>
      <c r="OD160" s="53"/>
      <c r="OK160" s="80"/>
      <c r="OL160" s="80"/>
      <c r="OM160" s="80"/>
      <c r="ON160" s="80"/>
      <c r="OO160" s="80"/>
      <c r="OQ160" s="80"/>
      <c r="OR160" s="178"/>
      <c r="OS160" s="80"/>
      <c r="OT160" s="92"/>
      <c r="OU160" s="53"/>
      <c r="OV160" s="53"/>
      <c r="OW160" s="66"/>
      <c r="OX160" s="53"/>
      <c r="PE160" s="80"/>
      <c r="PF160" s="80"/>
      <c r="PG160" s="80"/>
      <c r="PH160" s="80"/>
      <c r="PI160" s="80"/>
      <c r="PK160" s="80"/>
      <c r="PL160" s="178"/>
      <c r="PM160" s="80"/>
      <c r="PN160" s="92"/>
      <c r="PO160" s="53"/>
      <c r="PP160" s="53"/>
      <c r="PQ160" s="66"/>
      <c r="PR160" s="53"/>
      <c r="PY160" s="80"/>
      <c r="PZ160" s="80"/>
      <c r="QA160" s="80"/>
      <c r="QB160" s="80"/>
      <c r="QC160" s="80"/>
      <c r="QE160" s="80"/>
      <c r="QF160" s="178"/>
      <c r="QG160" s="80"/>
      <c r="QH160" s="92"/>
      <c r="QI160" s="53"/>
      <c r="QJ160" s="53"/>
      <c r="QK160" s="66"/>
      <c r="QL160" s="53"/>
      <c r="QS160" s="80"/>
      <c r="QT160" s="80"/>
      <c r="QU160" s="80"/>
      <c r="QV160" s="80"/>
      <c r="QW160" s="80"/>
      <c r="QY160" s="80"/>
      <c r="QZ160" s="178"/>
      <c r="RA160" s="80"/>
      <c r="RB160" s="92"/>
      <c r="RC160" s="53"/>
      <c r="RD160" s="53"/>
      <c r="RE160" s="66"/>
      <c r="RF160" s="53"/>
      <c r="RM160" s="80"/>
      <c r="RN160" s="80"/>
      <c r="RO160" s="80"/>
      <c r="RP160" s="80"/>
      <c r="RQ160" s="80"/>
      <c r="RS160" s="80"/>
      <c r="RT160" s="178"/>
      <c r="RU160" s="80"/>
      <c r="RV160" s="92"/>
      <c r="RW160" s="53"/>
      <c r="RX160" s="53"/>
      <c r="RY160" s="66"/>
      <c r="RZ160" s="53"/>
      <c r="SG160" s="80"/>
      <c r="SH160" s="80"/>
      <c r="SI160" s="80"/>
      <c r="SJ160" s="80"/>
      <c r="SK160" s="80"/>
      <c r="SM160" s="80"/>
      <c r="SN160" s="178"/>
      <c r="SO160" s="80"/>
      <c r="SP160" s="92"/>
      <c r="SQ160" s="53"/>
      <c r="SR160" s="53"/>
      <c r="SS160" s="66"/>
      <c r="ST160" s="53"/>
      <c r="TA160" s="80"/>
      <c r="TB160" s="80"/>
      <c r="TC160" s="80"/>
      <c r="TD160" s="80"/>
      <c r="TE160" s="80"/>
      <c r="TG160" s="80"/>
      <c r="TH160" s="178"/>
      <c r="TI160" s="80"/>
      <c r="TJ160" s="92"/>
      <c r="TK160" s="53"/>
      <c r="TL160" s="53"/>
      <c r="TM160" s="66"/>
      <c r="TN160" s="53"/>
      <c r="TU160" s="80"/>
      <c r="TV160" s="80"/>
      <c r="TW160" s="80"/>
      <c r="TX160" s="80"/>
      <c r="TY160" s="80"/>
      <c r="UA160" s="80"/>
      <c r="UB160" s="178"/>
      <c r="UC160" s="80"/>
      <c r="UD160" s="92"/>
      <c r="UE160" s="53"/>
      <c r="UF160" s="53"/>
      <c r="UG160" s="66"/>
      <c r="UH160" s="53"/>
      <c r="UO160" s="80"/>
      <c r="UP160" s="80"/>
      <c r="UQ160" s="80"/>
      <c r="UR160" s="80"/>
      <c r="US160" s="80"/>
      <c r="UU160" s="80"/>
      <c r="UV160" s="178"/>
      <c r="UW160" s="80"/>
      <c r="UX160" s="92"/>
      <c r="UY160" s="53"/>
      <c r="UZ160" s="53"/>
      <c r="VA160" s="66"/>
      <c r="VB160" s="53"/>
      <c r="VI160" s="80"/>
      <c r="VJ160" s="80"/>
      <c r="VK160" s="80"/>
      <c r="VL160" s="80"/>
      <c r="VM160" s="80"/>
      <c r="VO160" s="80"/>
      <c r="VP160" s="178"/>
      <c r="VQ160" s="80"/>
      <c r="VR160" s="92"/>
      <c r="VS160" s="53"/>
      <c r="VT160" s="53"/>
      <c r="VU160" s="66"/>
      <c r="VV160" s="53"/>
      <c r="WC160" s="80"/>
      <c r="WD160" s="80"/>
      <c r="WE160" s="80"/>
      <c r="WF160" s="80"/>
      <c r="WG160" s="80"/>
      <c r="WI160" s="80"/>
      <c r="WJ160" s="178"/>
      <c r="WK160" s="80"/>
      <c r="WL160" s="92"/>
      <c r="WM160" s="53"/>
      <c r="WN160" s="53"/>
      <c r="WO160" s="66"/>
      <c r="WP160" s="53"/>
      <c r="WW160" s="80"/>
      <c r="WX160" s="80"/>
      <c r="WY160" s="80"/>
      <c r="WZ160" s="80"/>
      <c r="XA160" s="80"/>
      <c r="XC160" s="80"/>
      <c r="XD160" s="178"/>
      <c r="XE160" s="80"/>
      <c r="XF160" s="92"/>
      <c r="XG160" s="53"/>
      <c r="XH160" s="53"/>
      <c r="XI160" s="66"/>
      <c r="XJ160" s="53"/>
      <c r="XQ160" s="80"/>
      <c r="XR160" s="80"/>
      <c r="XS160" s="80"/>
      <c r="XT160" s="80"/>
      <c r="XU160" s="80"/>
      <c r="XW160" s="80"/>
      <c r="XX160" s="178"/>
      <c r="XY160" s="80"/>
      <c r="XZ160" s="92"/>
      <c r="YA160" s="53"/>
      <c r="YB160" s="53"/>
      <c r="YC160" s="66"/>
      <c r="YD160" s="53"/>
      <c r="YK160" s="80"/>
      <c r="YL160" s="80"/>
      <c r="YM160" s="80"/>
      <c r="YN160" s="80"/>
      <c r="YO160" s="80"/>
      <c r="YQ160" s="80"/>
      <c r="YR160" s="178"/>
      <c r="YS160" s="80"/>
      <c r="YT160" s="92"/>
      <c r="YU160" s="53"/>
      <c r="YV160" s="53"/>
      <c r="YW160" s="66"/>
      <c r="YX160" s="53"/>
      <c r="ZE160" s="80"/>
      <c r="ZF160" s="80"/>
      <c r="ZG160" s="80"/>
      <c r="ZH160" s="80"/>
      <c r="ZI160" s="80"/>
      <c r="ZK160" s="80"/>
      <c r="ZL160" s="178"/>
      <c r="ZM160" s="80"/>
      <c r="ZN160" s="92"/>
      <c r="ZO160" s="53"/>
      <c r="ZP160" s="53"/>
      <c r="ZQ160" s="66"/>
      <c r="ZR160" s="53"/>
      <c r="ZY160" s="80"/>
      <c r="ZZ160" s="80"/>
      <c r="AAA160" s="80"/>
      <c r="AAB160" s="80"/>
      <c r="AAC160" s="80"/>
      <c r="AAE160" s="80"/>
      <c r="AAF160" s="178"/>
      <c r="AAG160" s="80"/>
      <c r="AAH160" s="92"/>
      <c r="AAI160" s="53"/>
      <c r="AAJ160" s="53"/>
      <c r="AAK160" s="66"/>
      <c r="AAL160" s="53"/>
      <c r="AAS160" s="80"/>
      <c r="AAT160" s="80"/>
      <c r="AAU160" s="80"/>
      <c r="AAV160" s="80"/>
      <c r="AAW160" s="80"/>
      <c r="AAY160" s="80"/>
      <c r="AAZ160" s="178"/>
      <c r="ABA160" s="80"/>
      <c r="ABB160" s="92"/>
      <c r="ABC160" s="53"/>
      <c r="ABD160" s="53"/>
      <c r="ABE160" s="66"/>
      <c r="ABF160" s="53"/>
      <c r="ABM160" s="80"/>
      <c r="ABN160" s="80"/>
      <c r="ABO160" s="80"/>
      <c r="ABP160" s="80"/>
      <c r="ABQ160" s="80"/>
      <c r="ABS160" s="80"/>
      <c r="ABT160" s="178"/>
      <c r="ABU160" s="80"/>
      <c r="ABV160" s="92"/>
      <c r="ABW160" s="53"/>
      <c r="ABX160" s="53"/>
      <c r="ABY160" s="66"/>
      <c r="ABZ160" s="53"/>
      <c r="ACG160" s="80"/>
      <c r="ACH160" s="80"/>
      <c r="ACI160" s="80"/>
      <c r="ACJ160" s="80"/>
      <c r="ACK160" s="80"/>
      <c r="ACM160" s="80"/>
      <c r="ACN160" s="178"/>
      <c r="ACO160" s="80"/>
      <c r="ACP160" s="92"/>
      <c r="ACQ160" s="53"/>
      <c r="ACR160" s="53"/>
      <c r="ACS160" s="66"/>
      <c r="ACT160" s="53"/>
      <c r="ADA160" s="80"/>
      <c r="ADB160" s="80"/>
      <c r="ADC160" s="80"/>
      <c r="ADD160" s="80"/>
      <c r="ADE160" s="80"/>
      <c r="ADG160" s="80"/>
      <c r="ADH160" s="178"/>
      <c r="ADI160" s="80"/>
      <c r="ADJ160" s="92"/>
      <c r="ADK160" s="53"/>
      <c r="ADL160" s="53"/>
      <c r="ADM160" s="66"/>
      <c r="ADN160" s="53"/>
      <c r="ADU160" s="80"/>
      <c r="ADV160" s="80"/>
      <c r="ADW160" s="80"/>
      <c r="ADX160" s="80"/>
      <c r="ADY160" s="80"/>
      <c r="AEA160" s="80"/>
      <c r="AEB160" s="178"/>
      <c r="AEC160" s="80"/>
      <c r="AED160" s="92"/>
      <c r="AEE160" s="53"/>
      <c r="AEF160" s="53"/>
      <c r="AEG160" s="66"/>
      <c r="AEH160" s="53"/>
      <c r="AEO160" s="80"/>
      <c r="AEP160" s="80"/>
      <c r="AEQ160" s="80"/>
      <c r="AER160" s="80"/>
      <c r="AES160" s="80"/>
      <c r="AEU160" s="80"/>
      <c r="AEV160" s="178"/>
      <c r="AEW160" s="80"/>
      <c r="AEX160" s="92"/>
      <c r="AEY160" s="53"/>
      <c r="AEZ160" s="53"/>
      <c r="AFA160" s="66"/>
      <c r="AFB160" s="53"/>
      <c r="AFI160" s="80"/>
      <c r="AFJ160" s="80"/>
      <c r="AFK160" s="80"/>
      <c r="AFL160" s="80"/>
      <c r="AFM160" s="80"/>
      <c r="AFO160" s="80"/>
      <c r="AFP160" s="178"/>
      <c r="AFQ160" s="80"/>
      <c r="AFR160" s="92"/>
      <c r="AFS160" s="53"/>
      <c r="AFT160" s="53"/>
      <c r="AFU160" s="66"/>
      <c r="AFV160" s="53"/>
      <c r="AGC160" s="80"/>
      <c r="AGD160" s="80"/>
      <c r="AGE160" s="80"/>
      <c r="AGF160" s="80"/>
      <c r="AGG160" s="80"/>
      <c r="AGI160" s="80"/>
      <c r="AGJ160" s="178"/>
      <c r="AGK160" s="80"/>
      <c r="AGL160" s="92"/>
      <c r="AGM160" s="53"/>
      <c r="AGN160" s="53"/>
      <c r="AGO160" s="66"/>
      <c r="AGP160" s="53"/>
      <c r="AGW160" s="80"/>
      <c r="AGX160" s="80"/>
      <c r="AGY160" s="80"/>
      <c r="AGZ160" s="80"/>
      <c r="AHA160" s="80"/>
      <c r="AHC160" s="80"/>
      <c r="AHD160" s="178"/>
      <c r="AHE160" s="80"/>
      <c r="AHF160" s="92"/>
      <c r="AHG160" s="53"/>
      <c r="AHH160" s="53"/>
      <c r="AHI160" s="66"/>
      <c r="AHJ160" s="53"/>
      <c r="AHQ160" s="80"/>
      <c r="AHR160" s="80"/>
      <c r="AHS160" s="80"/>
      <c r="AHT160" s="80"/>
      <c r="AHU160" s="80"/>
      <c r="AHW160" s="80"/>
      <c r="AHX160" s="178"/>
      <c r="AHY160" s="80"/>
      <c r="AHZ160" s="92"/>
      <c r="AIA160" s="53"/>
      <c r="AIB160" s="53"/>
      <c r="AIC160" s="66"/>
      <c r="AID160" s="53"/>
      <c r="AIK160" s="80"/>
      <c r="AIL160" s="80"/>
      <c r="AIM160" s="80"/>
      <c r="AIN160" s="80"/>
      <c r="AIO160" s="80"/>
      <c r="AIQ160" s="80"/>
      <c r="AIR160" s="178"/>
      <c r="AIS160" s="80"/>
      <c r="AIT160" s="92"/>
      <c r="AIU160" s="53"/>
      <c r="AIV160" s="53"/>
      <c r="AIW160" s="66"/>
      <c r="AIX160" s="53"/>
      <c r="AJE160" s="80"/>
      <c r="AJF160" s="80"/>
      <c r="AJG160" s="80"/>
      <c r="AJH160" s="80"/>
      <c r="AJI160" s="80"/>
      <c r="AJK160" s="80"/>
      <c r="AJL160" s="178"/>
      <c r="AJM160" s="80"/>
      <c r="AJN160" s="92"/>
      <c r="AJO160" s="53"/>
      <c r="AJP160" s="53"/>
      <c r="AJQ160" s="66"/>
      <c r="AJR160" s="53"/>
      <c r="AJY160" s="80"/>
      <c r="AJZ160" s="80"/>
      <c r="AKA160" s="80"/>
      <c r="AKB160" s="80"/>
      <c r="AKC160" s="80"/>
      <c r="AKE160" s="80"/>
      <c r="AKF160" s="178"/>
      <c r="AKG160" s="80"/>
      <c r="AKH160" s="92"/>
      <c r="AKI160" s="53"/>
      <c r="AKJ160" s="53"/>
      <c r="AKK160" s="66"/>
      <c r="AKL160" s="53"/>
      <c r="AKS160" s="80"/>
      <c r="AKT160" s="80"/>
      <c r="AKU160" s="80"/>
      <c r="AKV160" s="80"/>
      <c r="AKW160" s="80"/>
      <c r="AKY160" s="80"/>
      <c r="AKZ160" s="178"/>
      <c r="ALA160" s="80"/>
      <c r="ALB160" s="92"/>
      <c r="ALC160" s="53"/>
      <c r="ALD160" s="53"/>
      <c r="ALE160" s="66"/>
      <c r="ALF160" s="53"/>
      <c r="ALM160" s="80"/>
      <c r="ALN160" s="80"/>
      <c r="ALO160" s="80"/>
      <c r="ALP160" s="80"/>
      <c r="ALQ160" s="80"/>
      <c r="ALS160" s="80"/>
      <c r="ALT160" s="178"/>
      <c r="ALU160" s="80"/>
      <c r="ALV160" s="92"/>
      <c r="ALW160" s="53"/>
      <c r="ALX160" s="53"/>
      <c r="ALY160" s="66"/>
      <c r="ALZ160" s="53"/>
      <c r="AMG160" s="80"/>
      <c r="AMH160" s="80"/>
      <c r="AMI160" s="80"/>
      <c r="AMJ160" s="80"/>
      <c r="AMK160" s="80"/>
      <c r="AMM160" s="80"/>
      <c r="AMN160" s="178"/>
      <c r="AMO160" s="80"/>
      <c r="AMP160" s="92"/>
      <c r="AMQ160" s="53"/>
      <c r="AMR160" s="53"/>
      <c r="AMS160" s="66"/>
      <c r="AMT160" s="53"/>
      <c r="ANA160" s="80"/>
      <c r="ANB160" s="80"/>
      <c r="ANC160" s="80"/>
      <c r="AND160" s="80"/>
      <c r="ANE160" s="80"/>
      <c r="ANG160" s="80"/>
      <c r="ANH160" s="178"/>
      <c r="ANI160" s="80"/>
      <c r="ANJ160" s="92"/>
      <c r="ANK160" s="53"/>
      <c r="ANL160" s="53"/>
      <c r="ANM160" s="66"/>
      <c r="ANN160" s="53"/>
      <c r="ANU160" s="80"/>
      <c r="ANV160" s="80"/>
      <c r="ANW160" s="80"/>
      <c r="ANX160" s="80"/>
      <c r="ANY160" s="80"/>
      <c r="AOA160" s="80"/>
      <c r="AOB160" s="178"/>
      <c r="AOC160" s="80"/>
      <c r="AOD160" s="92"/>
      <c r="AOE160" s="53"/>
      <c r="AOF160" s="53"/>
      <c r="AOG160" s="66"/>
      <c r="AOH160" s="53"/>
      <c r="AOO160" s="80"/>
      <c r="AOP160" s="80"/>
      <c r="AOQ160" s="80"/>
      <c r="AOR160" s="80"/>
      <c r="AOS160" s="80"/>
      <c r="AOU160" s="80"/>
      <c r="AOV160" s="178"/>
      <c r="AOW160" s="80"/>
      <c r="AOX160" s="92"/>
      <c r="AOY160" s="53"/>
      <c r="AOZ160" s="53"/>
      <c r="APA160" s="66"/>
      <c r="APB160" s="53"/>
      <c r="API160" s="80"/>
      <c r="APJ160" s="80"/>
      <c r="APK160" s="80"/>
      <c r="APL160" s="80"/>
      <c r="APM160" s="80"/>
      <c r="APO160" s="80"/>
      <c r="APP160" s="178"/>
      <c r="APQ160" s="80"/>
      <c r="APR160" s="92"/>
      <c r="APS160" s="53"/>
      <c r="APT160" s="53"/>
      <c r="APU160" s="66"/>
      <c r="APV160" s="53"/>
      <c r="AQC160" s="80"/>
      <c r="AQD160" s="80"/>
      <c r="AQE160" s="80"/>
      <c r="AQF160" s="80"/>
      <c r="AQG160" s="80"/>
      <c r="AQI160" s="80"/>
      <c r="AQJ160" s="178"/>
      <c r="AQK160" s="80"/>
      <c r="AQL160" s="92"/>
      <c r="AQM160" s="53"/>
      <c r="AQN160" s="53"/>
      <c r="AQO160" s="66"/>
      <c r="AQP160" s="53"/>
      <c r="AQW160" s="80"/>
      <c r="AQX160" s="80"/>
      <c r="AQY160" s="80"/>
      <c r="AQZ160" s="80"/>
      <c r="ARA160" s="80"/>
      <c r="ARC160" s="80"/>
      <c r="ARD160" s="178"/>
      <c r="ARE160" s="80"/>
      <c r="ARF160" s="92"/>
      <c r="ARG160" s="53"/>
      <c r="ARH160" s="53"/>
      <c r="ARI160" s="66"/>
      <c r="ARJ160" s="53"/>
      <c r="ARQ160" s="80"/>
      <c r="ARR160" s="80"/>
      <c r="ARS160" s="80"/>
      <c r="ART160" s="80"/>
      <c r="ARU160" s="80"/>
      <c r="ARW160" s="80"/>
      <c r="ARX160" s="178"/>
      <c r="ARY160" s="80"/>
      <c r="ARZ160" s="92"/>
      <c r="ASA160" s="53"/>
      <c r="ASB160" s="53"/>
      <c r="ASC160" s="66"/>
      <c r="ASD160" s="53"/>
      <c r="ASK160" s="80"/>
      <c r="ASL160" s="80"/>
      <c r="ASM160" s="80"/>
      <c r="ASN160" s="80"/>
      <c r="ASO160" s="80"/>
      <c r="ASQ160" s="80"/>
      <c r="ASR160" s="178"/>
      <c r="ASS160" s="80"/>
      <c r="AST160" s="92"/>
      <c r="ASU160" s="53"/>
      <c r="ASV160" s="53"/>
      <c r="ASW160" s="66"/>
      <c r="ASX160" s="53"/>
      <c r="ATE160" s="80"/>
      <c r="ATF160" s="80"/>
      <c r="ATG160" s="80"/>
      <c r="ATH160" s="80"/>
      <c r="ATI160" s="80"/>
      <c r="ATK160" s="80"/>
      <c r="ATL160" s="178"/>
      <c r="ATM160" s="80"/>
      <c r="ATN160" s="92"/>
      <c r="ATO160" s="53"/>
      <c r="ATP160" s="53"/>
      <c r="ATQ160" s="66"/>
      <c r="ATR160" s="53"/>
      <c r="ATY160" s="80"/>
      <c r="ATZ160" s="80"/>
      <c r="AUA160" s="80"/>
      <c r="AUB160" s="80"/>
      <c r="AUC160" s="80"/>
      <c r="AUE160" s="80"/>
      <c r="AUF160" s="178"/>
      <c r="AUG160" s="80"/>
      <c r="AUH160" s="92"/>
      <c r="AUI160" s="53"/>
      <c r="AUJ160" s="53"/>
      <c r="AUK160" s="66"/>
      <c r="AUL160" s="53"/>
      <c r="AUS160" s="80"/>
      <c r="AUT160" s="80"/>
      <c r="AUU160" s="80"/>
      <c r="AUV160" s="80"/>
      <c r="AUW160" s="80"/>
      <c r="AUY160" s="80"/>
      <c r="AUZ160" s="178"/>
      <c r="AVA160" s="80"/>
      <c r="AVB160" s="92"/>
      <c r="AVC160" s="53"/>
      <c r="AVD160" s="53"/>
      <c r="AVE160" s="66"/>
      <c r="AVF160" s="53"/>
      <c r="AVM160" s="80"/>
      <c r="AVN160" s="80"/>
      <c r="AVO160" s="80"/>
      <c r="AVP160" s="80"/>
      <c r="AVQ160" s="80"/>
      <c r="AVS160" s="80"/>
      <c r="AVT160" s="178"/>
      <c r="AVU160" s="80"/>
      <c r="AVV160" s="92"/>
      <c r="AVW160" s="53"/>
      <c r="AVX160" s="53"/>
      <c r="AVY160" s="66"/>
      <c r="AVZ160" s="53"/>
      <c r="AWG160" s="80"/>
      <c r="AWH160" s="80"/>
      <c r="AWI160" s="80"/>
      <c r="AWJ160" s="80"/>
      <c r="AWK160" s="80"/>
      <c r="AWM160" s="80"/>
      <c r="AWN160" s="178"/>
      <c r="AWO160" s="80"/>
      <c r="AWP160" s="92"/>
      <c r="AWQ160" s="53"/>
      <c r="AWR160" s="53"/>
      <c r="AWS160" s="66"/>
      <c r="AWT160" s="53"/>
      <c r="AXA160" s="80"/>
      <c r="AXB160" s="80"/>
      <c r="AXC160" s="80"/>
      <c r="AXD160" s="80"/>
      <c r="AXE160" s="80"/>
      <c r="AXG160" s="80"/>
      <c r="AXH160" s="178"/>
      <c r="AXI160" s="80"/>
      <c r="AXJ160" s="92"/>
      <c r="AXK160" s="53"/>
      <c r="AXL160" s="53"/>
      <c r="AXM160" s="66"/>
      <c r="AXN160" s="53"/>
      <c r="AXU160" s="80"/>
      <c r="AXV160" s="80"/>
      <c r="AXW160" s="80"/>
      <c r="AXX160" s="80"/>
      <c r="AXY160" s="80"/>
      <c r="AYA160" s="80"/>
      <c r="AYB160" s="178"/>
      <c r="AYC160" s="80"/>
      <c r="AYD160" s="92"/>
      <c r="AYE160" s="53"/>
      <c r="AYF160" s="53"/>
      <c r="AYG160" s="66"/>
      <c r="AYH160" s="53"/>
      <c r="AYO160" s="80"/>
      <c r="AYP160" s="80"/>
      <c r="AYQ160" s="80"/>
      <c r="AYR160" s="80"/>
      <c r="AYS160" s="80"/>
      <c r="AYU160" s="80"/>
      <c r="AYV160" s="178"/>
      <c r="AYW160" s="80"/>
      <c r="AYX160" s="92"/>
      <c r="AYY160" s="53"/>
      <c r="AYZ160" s="53"/>
      <c r="AZA160" s="66"/>
      <c r="AZB160" s="53"/>
      <c r="AZI160" s="80"/>
      <c r="AZJ160" s="80"/>
      <c r="AZK160" s="80"/>
      <c r="AZL160" s="80"/>
      <c r="AZM160" s="80"/>
      <c r="AZO160" s="80"/>
      <c r="AZP160" s="178"/>
      <c r="AZQ160" s="80"/>
      <c r="AZR160" s="92"/>
      <c r="AZS160" s="53"/>
      <c r="AZT160" s="53"/>
      <c r="AZU160" s="66"/>
      <c r="AZV160" s="53"/>
      <c r="BAC160" s="80"/>
      <c r="BAD160" s="80"/>
      <c r="BAE160" s="80"/>
      <c r="BAF160" s="80"/>
      <c r="BAG160" s="80"/>
      <c r="BAI160" s="80"/>
      <c r="BAJ160" s="178"/>
      <c r="BAK160" s="80"/>
      <c r="BAL160" s="92"/>
      <c r="BAM160" s="53"/>
      <c r="BAN160" s="53"/>
      <c r="BAO160" s="66"/>
      <c r="BAP160" s="53"/>
      <c r="BAW160" s="80"/>
      <c r="BAX160" s="80"/>
      <c r="BAY160" s="80"/>
      <c r="BAZ160" s="80"/>
      <c r="BBA160" s="80"/>
      <c r="BBC160" s="80"/>
      <c r="BBD160" s="178"/>
      <c r="BBE160" s="80"/>
      <c r="BBF160" s="92"/>
      <c r="BBG160" s="53"/>
      <c r="BBH160" s="53"/>
      <c r="BBI160" s="66"/>
      <c r="BBJ160" s="53"/>
      <c r="BBQ160" s="80"/>
      <c r="BBR160" s="80"/>
      <c r="BBS160" s="80"/>
      <c r="BBT160" s="80"/>
      <c r="BBU160" s="80"/>
      <c r="BBW160" s="80"/>
      <c r="BBX160" s="178"/>
      <c r="BBY160" s="80"/>
      <c r="BBZ160" s="92"/>
      <c r="BCA160" s="53"/>
      <c r="BCB160" s="53"/>
      <c r="BCC160" s="66"/>
      <c r="BCD160" s="53"/>
      <c r="BCK160" s="80"/>
      <c r="BCL160" s="80"/>
      <c r="BCM160" s="80"/>
      <c r="BCN160" s="80"/>
      <c r="BCO160" s="80"/>
      <c r="BCQ160" s="80"/>
      <c r="BCR160" s="178"/>
      <c r="BCS160" s="80"/>
      <c r="BCT160" s="92"/>
      <c r="BCU160" s="53"/>
      <c r="BCV160" s="53"/>
      <c r="BCW160" s="66"/>
      <c r="BCX160" s="53"/>
      <c r="BDE160" s="80"/>
      <c r="BDF160" s="80"/>
      <c r="BDG160" s="80"/>
      <c r="BDH160" s="80"/>
      <c r="BDI160" s="80"/>
      <c r="BDK160" s="80"/>
      <c r="BDL160" s="178"/>
      <c r="BDM160" s="80"/>
      <c r="BDN160" s="92"/>
      <c r="BDO160" s="53"/>
      <c r="BDP160" s="53"/>
      <c r="BDQ160" s="66"/>
      <c r="BDR160" s="53"/>
      <c r="BDY160" s="80"/>
      <c r="BDZ160" s="80"/>
      <c r="BEA160" s="80"/>
      <c r="BEB160" s="80"/>
      <c r="BEC160" s="80"/>
      <c r="BEE160" s="80"/>
      <c r="BEF160" s="178"/>
      <c r="BEG160" s="80"/>
      <c r="BEH160" s="92"/>
      <c r="BEI160" s="53"/>
      <c r="BEJ160" s="53"/>
      <c r="BEK160" s="66"/>
      <c r="BEL160" s="53"/>
      <c r="BES160" s="80"/>
      <c r="BET160" s="80"/>
      <c r="BEU160" s="80"/>
      <c r="BEV160" s="80"/>
      <c r="BEW160" s="80"/>
      <c r="BEY160" s="80"/>
      <c r="BEZ160" s="178"/>
      <c r="BFA160" s="80"/>
      <c r="BFB160" s="92"/>
      <c r="BFC160" s="53"/>
      <c r="BFD160" s="53"/>
      <c r="BFE160" s="66"/>
      <c r="BFF160" s="53"/>
      <c r="BFM160" s="80"/>
      <c r="BFN160" s="80"/>
      <c r="BFO160" s="80"/>
      <c r="BFP160" s="80"/>
      <c r="BFQ160" s="80"/>
      <c r="BFS160" s="80"/>
      <c r="BFT160" s="178"/>
      <c r="BFU160" s="80"/>
      <c r="BFV160" s="92"/>
      <c r="BFW160" s="53"/>
      <c r="BFX160" s="53"/>
      <c r="BFY160" s="66"/>
      <c r="BFZ160" s="53"/>
      <c r="BGG160" s="80"/>
      <c r="BGH160" s="80"/>
      <c r="BGI160" s="80"/>
      <c r="BGJ160" s="80"/>
      <c r="BGK160" s="80"/>
      <c r="BGM160" s="80"/>
      <c r="BGN160" s="178"/>
      <c r="BGO160" s="80"/>
      <c r="BGP160" s="92"/>
      <c r="BGQ160" s="53"/>
      <c r="BGR160" s="53"/>
      <c r="BGS160" s="66"/>
      <c r="BGT160" s="53"/>
      <c r="BHA160" s="80"/>
      <c r="BHB160" s="80"/>
      <c r="BHC160" s="80"/>
      <c r="BHD160" s="80"/>
      <c r="BHE160" s="80"/>
      <c r="BHG160" s="80"/>
      <c r="BHH160" s="178"/>
      <c r="BHI160" s="80"/>
      <c r="BHJ160" s="92"/>
      <c r="BHK160" s="53"/>
      <c r="BHL160" s="53"/>
      <c r="BHM160" s="66"/>
      <c r="BHN160" s="53"/>
      <c r="BHU160" s="80"/>
      <c r="BHV160" s="80"/>
      <c r="BHW160" s="80"/>
      <c r="BHX160" s="80"/>
      <c r="BHY160" s="80"/>
      <c r="BIA160" s="80"/>
      <c r="BIB160" s="178"/>
      <c r="BIC160" s="80"/>
      <c r="BID160" s="92"/>
      <c r="BIE160" s="53"/>
      <c r="BIF160" s="53"/>
      <c r="BIG160" s="66"/>
      <c r="BIH160" s="53"/>
      <c r="BIO160" s="80"/>
      <c r="BIP160" s="80"/>
      <c r="BIQ160" s="80"/>
      <c r="BIR160" s="80"/>
      <c r="BIS160" s="80"/>
      <c r="BIU160" s="80"/>
      <c r="BIV160" s="178"/>
      <c r="BIW160" s="80"/>
      <c r="BIX160" s="92"/>
      <c r="BIY160" s="53"/>
      <c r="BIZ160" s="53"/>
      <c r="BJA160" s="66"/>
      <c r="BJB160" s="53"/>
      <c r="BJI160" s="80"/>
      <c r="BJJ160" s="80"/>
      <c r="BJK160" s="80"/>
      <c r="BJL160" s="80"/>
      <c r="BJM160" s="80"/>
      <c r="BJO160" s="80"/>
      <c r="BJP160" s="178"/>
      <c r="BJQ160" s="80"/>
      <c r="BJR160" s="92"/>
      <c r="BJS160" s="53"/>
      <c r="BJT160" s="53"/>
      <c r="BJU160" s="66"/>
      <c r="BJV160" s="53"/>
      <c r="BKC160" s="80"/>
      <c r="BKD160" s="80"/>
      <c r="BKE160" s="80"/>
      <c r="BKF160" s="80"/>
      <c r="BKG160" s="80"/>
      <c r="BKI160" s="80"/>
      <c r="BKJ160" s="178"/>
      <c r="BKK160" s="80"/>
      <c r="BKL160" s="92"/>
      <c r="BKM160" s="53"/>
      <c r="BKN160" s="53"/>
      <c r="BKO160" s="66"/>
      <c r="BKP160" s="53"/>
      <c r="BKW160" s="80"/>
      <c r="BKX160" s="80"/>
      <c r="BKY160" s="80"/>
      <c r="BKZ160" s="80"/>
      <c r="BLA160" s="80"/>
      <c r="BLC160" s="80"/>
      <c r="BLD160" s="178"/>
      <c r="BLE160" s="80"/>
      <c r="BLF160" s="92"/>
      <c r="BLG160" s="53"/>
      <c r="BLH160" s="53"/>
      <c r="BLI160" s="66"/>
      <c r="BLJ160" s="53"/>
      <c r="BLQ160" s="80"/>
      <c r="BLR160" s="80"/>
      <c r="BLS160" s="80"/>
      <c r="BLT160" s="80"/>
      <c r="BLU160" s="80"/>
      <c r="BLW160" s="80"/>
      <c r="BLX160" s="178"/>
      <c r="BLY160" s="80"/>
      <c r="BLZ160" s="92"/>
      <c r="BMA160" s="53"/>
      <c r="BMB160" s="53"/>
      <c r="BMC160" s="66"/>
      <c r="BMD160" s="53"/>
      <c r="BMK160" s="80"/>
      <c r="BML160" s="80"/>
      <c r="BMM160" s="80"/>
      <c r="BMN160" s="80"/>
      <c r="BMO160" s="80"/>
      <c r="BMQ160" s="80"/>
      <c r="BMR160" s="178"/>
      <c r="BMS160" s="80"/>
      <c r="BMT160" s="92"/>
      <c r="BMU160" s="53"/>
      <c r="BMV160" s="53"/>
      <c r="BMW160" s="66"/>
      <c r="BMX160" s="53"/>
      <c r="BNE160" s="80"/>
      <c r="BNF160" s="80"/>
      <c r="BNG160" s="80"/>
      <c r="BNH160" s="80"/>
      <c r="BNI160" s="80"/>
      <c r="BNK160" s="80"/>
      <c r="BNL160" s="178"/>
      <c r="BNM160" s="80"/>
      <c r="BNN160" s="92"/>
      <c r="BNO160" s="53"/>
      <c r="BNP160" s="53"/>
      <c r="BNQ160" s="66"/>
      <c r="BNR160" s="53"/>
      <c r="BNY160" s="80"/>
      <c r="BNZ160" s="80"/>
      <c r="BOA160" s="80"/>
      <c r="BOB160" s="80"/>
      <c r="BOC160" s="80"/>
      <c r="BOE160" s="80"/>
      <c r="BOF160" s="178"/>
      <c r="BOG160" s="80"/>
      <c r="BOH160" s="92"/>
      <c r="BOI160" s="53"/>
      <c r="BOJ160" s="53"/>
      <c r="BOK160" s="66"/>
      <c r="BOL160" s="53"/>
      <c r="BOS160" s="80"/>
      <c r="BOT160" s="80"/>
      <c r="BOU160" s="80"/>
      <c r="BOV160" s="80"/>
      <c r="BOW160" s="80"/>
      <c r="BOY160" s="80"/>
      <c r="BOZ160" s="178"/>
      <c r="BPA160" s="80"/>
      <c r="BPB160" s="92"/>
      <c r="BPC160" s="53"/>
      <c r="BPD160" s="53"/>
      <c r="BPE160" s="66"/>
      <c r="BPF160" s="53"/>
      <c r="BPM160" s="80"/>
      <c r="BPN160" s="80"/>
      <c r="BPO160" s="80"/>
      <c r="BPP160" s="80"/>
      <c r="BPQ160" s="80"/>
      <c r="BPS160" s="80"/>
      <c r="BPT160" s="178"/>
      <c r="BPU160" s="80"/>
      <c r="BPV160" s="92"/>
      <c r="BPW160" s="53"/>
      <c r="BPX160" s="53"/>
      <c r="BPY160" s="66"/>
      <c r="BPZ160" s="53"/>
      <c r="BQG160" s="80"/>
      <c r="BQH160" s="80"/>
      <c r="BQI160" s="80"/>
      <c r="BQJ160" s="80"/>
      <c r="BQK160" s="80"/>
      <c r="BQM160" s="80"/>
      <c r="BQN160" s="178"/>
      <c r="BQO160" s="80"/>
      <c r="BQP160" s="92"/>
      <c r="BQQ160" s="53"/>
      <c r="BQR160" s="53"/>
      <c r="BQS160" s="66"/>
      <c r="BQT160" s="53"/>
      <c r="BRA160" s="80"/>
      <c r="BRB160" s="80"/>
      <c r="BRC160" s="80"/>
      <c r="BRD160" s="80"/>
      <c r="BRE160" s="80"/>
      <c r="BRG160" s="80"/>
      <c r="BRH160" s="178"/>
      <c r="BRI160" s="80"/>
      <c r="BRJ160" s="92"/>
      <c r="BRK160" s="53"/>
      <c r="BRL160" s="53"/>
      <c r="BRM160" s="66"/>
      <c r="BRN160" s="53"/>
      <c r="BRU160" s="80"/>
      <c r="BRV160" s="80"/>
      <c r="BRW160" s="80"/>
      <c r="BRX160" s="80"/>
      <c r="BRY160" s="80"/>
      <c r="BSA160" s="80"/>
      <c r="BSB160" s="178"/>
      <c r="BSC160" s="80"/>
      <c r="BSD160" s="92"/>
      <c r="BSE160" s="53"/>
      <c r="BSF160" s="53"/>
      <c r="BSG160" s="66"/>
      <c r="BSH160" s="53"/>
      <c r="BSO160" s="80"/>
      <c r="BSP160" s="80"/>
      <c r="BSQ160" s="80"/>
      <c r="BSR160" s="80"/>
      <c r="BSS160" s="80"/>
      <c r="BSU160" s="80"/>
      <c r="BSV160" s="178"/>
      <c r="BSW160" s="80"/>
      <c r="BSX160" s="92"/>
      <c r="BSY160" s="53"/>
      <c r="BSZ160" s="53"/>
      <c r="BTA160" s="66"/>
      <c r="BTB160" s="53"/>
      <c r="BTI160" s="80"/>
      <c r="BTJ160" s="80"/>
      <c r="BTK160" s="80"/>
      <c r="BTL160" s="80"/>
      <c r="BTM160" s="80"/>
      <c r="BTO160" s="80"/>
      <c r="BTP160" s="178"/>
      <c r="BTQ160" s="80"/>
      <c r="BTR160" s="92"/>
      <c r="BTS160" s="53"/>
      <c r="BTT160" s="53"/>
      <c r="BTU160" s="66"/>
      <c r="BTV160" s="53"/>
      <c r="BUC160" s="80"/>
      <c r="BUD160" s="80"/>
      <c r="BUE160" s="80"/>
      <c r="BUF160" s="80"/>
      <c r="BUG160" s="80"/>
      <c r="BUI160" s="80"/>
      <c r="BUJ160" s="178"/>
      <c r="BUK160" s="80"/>
      <c r="BUL160" s="92"/>
      <c r="BUM160" s="53"/>
      <c r="BUN160" s="53"/>
      <c r="BUO160" s="66"/>
      <c r="BUP160" s="53"/>
      <c r="BUW160" s="80"/>
      <c r="BUX160" s="80"/>
      <c r="BUY160" s="80"/>
      <c r="BUZ160" s="80"/>
      <c r="BVA160" s="80"/>
      <c r="BVC160" s="80"/>
      <c r="BVD160" s="178"/>
      <c r="BVE160" s="80"/>
      <c r="BVF160" s="92"/>
      <c r="BVG160" s="53"/>
      <c r="BVH160" s="53"/>
      <c r="BVI160" s="66"/>
      <c r="BVJ160" s="53"/>
      <c r="BVQ160" s="80"/>
      <c r="BVR160" s="80"/>
      <c r="BVS160" s="80"/>
      <c r="BVT160" s="80"/>
      <c r="BVU160" s="80"/>
      <c r="BVW160" s="80"/>
      <c r="BVX160" s="178"/>
      <c r="BVY160" s="80"/>
      <c r="BVZ160" s="92"/>
      <c r="BWA160" s="53"/>
      <c r="BWB160" s="53"/>
      <c r="BWC160" s="66"/>
      <c r="BWD160" s="53"/>
      <c r="BWK160" s="80"/>
      <c r="BWL160" s="80"/>
      <c r="BWM160" s="80"/>
      <c r="BWN160" s="80"/>
      <c r="BWO160" s="80"/>
      <c r="BWQ160" s="80"/>
      <c r="BWR160" s="178"/>
      <c r="BWS160" s="80"/>
      <c r="BWT160" s="92"/>
      <c r="BWU160" s="53"/>
      <c r="BWV160" s="53"/>
      <c r="BWW160" s="66"/>
      <c r="BWX160" s="53"/>
      <c r="BXE160" s="80"/>
      <c r="BXF160" s="80"/>
      <c r="BXG160" s="80"/>
      <c r="BXH160" s="80"/>
      <c r="BXI160" s="80"/>
      <c r="BXK160" s="80"/>
      <c r="BXL160" s="178"/>
      <c r="BXM160" s="80"/>
      <c r="BXN160" s="92"/>
      <c r="BXO160" s="53"/>
      <c r="BXP160" s="53"/>
      <c r="BXQ160" s="66"/>
      <c r="BXR160" s="53"/>
      <c r="BXY160" s="80"/>
      <c r="BXZ160" s="80"/>
      <c r="BYA160" s="80"/>
      <c r="BYB160" s="80"/>
      <c r="BYC160" s="80"/>
      <c r="BYE160" s="80"/>
      <c r="BYF160" s="178"/>
      <c r="BYG160" s="80"/>
      <c r="BYH160" s="92"/>
      <c r="BYI160" s="53"/>
      <c r="BYJ160" s="53"/>
      <c r="BYK160" s="66"/>
      <c r="BYL160" s="53"/>
      <c r="BYS160" s="80"/>
      <c r="BYT160" s="80"/>
      <c r="BYU160" s="80"/>
      <c r="BYV160" s="80"/>
      <c r="BYW160" s="80"/>
      <c r="BYY160" s="80"/>
      <c r="BYZ160" s="178"/>
      <c r="BZA160" s="80"/>
      <c r="BZB160" s="92"/>
      <c r="BZC160" s="53"/>
      <c r="BZD160" s="53"/>
      <c r="BZE160" s="66"/>
      <c r="BZF160" s="53"/>
      <c r="BZM160" s="80"/>
      <c r="BZN160" s="80"/>
      <c r="BZO160" s="80"/>
      <c r="BZP160" s="80"/>
      <c r="BZQ160" s="80"/>
      <c r="BZS160" s="80"/>
      <c r="BZT160" s="178"/>
      <c r="BZU160" s="80"/>
      <c r="BZV160" s="92"/>
      <c r="BZW160" s="53"/>
      <c r="BZX160" s="53"/>
      <c r="BZY160" s="66"/>
      <c r="BZZ160" s="53"/>
      <c r="CAG160" s="80"/>
      <c r="CAH160" s="80"/>
      <c r="CAI160" s="80"/>
      <c r="CAJ160" s="80"/>
      <c r="CAK160" s="80"/>
      <c r="CAM160" s="80"/>
      <c r="CAN160" s="178"/>
      <c r="CAO160" s="80"/>
      <c r="CAP160" s="92"/>
      <c r="CAQ160" s="53"/>
      <c r="CAR160" s="53"/>
      <c r="CAS160" s="66"/>
      <c r="CAT160" s="53"/>
      <c r="CBA160" s="80"/>
      <c r="CBB160" s="80"/>
      <c r="CBC160" s="80"/>
      <c r="CBD160" s="80"/>
      <c r="CBE160" s="80"/>
      <c r="CBG160" s="80"/>
      <c r="CBH160" s="178"/>
      <c r="CBI160" s="80"/>
      <c r="CBJ160" s="92"/>
      <c r="CBK160" s="53"/>
      <c r="CBL160" s="53"/>
      <c r="CBM160" s="66"/>
      <c r="CBN160" s="53"/>
      <c r="CBU160" s="80"/>
      <c r="CBV160" s="80"/>
      <c r="CBW160" s="80"/>
      <c r="CBX160" s="80"/>
      <c r="CBY160" s="80"/>
      <c r="CCA160" s="80"/>
      <c r="CCB160" s="178"/>
      <c r="CCC160" s="80"/>
      <c r="CCD160" s="92"/>
      <c r="CCE160" s="53"/>
      <c r="CCF160" s="53"/>
      <c r="CCG160" s="66"/>
      <c r="CCH160" s="53"/>
      <c r="CCO160" s="80"/>
      <c r="CCP160" s="80"/>
      <c r="CCQ160" s="80"/>
      <c r="CCR160" s="80"/>
      <c r="CCS160" s="80"/>
      <c r="CCU160" s="80"/>
      <c r="CCV160" s="178"/>
      <c r="CCW160" s="80"/>
      <c r="CCX160" s="92"/>
      <c r="CCY160" s="53"/>
      <c r="CCZ160" s="53"/>
      <c r="CDA160" s="66"/>
      <c r="CDB160" s="53"/>
      <c r="CDI160" s="80"/>
      <c r="CDJ160" s="80"/>
      <c r="CDK160" s="80"/>
      <c r="CDL160" s="80"/>
      <c r="CDM160" s="80"/>
      <c r="CDO160" s="80"/>
      <c r="CDP160" s="178"/>
      <c r="CDQ160" s="80"/>
      <c r="CDR160" s="92"/>
      <c r="CDS160" s="53"/>
      <c r="CDT160" s="53"/>
      <c r="CDU160" s="66"/>
      <c r="CDV160" s="53"/>
      <c r="CEC160" s="80"/>
      <c r="CED160" s="80"/>
      <c r="CEE160" s="80"/>
      <c r="CEF160" s="80"/>
      <c r="CEG160" s="80"/>
      <c r="CEI160" s="80"/>
      <c r="CEJ160" s="178"/>
      <c r="CEK160" s="80"/>
      <c r="CEL160" s="92"/>
      <c r="CEM160" s="53"/>
      <c r="CEN160" s="53"/>
      <c r="CEO160" s="66"/>
      <c r="CEP160" s="53"/>
      <c r="CEW160" s="80"/>
      <c r="CEX160" s="80"/>
      <c r="CEY160" s="80"/>
      <c r="CEZ160" s="80"/>
      <c r="CFA160" s="80"/>
      <c r="CFC160" s="80"/>
      <c r="CFD160" s="178"/>
      <c r="CFE160" s="80"/>
      <c r="CFF160" s="92"/>
      <c r="CFG160" s="53"/>
      <c r="CFH160" s="53"/>
      <c r="CFI160" s="66"/>
      <c r="CFJ160" s="53"/>
      <c r="CFQ160" s="80"/>
      <c r="CFR160" s="80"/>
      <c r="CFS160" s="80"/>
      <c r="CFT160" s="80"/>
      <c r="CFU160" s="80"/>
      <c r="CFW160" s="80"/>
      <c r="CFX160" s="178"/>
      <c r="CFY160" s="80"/>
      <c r="CFZ160" s="92"/>
      <c r="CGA160" s="53"/>
      <c r="CGB160" s="53"/>
      <c r="CGC160" s="66"/>
      <c r="CGD160" s="53"/>
      <c r="CGK160" s="80"/>
      <c r="CGL160" s="80"/>
      <c r="CGM160" s="80"/>
      <c r="CGN160" s="80"/>
      <c r="CGO160" s="80"/>
      <c r="CGQ160" s="80"/>
      <c r="CGR160" s="178"/>
      <c r="CGS160" s="80"/>
      <c r="CGT160" s="92"/>
      <c r="CGU160" s="53"/>
      <c r="CGV160" s="53"/>
      <c r="CGW160" s="66"/>
      <c r="CGX160" s="53"/>
      <c r="CHE160" s="80"/>
      <c r="CHF160" s="80"/>
      <c r="CHG160" s="80"/>
      <c r="CHH160" s="80"/>
      <c r="CHI160" s="80"/>
      <c r="CHK160" s="80"/>
      <c r="CHL160" s="178"/>
      <c r="CHM160" s="80"/>
      <c r="CHN160" s="92"/>
      <c r="CHO160" s="53"/>
      <c r="CHP160" s="53"/>
      <c r="CHQ160" s="66"/>
      <c r="CHR160" s="53"/>
      <c r="CHY160" s="80"/>
      <c r="CHZ160" s="80"/>
      <c r="CIA160" s="80"/>
      <c r="CIB160" s="80"/>
      <c r="CIC160" s="80"/>
      <c r="CIE160" s="80"/>
      <c r="CIF160" s="178"/>
      <c r="CIG160" s="80"/>
      <c r="CIH160" s="92"/>
      <c r="CII160" s="53"/>
      <c r="CIJ160" s="53"/>
      <c r="CIK160" s="66"/>
      <c r="CIL160" s="53"/>
      <c r="CIS160" s="80"/>
      <c r="CIT160" s="80"/>
      <c r="CIU160" s="80"/>
      <c r="CIV160" s="80"/>
      <c r="CIW160" s="80"/>
      <c r="CIY160" s="80"/>
      <c r="CIZ160" s="178"/>
      <c r="CJA160" s="80"/>
      <c r="CJB160" s="92"/>
      <c r="CJC160" s="53"/>
      <c r="CJD160" s="53"/>
      <c r="CJE160" s="66"/>
      <c r="CJF160" s="53"/>
      <c r="CJM160" s="80"/>
      <c r="CJN160" s="80"/>
      <c r="CJO160" s="80"/>
      <c r="CJP160" s="80"/>
      <c r="CJQ160" s="80"/>
      <c r="CJS160" s="80"/>
      <c r="CJT160" s="178"/>
      <c r="CJU160" s="80"/>
      <c r="CJV160" s="92"/>
      <c r="CJW160" s="53"/>
      <c r="CJX160" s="53"/>
      <c r="CJY160" s="66"/>
      <c r="CJZ160" s="53"/>
      <c r="CKG160" s="80"/>
      <c r="CKH160" s="80"/>
      <c r="CKI160" s="80"/>
      <c r="CKJ160" s="80"/>
      <c r="CKK160" s="80"/>
      <c r="CKM160" s="80"/>
      <c r="CKN160" s="178"/>
      <c r="CKO160" s="80"/>
      <c r="CKP160" s="92"/>
      <c r="CKQ160" s="53"/>
      <c r="CKR160" s="53"/>
      <c r="CKS160" s="66"/>
      <c r="CKT160" s="53"/>
      <c r="CLA160" s="80"/>
      <c r="CLB160" s="80"/>
      <c r="CLC160" s="80"/>
      <c r="CLD160" s="80"/>
      <c r="CLE160" s="80"/>
      <c r="CLG160" s="80"/>
      <c r="CLH160" s="178"/>
      <c r="CLI160" s="80"/>
      <c r="CLJ160" s="92"/>
      <c r="CLK160" s="53"/>
      <c r="CLL160" s="53"/>
      <c r="CLM160" s="66"/>
      <c r="CLN160" s="53"/>
      <c r="CLU160" s="80"/>
      <c r="CLV160" s="80"/>
      <c r="CLW160" s="80"/>
      <c r="CLX160" s="80"/>
      <c r="CLY160" s="80"/>
      <c r="CMA160" s="80"/>
      <c r="CMB160" s="178"/>
      <c r="CMC160" s="80"/>
      <c r="CMD160" s="92"/>
      <c r="CME160" s="53"/>
      <c r="CMF160" s="53"/>
      <c r="CMG160" s="66"/>
      <c r="CMH160" s="53"/>
      <c r="CMO160" s="80"/>
      <c r="CMP160" s="80"/>
      <c r="CMQ160" s="80"/>
      <c r="CMR160" s="80"/>
      <c r="CMS160" s="80"/>
      <c r="CMU160" s="80"/>
      <c r="CMV160" s="178"/>
      <c r="CMW160" s="80"/>
      <c r="CMX160" s="92"/>
      <c r="CMY160" s="53"/>
      <c r="CMZ160" s="53"/>
      <c r="CNA160" s="66"/>
      <c r="CNB160" s="53"/>
      <c r="CNI160" s="80"/>
      <c r="CNJ160" s="80"/>
      <c r="CNK160" s="80"/>
      <c r="CNL160" s="80"/>
      <c r="CNM160" s="80"/>
      <c r="CNO160" s="80"/>
      <c r="CNP160" s="178"/>
      <c r="CNQ160" s="80"/>
      <c r="CNR160" s="92"/>
      <c r="CNS160" s="53"/>
      <c r="CNT160" s="53"/>
      <c r="CNU160" s="66"/>
      <c r="CNV160" s="53"/>
      <c r="COC160" s="80"/>
      <c r="COD160" s="80"/>
      <c r="COE160" s="80"/>
      <c r="COF160" s="80"/>
      <c r="COG160" s="80"/>
      <c r="COI160" s="80"/>
      <c r="COJ160" s="178"/>
      <c r="COK160" s="80"/>
      <c r="COL160" s="92"/>
      <c r="COM160" s="53"/>
      <c r="CON160" s="53"/>
      <c r="COO160" s="66"/>
      <c r="COP160" s="53"/>
      <c r="COW160" s="80"/>
      <c r="COX160" s="80"/>
      <c r="COY160" s="80"/>
      <c r="COZ160" s="80"/>
      <c r="CPA160" s="80"/>
      <c r="CPC160" s="80"/>
      <c r="CPD160" s="178"/>
      <c r="CPE160" s="80"/>
      <c r="CPF160" s="92"/>
      <c r="CPG160" s="53"/>
      <c r="CPH160" s="53"/>
      <c r="CPI160" s="66"/>
      <c r="CPJ160" s="53"/>
      <c r="CPQ160" s="80"/>
      <c r="CPR160" s="80"/>
      <c r="CPS160" s="80"/>
      <c r="CPT160" s="80"/>
      <c r="CPU160" s="80"/>
      <c r="CPW160" s="80"/>
      <c r="CPX160" s="178"/>
      <c r="CPY160" s="80"/>
      <c r="CPZ160" s="92"/>
      <c r="CQA160" s="53"/>
      <c r="CQB160" s="53"/>
      <c r="CQC160" s="66"/>
      <c r="CQD160" s="53"/>
      <c r="CQK160" s="80"/>
      <c r="CQL160" s="80"/>
      <c r="CQM160" s="80"/>
      <c r="CQN160" s="80"/>
      <c r="CQO160" s="80"/>
      <c r="CQQ160" s="80"/>
      <c r="CQR160" s="178"/>
      <c r="CQS160" s="80"/>
      <c r="CQT160" s="92"/>
      <c r="CQU160" s="53"/>
      <c r="CQV160" s="53"/>
      <c r="CQW160" s="66"/>
      <c r="CQX160" s="53"/>
      <c r="CRE160" s="80"/>
      <c r="CRF160" s="80"/>
      <c r="CRG160" s="80"/>
      <c r="CRH160" s="80"/>
      <c r="CRI160" s="80"/>
      <c r="CRK160" s="80"/>
      <c r="CRL160" s="178"/>
      <c r="CRM160" s="80"/>
      <c r="CRN160" s="92"/>
      <c r="CRO160" s="53"/>
      <c r="CRP160" s="53"/>
      <c r="CRQ160" s="66"/>
      <c r="CRR160" s="53"/>
      <c r="CRY160" s="80"/>
      <c r="CRZ160" s="80"/>
      <c r="CSA160" s="80"/>
      <c r="CSB160" s="80"/>
      <c r="CSC160" s="80"/>
      <c r="CSE160" s="80"/>
      <c r="CSF160" s="178"/>
      <c r="CSG160" s="80"/>
      <c r="CSH160" s="92"/>
      <c r="CSI160" s="53"/>
      <c r="CSJ160" s="53"/>
      <c r="CSK160" s="66"/>
      <c r="CSL160" s="53"/>
      <c r="CSS160" s="80"/>
      <c r="CST160" s="80"/>
      <c r="CSU160" s="80"/>
      <c r="CSV160" s="80"/>
      <c r="CSW160" s="80"/>
      <c r="CSY160" s="80"/>
      <c r="CSZ160" s="178"/>
      <c r="CTA160" s="80"/>
      <c r="CTB160" s="92"/>
      <c r="CTC160" s="53"/>
      <c r="CTD160" s="53"/>
      <c r="CTE160" s="66"/>
      <c r="CTF160" s="53"/>
      <c r="CTM160" s="80"/>
      <c r="CTN160" s="80"/>
      <c r="CTO160" s="80"/>
      <c r="CTP160" s="80"/>
      <c r="CTQ160" s="80"/>
      <c r="CTS160" s="80"/>
      <c r="CTT160" s="178"/>
      <c r="CTU160" s="80"/>
      <c r="CTV160" s="92"/>
      <c r="CTW160" s="53"/>
      <c r="CTX160" s="53"/>
      <c r="CTY160" s="66"/>
      <c r="CTZ160" s="53"/>
      <c r="CUG160" s="80"/>
      <c r="CUH160" s="80"/>
      <c r="CUI160" s="80"/>
      <c r="CUJ160" s="80"/>
      <c r="CUK160" s="80"/>
      <c r="CUM160" s="80"/>
      <c r="CUN160" s="178"/>
      <c r="CUO160" s="80"/>
      <c r="CUP160" s="92"/>
      <c r="CUQ160" s="53"/>
      <c r="CUR160" s="53"/>
      <c r="CUS160" s="66"/>
      <c r="CUT160" s="53"/>
      <c r="CVA160" s="80"/>
      <c r="CVB160" s="80"/>
      <c r="CVC160" s="80"/>
      <c r="CVD160" s="80"/>
      <c r="CVE160" s="80"/>
      <c r="CVG160" s="80"/>
      <c r="CVH160" s="178"/>
      <c r="CVI160" s="80"/>
      <c r="CVJ160" s="92"/>
      <c r="CVK160" s="53"/>
      <c r="CVL160" s="53"/>
      <c r="CVM160" s="66"/>
      <c r="CVN160" s="53"/>
      <c r="CVU160" s="80"/>
      <c r="CVV160" s="80"/>
      <c r="CVW160" s="80"/>
      <c r="CVX160" s="80"/>
      <c r="CVY160" s="80"/>
      <c r="CWA160" s="80"/>
      <c r="CWB160" s="178"/>
      <c r="CWC160" s="80"/>
      <c r="CWD160" s="92"/>
      <c r="CWE160" s="53"/>
      <c r="CWF160" s="53"/>
      <c r="CWG160" s="66"/>
      <c r="CWH160" s="53"/>
      <c r="CWO160" s="80"/>
      <c r="CWP160" s="80"/>
      <c r="CWQ160" s="80"/>
      <c r="CWR160" s="80"/>
      <c r="CWS160" s="80"/>
      <c r="CWU160" s="80"/>
      <c r="CWV160" s="178"/>
      <c r="CWW160" s="80"/>
      <c r="CWX160" s="92"/>
      <c r="CWY160" s="53"/>
      <c r="CWZ160" s="53"/>
      <c r="CXA160" s="66"/>
      <c r="CXB160" s="53"/>
      <c r="CXI160" s="80"/>
      <c r="CXJ160" s="80"/>
      <c r="CXK160" s="80"/>
      <c r="CXL160" s="80"/>
      <c r="CXM160" s="80"/>
      <c r="CXO160" s="80"/>
      <c r="CXP160" s="178"/>
      <c r="CXQ160" s="80"/>
      <c r="CXR160" s="92"/>
      <c r="CXS160" s="53"/>
      <c r="CXT160" s="53"/>
      <c r="CXU160" s="66"/>
      <c r="CXV160" s="53"/>
      <c r="CYC160" s="80"/>
      <c r="CYD160" s="80"/>
      <c r="CYE160" s="80"/>
      <c r="CYF160" s="80"/>
      <c r="CYG160" s="80"/>
      <c r="CYI160" s="80"/>
      <c r="CYJ160" s="178"/>
      <c r="CYK160" s="80"/>
      <c r="CYL160" s="92"/>
      <c r="CYM160" s="53"/>
      <c r="CYN160" s="53"/>
      <c r="CYO160" s="66"/>
      <c r="CYP160" s="53"/>
      <c r="CYW160" s="80"/>
      <c r="CYX160" s="80"/>
      <c r="CYY160" s="80"/>
      <c r="CYZ160" s="80"/>
      <c r="CZA160" s="80"/>
      <c r="CZC160" s="80"/>
      <c r="CZD160" s="178"/>
      <c r="CZE160" s="80"/>
      <c r="CZF160" s="92"/>
      <c r="CZG160" s="53"/>
      <c r="CZH160" s="53"/>
      <c r="CZI160" s="66"/>
      <c r="CZJ160" s="53"/>
      <c r="CZQ160" s="80"/>
      <c r="CZR160" s="80"/>
      <c r="CZS160" s="80"/>
      <c r="CZT160" s="80"/>
      <c r="CZU160" s="80"/>
      <c r="CZW160" s="80"/>
      <c r="CZX160" s="178"/>
      <c r="CZY160" s="80"/>
      <c r="CZZ160" s="92"/>
      <c r="DAA160" s="53"/>
      <c r="DAB160" s="53"/>
      <c r="DAC160" s="66"/>
      <c r="DAD160" s="53"/>
      <c r="DAK160" s="80"/>
      <c r="DAL160" s="80"/>
      <c r="DAM160" s="80"/>
      <c r="DAN160" s="80"/>
      <c r="DAO160" s="80"/>
      <c r="DAQ160" s="80"/>
      <c r="DAR160" s="178"/>
      <c r="DAS160" s="80"/>
      <c r="DAT160" s="92"/>
      <c r="DAU160" s="53"/>
      <c r="DAV160" s="53"/>
      <c r="DAW160" s="66"/>
      <c r="DAX160" s="53"/>
      <c r="DBE160" s="80"/>
      <c r="DBF160" s="80"/>
      <c r="DBG160" s="80"/>
      <c r="DBH160" s="80"/>
      <c r="DBI160" s="80"/>
      <c r="DBK160" s="80"/>
      <c r="DBL160" s="178"/>
      <c r="DBM160" s="80"/>
      <c r="DBN160" s="92"/>
      <c r="DBO160" s="53"/>
      <c r="DBP160" s="53"/>
      <c r="DBQ160" s="66"/>
      <c r="DBR160" s="53"/>
      <c r="DBY160" s="80"/>
      <c r="DBZ160" s="80"/>
      <c r="DCA160" s="80"/>
      <c r="DCB160" s="80"/>
      <c r="DCC160" s="80"/>
      <c r="DCE160" s="80"/>
      <c r="DCF160" s="178"/>
      <c r="DCG160" s="80"/>
      <c r="DCH160" s="92"/>
      <c r="DCI160" s="53"/>
      <c r="DCJ160" s="53"/>
      <c r="DCK160" s="66"/>
      <c r="DCL160" s="53"/>
      <c r="DCS160" s="80"/>
      <c r="DCT160" s="80"/>
      <c r="DCU160" s="80"/>
      <c r="DCV160" s="80"/>
      <c r="DCW160" s="80"/>
      <c r="DCY160" s="80"/>
      <c r="DCZ160" s="178"/>
      <c r="DDA160" s="80"/>
      <c r="DDB160" s="92"/>
      <c r="DDC160" s="53"/>
      <c r="DDD160" s="53"/>
      <c r="DDE160" s="66"/>
      <c r="DDF160" s="53"/>
      <c r="DDM160" s="80"/>
      <c r="DDN160" s="80"/>
      <c r="DDO160" s="80"/>
      <c r="DDP160" s="80"/>
      <c r="DDQ160" s="80"/>
      <c r="DDS160" s="80"/>
      <c r="DDT160" s="178"/>
      <c r="DDU160" s="80"/>
      <c r="DDV160" s="92"/>
      <c r="DDW160" s="53"/>
      <c r="DDX160" s="53"/>
      <c r="DDY160" s="66"/>
      <c r="DDZ160" s="53"/>
      <c r="DEG160" s="80"/>
      <c r="DEH160" s="80"/>
      <c r="DEI160" s="80"/>
      <c r="DEJ160" s="80"/>
      <c r="DEK160" s="80"/>
      <c r="DEM160" s="80"/>
      <c r="DEN160" s="178"/>
      <c r="DEO160" s="80"/>
      <c r="DEP160" s="92"/>
      <c r="DEQ160" s="53"/>
      <c r="DER160" s="53"/>
      <c r="DES160" s="66"/>
      <c r="DET160" s="53"/>
      <c r="DFA160" s="80"/>
      <c r="DFB160" s="80"/>
      <c r="DFC160" s="80"/>
      <c r="DFD160" s="80"/>
      <c r="DFE160" s="80"/>
      <c r="DFG160" s="80"/>
      <c r="DFH160" s="178"/>
      <c r="DFI160" s="80"/>
      <c r="DFJ160" s="92"/>
      <c r="DFK160" s="53"/>
      <c r="DFL160" s="53"/>
      <c r="DFM160" s="66"/>
      <c r="DFN160" s="53"/>
      <c r="DFU160" s="80"/>
      <c r="DFV160" s="80"/>
      <c r="DFW160" s="80"/>
      <c r="DFX160" s="80"/>
      <c r="DFY160" s="80"/>
      <c r="DGA160" s="80"/>
      <c r="DGB160" s="178"/>
      <c r="DGC160" s="80"/>
      <c r="DGD160" s="92"/>
      <c r="DGE160" s="53"/>
      <c r="DGF160" s="53"/>
      <c r="DGG160" s="66"/>
      <c r="DGH160" s="53"/>
      <c r="DGO160" s="80"/>
      <c r="DGP160" s="80"/>
      <c r="DGQ160" s="80"/>
      <c r="DGR160" s="80"/>
      <c r="DGS160" s="80"/>
      <c r="DGU160" s="80"/>
      <c r="DGV160" s="178"/>
      <c r="DGW160" s="80"/>
      <c r="DGX160" s="92"/>
      <c r="DGY160" s="53"/>
      <c r="DGZ160" s="53"/>
      <c r="DHA160" s="66"/>
      <c r="DHB160" s="53"/>
      <c r="DHI160" s="80"/>
      <c r="DHJ160" s="80"/>
      <c r="DHK160" s="80"/>
      <c r="DHL160" s="80"/>
      <c r="DHM160" s="80"/>
      <c r="DHO160" s="80"/>
      <c r="DHP160" s="178"/>
      <c r="DHQ160" s="80"/>
      <c r="DHR160" s="92"/>
      <c r="DHS160" s="53"/>
      <c r="DHT160" s="53"/>
      <c r="DHU160" s="66"/>
      <c r="DHV160" s="53"/>
      <c r="DIC160" s="80"/>
      <c r="DID160" s="80"/>
      <c r="DIE160" s="80"/>
      <c r="DIF160" s="80"/>
      <c r="DIG160" s="80"/>
      <c r="DII160" s="80"/>
      <c r="DIJ160" s="178"/>
      <c r="DIK160" s="80"/>
      <c r="DIL160" s="92"/>
      <c r="DIM160" s="53"/>
      <c r="DIN160" s="53"/>
      <c r="DIO160" s="66"/>
      <c r="DIP160" s="53"/>
      <c r="DIW160" s="80"/>
      <c r="DIX160" s="80"/>
      <c r="DIY160" s="80"/>
      <c r="DIZ160" s="80"/>
      <c r="DJA160" s="80"/>
      <c r="DJC160" s="80"/>
      <c r="DJD160" s="178"/>
      <c r="DJE160" s="80"/>
      <c r="DJF160" s="92"/>
      <c r="DJG160" s="53"/>
      <c r="DJH160" s="53"/>
      <c r="DJI160" s="66"/>
      <c r="DJJ160" s="53"/>
      <c r="DJQ160" s="80"/>
      <c r="DJR160" s="80"/>
      <c r="DJS160" s="80"/>
      <c r="DJT160" s="80"/>
      <c r="DJU160" s="80"/>
      <c r="DJW160" s="80"/>
      <c r="DJX160" s="178"/>
      <c r="DJY160" s="80"/>
      <c r="DJZ160" s="92"/>
      <c r="DKA160" s="53"/>
      <c r="DKB160" s="53"/>
      <c r="DKC160" s="66"/>
      <c r="DKD160" s="53"/>
      <c r="DKK160" s="80"/>
      <c r="DKL160" s="80"/>
      <c r="DKM160" s="80"/>
      <c r="DKN160" s="80"/>
      <c r="DKO160" s="80"/>
      <c r="DKQ160" s="80"/>
      <c r="DKR160" s="178"/>
      <c r="DKS160" s="80"/>
      <c r="DKT160" s="92"/>
      <c r="DKU160" s="53"/>
      <c r="DKV160" s="53"/>
      <c r="DKW160" s="66"/>
      <c r="DKX160" s="53"/>
      <c r="DLE160" s="80"/>
      <c r="DLF160" s="80"/>
      <c r="DLG160" s="80"/>
      <c r="DLH160" s="80"/>
      <c r="DLI160" s="80"/>
      <c r="DLK160" s="80"/>
      <c r="DLL160" s="178"/>
      <c r="DLM160" s="80"/>
      <c r="DLN160" s="92"/>
      <c r="DLO160" s="53"/>
      <c r="DLP160" s="53"/>
      <c r="DLQ160" s="66"/>
      <c r="DLR160" s="53"/>
      <c r="DLY160" s="80"/>
      <c r="DLZ160" s="80"/>
      <c r="DMA160" s="80"/>
      <c r="DMB160" s="80"/>
      <c r="DMC160" s="80"/>
      <c r="DME160" s="80"/>
      <c r="DMF160" s="178"/>
      <c r="DMG160" s="80"/>
      <c r="DMH160" s="92"/>
      <c r="DMI160" s="53"/>
      <c r="DMJ160" s="53"/>
      <c r="DMK160" s="66"/>
      <c r="DML160" s="53"/>
      <c r="DMS160" s="80"/>
      <c r="DMT160" s="80"/>
      <c r="DMU160" s="80"/>
      <c r="DMV160" s="80"/>
      <c r="DMW160" s="80"/>
      <c r="DMY160" s="80"/>
      <c r="DMZ160" s="178"/>
      <c r="DNA160" s="80"/>
      <c r="DNB160" s="92"/>
      <c r="DNC160" s="53"/>
      <c r="DND160" s="53"/>
      <c r="DNE160" s="66"/>
      <c r="DNF160" s="53"/>
      <c r="DNM160" s="80"/>
      <c r="DNN160" s="80"/>
      <c r="DNO160" s="80"/>
      <c r="DNP160" s="80"/>
      <c r="DNQ160" s="80"/>
      <c r="DNS160" s="80"/>
      <c r="DNT160" s="178"/>
      <c r="DNU160" s="80"/>
      <c r="DNV160" s="92"/>
      <c r="DNW160" s="53"/>
      <c r="DNX160" s="53"/>
      <c r="DNY160" s="66"/>
      <c r="DNZ160" s="53"/>
      <c r="DOG160" s="80"/>
      <c r="DOH160" s="80"/>
      <c r="DOI160" s="80"/>
      <c r="DOJ160" s="80"/>
      <c r="DOK160" s="80"/>
      <c r="DOM160" s="80"/>
      <c r="DON160" s="178"/>
      <c r="DOO160" s="80"/>
      <c r="DOP160" s="92"/>
      <c r="DOQ160" s="53"/>
      <c r="DOR160" s="53"/>
      <c r="DOS160" s="66"/>
      <c r="DOT160" s="53"/>
      <c r="DPA160" s="80"/>
      <c r="DPB160" s="80"/>
      <c r="DPC160" s="80"/>
      <c r="DPD160" s="80"/>
      <c r="DPE160" s="80"/>
      <c r="DPG160" s="80"/>
      <c r="DPH160" s="178"/>
      <c r="DPI160" s="80"/>
      <c r="DPJ160" s="92"/>
      <c r="DPK160" s="53"/>
      <c r="DPL160" s="53"/>
      <c r="DPM160" s="66"/>
      <c r="DPN160" s="53"/>
      <c r="DPU160" s="80"/>
      <c r="DPV160" s="80"/>
      <c r="DPW160" s="80"/>
      <c r="DPX160" s="80"/>
      <c r="DPY160" s="80"/>
      <c r="DQA160" s="80"/>
      <c r="DQB160" s="178"/>
      <c r="DQC160" s="80"/>
      <c r="DQD160" s="92"/>
      <c r="DQE160" s="53"/>
      <c r="DQF160" s="53"/>
      <c r="DQG160" s="66"/>
      <c r="DQH160" s="53"/>
      <c r="DQO160" s="80"/>
      <c r="DQP160" s="80"/>
      <c r="DQQ160" s="80"/>
      <c r="DQR160" s="80"/>
      <c r="DQS160" s="80"/>
      <c r="DQU160" s="80"/>
      <c r="DQV160" s="178"/>
      <c r="DQW160" s="80"/>
      <c r="DQX160" s="92"/>
      <c r="DQY160" s="53"/>
      <c r="DQZ160" s="53"/>
      <c r="DRA160" s="66"/>
      <c r="DRB160" s="53"/>
      <c r="DRI160" s="80"/>
      <c r="DRJ160" s="80"/>
      <c r="DRK160" s="80"/>
      <c r="DRL160" s="80"/>
      <c r="DRM160" s="80"/>
      <c r="DRO160" s="80"/>
      <c r="DRP160" s="178"/>
      <c r="DRQ160" s="80"/>
      <c r="DRR160" s="92"/>
      <c r="DRS160" s="53"/>
      <c r="DRT160" s="53"/>
      <c r="DRU160" s="66"/>
      <c r="DRV160" s="53"/>
      <c r="DSC160" s="80"/>
      <c r="DSD160" s="80"/>
      <c r="DSE160" s="80"/>
      <c r="DSF160" s="80"/>
      <c r="DSG160" s="80"/>
      <c r="DSI160" s="80"/>
      <c r="DSJ160" s="178"/>
      <c r="DSK160" s="80"/>
      <c r="DSL160" s="92"/>
      <c r="DSM160" s="53"/>
      <c r="DSN160" s="53"/>
      <c r="DSO160" s="66"/>
      <c r="DSP160" s="53"/>
      <c r="DSW160" s="80"/>
      <c r="DSX160" s="80"/>
      <c r="DSY160" s="80"/>
      <c r="DSZ160" s="80"/>
      <c r="DTA160" s="80"/>
      <c r="DTC160" s="80"/>
      <c r="DTD160" s="178"/>
      <c r="DTE160" s="80"/>
      <c r="DTF160" s="92"/>
      <c r="DTG160" s="53"/>
      <c r="DTH160" s="53"/>
      <c r="DTI160" s="66"/>
      <c r="DTJ160" s="53"/>
      <c r="DTQ160" s="80"/>
      <c r="DTR160" s="80"/>
      <c r="DTS160" s="80"/>
      <c r="DTT160" s="80"/>
      <c r="DTU160" s="80"/>
      <c r="DTW160" s="80"/>
      <c r="DTX160" s="178"/>
      <c r="DTY160" s="80"/>
      <c r="DTZ160" s="92"/>
      <c r="DUA160" s="53"/>
      <c r="DUB160" s="53"/>
      <c r="DUC160" s="66"/>
      <c r="DUD160" s="53"/>
      <c r="DUK160" s="80"/>
      <c r="DUL160" s="80"/>
      <c r="DUM160" s="80"/>
      <c r="DUN160" s="80"/>
      <c r="DUO160" s="80"/>
      <c r="DUQ160" s="80"/>
      <c r="DUR160" s="178"/>
      <c r="DUS160" s="80"/>
      <c r="DUT160" s="92"/>
      <c r="DUU160" s="53"/>
      <c r="DUV160" s="53"/>
      <c r="DUW160" s="66"/>
      <c r="DUX160" s="53"/>
      <c r="DVE160" s="80"/>
      <c r="DVF160" s="80"/>
      <c r="DVG160" s="80"/>
      <c r="DVH160" s="80"/>
      <c r="DVI160" s="80"/>
      <c r="DVK160" s="80"/>
      <c r="DVL160" s="178"/>
      <c r="DVM160" s="80"/>
      <c r="DVN160" s="92"/>
      <c r="DVO160" s="53"/>
      <c r="DVP160" s="53"/>
      <c r="DVQ160" s="66"/>
      <c r="DVR160" s="53"/>
      <c r="DVY160" s="80"/>
      <c r="DVZ160" s="80"/>
      <c r="DWA160" s="80"/>
      <c r="DWB160" s="80"/>
      <c r="DWC160" s="80"/>
      <c r="DWE160" s="80"/>
      <c r="DWF160" s="178"/>
      <c r="DWG160" s="80"/>
      <c r="DWH160" s="92"/>
      <c r="DWI160" s="53"/>
      <c r="DWJ160" s="53"/>
      <c r="DWK160" s="66"/>
      <c r="DWL160" s="53"/>
      <c r="DWS160" s="80"/>
      <c r="DWT160" s="80"/>
      <c r="DWU160" s="80"/>
      <c r="DWV160" s="80"/>
      <c r="DWW160" s="80"/>
      <c r="DWY160" s="80"/>
      <c r="DWZ160" s="178"/>
      <c r="DXA160" s="80"/>
      <c r="DXB160" s="92"/>
      <c r="DXC160" s="53"/>
      <c r="DXD160" s="53"/>
      <c r="DXE160" s="66"/>
      <c r="DXF160" s="53"/>
      <c r="DXM160" s="80"/>
      <c r="DXN160" s="80"/>
      <c r="DXO160" s="80"/>
      <c r="DXP160" s="80"/>
      <c r="DXQ160" s="80"/>
      <c r="DXS160" s="80"/>
      <c r="DXT160" s="178"/>
      <c r="DXU160" s="80"/>
      <c r="DXV160" s="92"/>
      <c r="DXW160" s="53"/>
      <c r="DXX160" s="53"/>
      <c r="DXY160" s="66"/>
      <c r="DXZ160" s="53"/>
      <c r="DYG160" s="80"/>
      <c r="DYH160" s="80"/>
      <c r="DYI160" s="80"/>
      <c r="DYJ160" s="80"/>
      <c r="DYK160" s="80"/>
      <c r="DYM160" s="80"/>
      <c r="DYN160" s="178"/>
      <c r="DYO160" s="80"/>
      <c r="DYP160" s="92"/>
      <c r="DYQ160" s="53"/>
      <c r="DYR160" s="53"/>
      <c r="DYS160" s="66"/>
      <c r="DYT160" s="53"/>
      <c r="DZA160" s="80"/>
      <c r="DZB160" s="80"/>
      <c r="DZC160" s="80"/>
      <c r="DZD160" s="80"/>
      <c r="DZE160" s="80"/>
      <c r="DZG160" s="80"/>
      <c r="DZH160" s="178"/>
      <c r="DZI160" s="80"/>
      <c r="DZJ160" s="92"/>
      <c r="DZK160" s="53"/>
      <c r="DZL160" s="53"/>
      <c r="DZM160" s="66"/>
      <c r="DZN160" s="53"/>
      <c r="DZU160" s="80"/>
      <c r="DZV160" s="80"/>
      <c r="DZW160" s="80"/>
      <c r="DZX160" s="80"/>
      <c r="DZY160" s="80"/>
      <c r="EAA160" s="80"/>
      <c r="EAB160" s="178"/>
      <c r="EAC160" s="80"/>
      <c r="EAD160" s="92"/>
      <c r="EAE160" s="53"/>
      <c r="EAF160" s="53"/>
      <c r="EAG160" s="66"/>
      <c r="EAH160" s="53"/>
      <c r="EAO160" s="80"/>
      <c r="EAP160" s="80"/>
      <c r="EAQ160" s="80"/>
      <c r="EAR160" s="80"/>
      <c r="EAS160" s="80"/>
      <c r="EAU160" s="80"/>
      <c r="EAV160" s="178"/>
      <c r="EAW160" s="80"/>
      <c r="EAX160" s="92"/>
      <c r="EAY160" s="53"/>
      <c r="EAZ160" s="53"/>
      <c r="EBA160" s="66"/>
      <c r="EBB160" s="53"/>
      <c r="EBI160" s="80"/>
      <c r="EBJ160" s="80"/>
      <c r="EBK160" s="80"/>
      <c r="EBL160" s="80"/>
      <c r="EBM160" s="80"/>
      <c r="EBO160" s="80"/>
      <c r="EBP160" s="178"/>
      <c r="EBQ160" s="80"/>
      <c r="EBR160" s="92"/>
      <c r="EBS160" s="53"/>
      <c r="EBT160" s="53"/>
      <c r="EBU160" s="66"/>
      <c r="EBV160" s="53"/>
      <c r="ECC160" s="80"/>
      <c r="ECD160" s="80"/>
      <c r="ECE160" s="80"/>
      <c r="ECF160" s="80"/>
      <c r="ECG160" s="80"/>
      <c r="ECI160" s="80"/>
      <c r="ECJ160" s="178"/>
      <c r="ECK160" s="80"/>
      <c r="ECL160" s="92"/>
      <c r="ECM160" s="53"/>
      <c r="ECN160" s="53"/>
      <c r="ECO160" s="66"/>
      <c r="ECP160" s="53"/>
      <c r="ECW160" s="80"/>
      <c r="ECX160" s="80"/>
      <c r="ECY160" s="80"/>
      <c r="ECZ160" s="80"/>
      <c r="EDA160" s="80"/>
      <c r="EDC160" s="80"/>
      <c r="EDD160" s="178"/>
      <c r="EDE160" s="80"/>
      <c r="EDF160" s="92"/>
      <c r="EDG160" s="53"/>
      <c r="EDH160" s="53"/>
      <c r="EDI160" s="66"/>
      <c r="EDJ160" s="53"/>
      <c r="EDQ160" s="80"/>
      <c r="EDR160" s="80"/>
      <c r="EDS160" s="80"/>
      <c r="EDT160" s="80"/>
      <c r="EDU160" s="80"/>
      <c r="EDW160" s="80"/>
      <c r="EDX160" s="178"/>
      <c r="EDY160" s="80"/>
      <c r="EDZ160" s="92"/>
      <c r="EEA160" s="53"/>
      <c r="EEB160" s="53"/>
      <c r="EEC160" s="66"/>
      <c r="EED160" s="53"/>
      <c r="EEK160" s="80"/>
      <c r="EEL160" s="80"/>
      <c r="EEM160" s="80"/>
      <c r="EEN160" s="80"/>
      <c r="EEO160" s="80"/>
      <c r="EEQ160" s="80"/>
      <c r="EER160" s="178"/>
      <c r="EES160" s="80"/>
      <c r="EET160" s="92"/>
      <c r="EEU160" s="53"/>
      <c r="EEV160" s="53"/>
      <c r="EEW160" s="66"/>
      <c r="EEX160" s="53"/>
      <c r="EFE160" s="80"/>
      <c r="EFF160" s="80"/>
      <c r="EFG160" s="80"/>
      <c r="EFH160" s="80"/>
      <c r="EFI160" s="80"/>
      <c r="EFK160" s="80"/>
      <c r="EFL160" s="178"/>
      <c r="EFM160" s="80"/>
      <c r="EFN160" s="92"/>
      <c r="EFO160" s="53"/>
      <c r="EFP160" s="53"/>
      <c r="EFQ160" s="66"/>
      <c r="EFR160" s="53"/>
      <c r="EFY160" s="80"/>
      <c r="EFZ160" s="80"/>
      <c r="EGA160" s="80"/>
      <c r="EGB160" s="80"/>
      <c r="EGC160" s="80"/>
      <c r="EGE160" s="80"/>
      <c r="EGF160" s="178"/>
      <c r="EGG160" s="80"/>
      <c r="EGH160" s="92"/>
      <c r="EGI160" s="53"/>
      <c r="EGJ160" s="53"/>
      <c r="EGK160" s="66"/>
      <c r="EGL160" s="53"/>
      <c r="EGS160" s="80"/>
      <c r="EGT160" s="80"/>
      <c r="EGU160" s="80"/>
      <c r="EGV160" s="80"/>
      <c r="EGW160" s="80"/>
      <c r="EGY160" s="80"/>
      <c r="EGZ160" s="178"/>
      <c r="EHA160" s="80"/>
      <c r="EHB160" s="92"/>
      <c r="EHC160" s="53"/>
      <c r="EHD160" s="53"/>
      <c r="EHE160" s="66"/>
      <c r="EHF160" s="53"/>
      <c r="EHM160" s="80"/>
      <c r="EHN160" s="80"/>
      <c r="EHO160" s="80"/>
      <c r="EHP160" s="80"/>
      <c r="EHQ160" s="80"/>
      <c r="EHS160" s="80"/>
      <c r="EHT160" s="178"/>
      <c r="EHU160" s="80"/>
      <c r="EHV160" s="92"/>
      <c r="EHW160" s="53"/>
      <c r="EHX160" s="53"/>
      <c r="EHY160" s="66"/>
      <c r="EHZ160" s="53"/>
      <c r="EIG160" s="80"/>
      <c r="EIH160" s="80"/>
      <c r="EII160" s="80"/>
      <c r="EIJ160" s="80"/>
      <c r="EIK160" s="80"/>
      <c r="EIM160" s="80"/>
      <c r="EIN160" s="178"/>
      <c r="EIO160" s="80"/>
      <c r="EIP160" s="92"/>
      <c r="EIQ160" s="53"/>
      <c r="EIR160" s="53"/>
      <c r="EIS160" s="66"/>
      <c r="EIT160" s="53"/>
      <c r="EJA160" s="80"/>
      <c r="EJB160" s="80"/>
      <c r="EJC160" s="80"/>
      <c r="EJD160" s="80"/>
      <c r="EJE160" s="80"/>
      <c r="EJG160" s="80"/>
      <c r="EJH160" s="178"/>
      <c r="EJI160" s="80"/>
      <c r="EJJ160" s="92"/>
      <c r="EJK160" s="53"/>
      <c r="EJL160" s="53"/>
      <c r="EJM160" s="66"/>
      <c r="EJN160" s="53"/>
      <c r="EJU160" s="80"/>
      <c r="EJV160" s="80"/>
      <c r="EJW160" s="80"/>
      <c r="EJX160" s="80"/>
      <c r="EJY160" s="80"/>
      <c r="EKA160" s="80"/>
      <c r="EKB160" s="178"/>
      <c r="EKC160" s="80"/>
      <c r="EKD160" s="92"/>
      <c r="EKE160" s="53"/>
      <c r="EKF160" s="53"/>
      <c r="EKG160" s="66"/>
      <c r="EKH160" s="53"/>
      <c r="EKO160" s="80"/>
      <c r="EKP160" s="80"/>
      <c r="EKQ160" s="80"/>
      <c r="EKR160" s="80"/>
      <c r="EKS160" s="80"/>
      <c r="EKU160" s="80"/>
      <c r="EKV160" s="178"/>
      <c r="EKW160" s="80"/>
      <c r="EKX160" s="92"/>
      <c r="EKY160" s="53"/>
      <c r="EKZ160" s="53"/>
      <c r="ELA160" s="66"/>
      <c r="ELB160" s="53"/>
      <c r="ELI160" s="80"/>
      <c r="ELJ160" s="80"/>
      <c r="ELK160" s="80"/>
      <c r="ELL160" s="80"/>
      <c r="ELM160" s="80"/>
      <c r="ELO160" s="80"/>
      <c r="ELP160" s="178"/>
      <c r="ELQ160" s="80"/>
      <c r="ELR160" s="92"/>
      <c r="ELS160" s="53"/>
      <c r="ELT160" s="53"/>
      <c r="ELU160" s="66"/>
      <c r="ELV160" s="53"/>
      <c r="EMC160" s="80"/>
      <c r="EMD160" s="80"/>
      <c r="EME160" s="80"/>
      <c r="EMF160" s="80"/>
      <c r="EMG160" s="80"/>
      <c r="EMI160" s="80"/>
      <c r="EMJ160" s="178"/>
      <c r="EMK160" s="80"/>
      <c r="EML160" s="92"/>
      <c r="EMM160" s="53"/>
      <c r="EMN160" s="53"/>
      <c r="EMO160" s="66"/>
      <c r="EMP160" s="53"/>
      <c r="EMW160" s="80"/>
      <c r="EMX160" s="80"/>
      <c r="EMY160" s="80"/>
      <c r="EMZ160" s="80"/>
      <c r="ENA160" s="80"/>
      <c r="ENC160" s="80"/>
      <c r="END160" s="178"/>
      <c r="ENE160" s="80"/>
      <c r="ENF160" s="92"/>
      <c r="ENG160" s="53"/>
      <c r="ENH160" s="53"/>
      <c r="ENI160" s="66"/>
      <c r="ENJ160" s="53"/>
      <c r="ENQ160" s="80"/>
      <c r="ENR160" s="80"/>
      <c r="ENS160" s="80"/>
      <c r="ENT160" s="80"/>
      <c r="ENU160" s="80"/>
      <c r="ENW160" s="80"/>
      <c r="ENX160" s="178"/>
      <c r="ENY160" s="80"/>
      <c r="ENZ160" s="92"/>
      <c r="EOA160" s="53"/>
      <c r="EOB160" s="53"/>
      <c r="EOC160" s="66"/>
      <c r="EOD160" s="53"/>
      <c r="EOK160" s="80"/>
      <c r="EOL160" s="80"/>
      <c r="EOM160" s="80"/>
      <c r="EON160" s="80"/>
      <c r="EOO160" s="80"/>
      <c r="EOQ160" s="80"/>
      <c r="EOR160" s="178"/>
      <c r="EOS160" s="80"/>
      <c r="EOT160" s="92"/>
      <c r="EOU160" s="53"/>
      <c r="EOV160" s="53"/>
      <c r="EOW160" s="66"/>
      <c r="EOX160" s="53"/>
      <c r="EPE160" s="80"/>
      <c r="EPF160" s="80"/>
      <c r="EPG160" s="80"/>
      <c r="EPH160" s="80"/>
      <c r="EPI160" s="80"/>
      <c r="EPK160" s="80"/>
      <c r="EPL160" s="178"/>
      <c r="EPM160" s="80"/>
      <c r="EPN160" s="92"/>
      <c r="EPO160" s="53"/>
      <c r="EPP160" s="53"/>
      <c r="EPQ160" s="66"/>
      <c r="EPR160" s="53"/>
      <c r="EPY160" s="80"/>
      <c r="EPZ160" s="80"/>
      <c r="EQA160" s="80"/>
      <c r="EQB160" s="80"/>
      <c r="EQC160" s="80"/>
      <c r="EQE160" s="80"/>
      <c r="EQF160" s="178"/>
      <c r="EQG160" s="80"/>
      <c r="EQH160" s="92"/>
      <c r="EQI160" s="53"/>
      <c r="EQJ160" s="53"/>
      <c r="EQK160" s="66"/>
      <c r="EQL160" s="53"/>
      <c r="EQS160" s="80"/>
      <c r="EQT160" s="80"/>
      <c r="EQU160" s="80"/>
      <c r="EQV160" s="80"/>
      <c r="EQW160" s="80"/>
      <c r="EQY160" s="80"/>
      <c r="EQZ160" s="178"/>
      <c r="ERA160" s="80"/>
      <c r="ERB160" s="92"/>
      <c r="ERC160" s="53"/>
      <c r="ERD160" s="53"/>
      <c r="ERE160" s="66"/>
      <c r="ERF160" s="53"/>
      <c r="ERM160" s="80"/>
      <c r="ERN160" s="80"/>
      <c r="ERO160" s="80"/>
      <c r="ERP160" s="80"/>
      <c r="ERQ160" s="80"/>
      <c r="ERS160" s="80"/>
      <c r="ERT160" s="178"/>
      <c r="ERU160" s="80"/>
      <c r="ERV160" s="92"/>
      <c r="ERW160" s="53"/>
      <c r="ERX160" s="53"/>
      <c r="ERY160" s="66"/>
      <c r="ERZ160" s="53"/>
      <c r="ESG160" s="80"/>
      <c r="ESH160" s="80"/>
      <c r="ESI160" s="80"/>
      <c r="ESJ160" s="80"/>
      <c r="ESK160" s="80"/>
      <c r="ESM160" s="80"/>
      <c r="ESN160" s="178"/>
      <c r="ESO160" s="80"/>
      <c r="ESP160" s="92"/>
      <c r="ESQ160" s="53"/>
      <c r="ESR160" s="53"/>
      <c r="ESS160" s="66"/>
      <c r="EST160" s="53"/>
      <c r="ETA160" s="80"/>
      <c r="ETB160" s="80"/>
      <c r="ETC160" s="80"/>
      <c r="ETD160" s="80"/>
      <c r="ETE160" s="80"/>
      <c r="ETG160" s="80"/>
      <c r="ETH160" s="178"/>
      <c r="ETI160" s="80"/>
      <c r="ETJ160" s="92"/>
      <c r="ETK160" s="53"/>
      <c r="ETL160" s="53"/>
      <c r="ETM160" s="66"/>
      <c r="ETN160" s="53"/>
      <c r="ETU160" s="80"/>
      <c r="ETV160" s="80"/>
      <c r="ETW160" s="80"/>
      <c r="ETX160" s="80"/>
      <c r="ETY160" s="80"/>
      <c r="EUA160" s="80"/>
      <c r="EUB160" s="178"/>
      <c r="EUC160" s="80"/>
      <c r="EUD160" s="92"/>
      <c r="EUE160" s="53"/>
      <c r="EUF160" s="53"/>
      <c r="EUG160" s="66"/>
      <c r="EUH160" s="53"/>
      <c r="EUO160" s="80"/>
      <c r="EUP160" s="80"/>
      <c r="EUQ160" s="80"/>
      <c r="EUR160" s="80"/>
      <c r="EUS160" s="80"/>
      <c r="EUU160" s="80"/>
      <c r="EUV160" s="178"/>
      <c r="EUW160" s="80"/>
      <c r="EUX160" s="92"/>
      <c r="EUY160" s="53"/>
      <c r="EUZ160" s="53"/>
      <c r="EVA160" s="66"/>
      <c r="EVB160" s="53"/>
      <c r="EVI160" s="80"/>
      <c r="EVJ160" s="80"/>
      <c r="EVK160" s="80"/>
      <c r="EVL160" s="80"/>
      <c r="EVM160" s="80"/>
      <c r="EVO160" s="80"/>
      <c r="EVP160" s="178"/>
      <c r="EVQ160" s="80"/>
      <c r="EVR160" s="92"/>
      <c r="EVS160" s="53"/>
      <c r="EVT160" s="53"/>
      <c r="EVU160" s="66"/>
      <c r="EVV160" s="53"/>
      <c r="EWC160" s="80"/>
      <c r="EWD160" s="80"/>
      <c r="EWE160" s="80"/>
      <c r="EWF160" s="80"/>
      <c r="EWG160" s="80"/>
      <c r="EWI160" s="80"/>
      <c r="EWJ160" s="178"/>
      <c r="EWK160" s="80"/>
      <c r="EWL160" s="92"/>
      <c r="EWM160" s="53"/>
      <c r="EWN160" s="53"/>
      <c r="EWO160" s="66"/>
      <c r="EWP160" s="53"/>
      <c r="EWW160" s="80"/>
      <c r="EWX160" s="80"/>
      <c r="EWY160" s="80"/>
      <c r="EWZ160" s="80"/>
      <c r="EXA160" s="80"/>
      <c r="EXC160" s="80"/>
      <c r="EXD160" s="178"/>
      <c r="EXE160" s="80"/>
      <c r="EXF160" s="92"/>
      <c r="EXG160" s="53"/>
      <c r="EXH160" s="53"/>
      <c r="EXI160" s="66"/>
      <c r="EXJ160" s="53"/>
      <c r="EXQ160" s="80"/>
      <c r="EXR160" s="80"/>
      <c r="EXS160" s="80"/>
      <c r="EXT160" s="80"/>
      <c r="EXU160" s="80"/>
      <c r="EXW160" s="80"/>
      <c r="EXX160" s="178"/>
      <c r="EXY160" s="80"/>
      <c r="EXZ160" s="92"/>
      <c r="EYA160" s="53"/>
      <c r="EYB160" s="53"/>
      <c r="EYC160" s="66"/>
      <c r="EYD160" s="53"/>
      <c r="EYK160" s="80"/>
      <c r="EYL160" s="80"/>
      <c r="EYM160" s="80"/>
      <c r="EYN160" s="80"/>
      <c r="EYO160" s="80"/>
      <c r="EYQ160" s="80"/>
      <c r="EYR160" s="178"/>
      <c r="EYS160" s="80"/>
      <c r="EYT160" s="92"/>
      <c r="EYU160" s="53"/>
      <c r="EYV160" s="53"/>
      <c r="EYW160" s="66"/>
      <c r="EYX160" s="53"/>
      <c r="EZE160" s="80"/>
      <c r="EZF160" s="80"/>
      <c r="EZG160" s="80"/>
      <c r="EZH160" s="80"/>
      <c r="EZI160" s="80"/>
      <c r="EZK160" s="80"/>
      <c r="EZL160" s="178"/>
      <c r="EZM160" s="80"/>
      <c r="EZN160" s="92"/>
      <c r="EZO160" s="53"/>
      <c r="EZP160" s="53"/>
      <c r="EZQ160" s="66"/>
      <c r="EZR160" s="53"/>
      <c r="EZY160" s="80"/>
      <c r="EZZ160" s="80"/>
      <c r="FAA160" s="80"/>
      <c r="FAB160" s="80"/>
      <c r="FAC160" s="80"/>
      <c r="FAE160" s="80"/>
      <c r="FAF160" s="178"/>
      <c r="FAG160" s="80"/>
      <c r="FAH160" s="92"/>
      <c r="FAI160" s="53"/>
      <c r="FAJ160" s="53"/>
      <c r="FAK160" s="66"/>
      <c r="FAL160" s="53"/>
      <c r="FAS160" s="80"/>
      <c r="FAT160" s="80"/>
      <c r="FAU160" s="80"/>
      <c r="FAV160" s="80"/>
      <c r="FAW160" s="80"/>
      <c r="FAY160" s="80"/>
      <c r="FAZ160" s="178"/>
      <c r="FBA160" s="80"/>
      <c r="FBB160" s="92"/>
      <c r="FBC160" s="53"/>
      <c r="FBD160" s="53"/>
      <c r="FBE160" s="66"/>
      <c r="FBF160" s="53"/>
      <c r="FBM160" s="80"/>
      <c r="FBN160" s="80"/>
      <c r="FBO160" s="80"/>
      <c r="FBP160" s="80"/>
      <c r="FBQ160" s="80"/>
      <c r="FBS160" s="80"/>
      <c r="FBT160" s="178"/>
      <c r="FBU160" s="80"/>
      <c r="FBV160" s="92"/>
      <c r="FBW160" s="53"/>
      <c r="FBX160" s="53"/>
      <c r="FBY160" s="66"/>
      <c r="FBZ160" s="53"/>
      <c r="FCG160" s="80"/>
      <c r="FCH160" s="80"/>
      <c r="FCI160" s="80"/>
      <c r="FCJ160" s="80"/>
      <c r="FCK160" s="80"/>
      <c r="FCM160" s="80"/>
      <c r="FCN160" s="178"/>
      <c r="FCO160" s="80"/>
      <c r="FCP160" s="92"/>
      <c r="FCQ160" s="53"/>
      <c r="FCR160" s="53"/>
      <c r="FCS160" s="66"/>
      <c r="FCT160" s="53"/>
      <c r="FDA160" s="80"/>
      <c r="FDB160" s="80"/>
      <c r="FDC160" s="80"/>
      <c r="FDD160" s="80"/>
      <c r="FDE160" s="80"/>
      <c r="FDG160" s="80"/>
      <c r="FDH160" s="178"/>
      <c r="FDI160" s="80"/>
      <c r="FDJ160" s="92"/>
      <c r="FDK160" s="53"/>
      <c r="FDL160" s="53"/>
      <c r="FDM160" s="66"/>
      <c r="FDN160" s="53"/>
      <c r="FDU160" s="80"/>
      <c r="FDV160" s="80"/>
      <c r="FDW160" s="80"/>
      <c r="FDX160" s="80"/>
      <c r="FDY160" s="80"/>
      <c r="FEA160" s="80"/>
      <c r="FEB160" s="178"/>
      <c r="FEC160" s="80"/>
      <c r="FED160" s="92"/>
      <c r="FEE160" s="53"/>
      <c r="FEF160" s="53"/>
      <c r="FEG160" s="66"/>
      <c r="FEH160" s="53"/>
      <c r="FEO160" s="80"/>
      <c r="FEP160" s="80"/>
      <c r="FEQ160" s="80"/>
      <c r="FER160" s="80"/>
      <c r="FES160" s="80"/>
      <c r="FEU160" s="80"/>
      <c r="FEV160" s="178"/>
      <c r="FEW160" s="80"/>
      <c r="FEX160" s="92"/>
      <c r="FEY160" s="53"/>
      <c r="FEZ160" s="53"/>
      <c r="FFA160" s="66"/>
      <c r="FFB160" s="53"/>
      <c r="FFI160" s="80"/>
      <c r="FFJ160" s="80"/>
      <c r="FFK160" s="80"/>
      <c r="FFL160" s="80"/>
      <c r="FFM160" s="80"/>
      <c r="FFO160" s="80"/>
      <c r="FFP160" s="178"/>
      <c r="FFQ160" s="80"/>
      <c r="FFR160" s="92"/>
      <c r="FFS160" s="53"/>
      <c r="FFT160" s="53"/>
      <c r="FFU160" s="66"/>
      <c r="FFV160" s="53"/>
      <c r="FGC160" s="80"/>
      <c r="FGD160" s="80"/>
      <c r="FGE160" s="80"/>
      <c r="FGF160" s="80"/>
      <c r="FGG160" s="80"/>
      <c r="FGI160" s="80"/>
      <c r="FGJ160" s="178"/>
      <c r="FGK160" s="80"/>
      <c r="FGL160" s="92"/>
      <c r="FGM160" s="53"/>
      <c r="FGN160" s="53"/>
      <c r="FGO160" s="66"/>
      <c r="FGP160" s="53"/>
      <c r="FGW160" s="80"/>
      <c r="FGX160" s="80"/>
      <c r="FGY160" s="80"/>
      <c r="FGZ160" s="80"/>
      <c r="FHA160" s="80"/>
      <c r="FHC160" s="80"/>
      <c r="FHD160" s="178"/>
      <c r="FHE160" s="80"/>
      <c r="FHF160" s="92"/>
      <c r="FHG160" s="53"/>
      <c r="FHH160" s="53"/>
      <c r="FHI160" s="66"/>
      <c r="FHJ160" s="53"/>
      <c r="FHQ160" s="80"/>
      <c r="FHR160" s="80"/>
      <c r="FHS160" s="80"/>
      <c r="FHT160" s="80"/>
      <c r="FHU160" s="80"/>
      <c r="FHW160" s="80"/>
      <c r="FHX160" s="178"/>
      <c r="FHY160" s="80"/>
      <c r="FHZ160" s="92"/>
      <c r="FIA160" s="53"/>
      <c r="FIB160" s="53"/>
      <c r="FIC160" s="66"/>
      <c r="FID160" s="53"/>
      <c r="FIK160" s="80"/>
      <c r="FIL160" s="80"/>
      <c r="FIM160" s="80"/>
      <c r="FIN160" s="80"/>
      <c r="FIO160" s="80"/>
      <c r="FIQ160" s="80"/>
      <c r="FIR160" s="178"/>
      <c r="FIS160" s="80"/>
      <c r="FIT160" s="92"/>
      <c r="FIU160" s="53"/>
      <c r="FIV160" s="53"/>
      <c r="FIW160" s="66"/>
      <c r="FIX160" s="53"/>
      <c r="FJE160" s="80"/>
      <c r="FJF160" s="80"/>
      <c r="FJG160" s="80"/>
      <c r="FJH160" s="80"/>
      <c r="FJI160" s="80"/>
      <c r="FJK160" s="80"/>
      <c r="FJL160" s="178"/>
      <c r="FJM160" s="80"/>
      <c r="FJN160" s="92"/>
      <c r="FJO160" s="53"/>
      <c r="FJP160" s="53"/>
      <c r="FJQ160" s="66"/>
      <c r="FJR160" s="53"/>
      <c r="FJY160" s="80"/>
      <c r="FJZ160" s="80"/>
      <c r="FKA160" s="80"/>
      <c r="FKB160" s="80"/>
      <c r="FKC160" s="80"/>
      <c r="FKE160" s="80"/>
      <c r="FKF160" s="178"/>
      <c r="FKG160" s="80"/>
      <c r="FKH160" s="92"/>
      <c r="FKI160" s="53"/>
      <c r="FKJ160" s="53"/>
      <c r="FKK160" s="66"/>
      <c r="FKL160" s="53"/>
      <c r="FKS160" s="80"/>
      <c r="FKT160" s="80"/>
      <c r="FKU160" s="80"/>
      <c r="FKV160" s="80"/>
      <c r="FKW160" s="80"/>
      <c r="FKY160" s="80"/>
      <c r="FKZ160" s="178"/>
      <c r="FLA160" s="80"/>
      <c r="FLB160" s="92"/>
      <c r="FLC160" s="53"/>
      <c r="FLD160" s="53"/>
      <c r="FLE160" s="66"/>
      <c r="FLF160" s="53"/>
      <c r="FLM160" s="80"/>
      <c r="FLN160" s="80"/>
      <c r="FLO160" s="80"/>
      <c r="FLP160" s="80"/>
      <c r="FLQ160" s="80"/>
      <c r="FLS160" s="80"/>
      <c r="FLT160" s="178"/>
      <c r="FLU160" s="80"/>
      <c r="FLV160" s="92"/>
      <c r="FLW160" s="53"/>
      <c r="FLX160" s="53"/>
      <c r="FLY160" s="66"/>
      <c r="FLZ160" s="53"/>
      <c r="FMG160" s="80"/>
      <c r="FMH160" s="80"/>
      <c r="FMI160" s="80"/>
      <c r="FMJ160" s="80"/>
      <c r="FMK160" s="80"/>
      <c r="FMM160" s="80"/>
      <c r="FMN160" s="178"/>
      <c r="FMO160" s="80"/>
      <c r="FMP160" s="92"/>
      <c r="FMQ160" s="53"/>
      <c r="FMR160" s="53"/>
      <c r="FMS160" s="66"/>
      <c r="FMT160" s="53"/>
      <c r="FNA160" s="80"/>
      <c r="FNB160" s="80"/>
      <c r="FNC160" s="80"/>
      <c r="FND160" s="80"/>
      <c r="FNE160" s="80"/>
      <c r="FNG160" s="80"/>
      <c r="FNH160" s="178"/>
      <c r="FNI160" s="80"/>
      <c r="FNJ160" s="92"/>
      <c r="FNK160" s="53"/>
      <c r="FNL160" s="53"/>
      <c r="FNM160" s="66"/>
      <c r="FNN160" s="53"/>
      <c r="FNU160" s="80"/>
      <c r="FNV160" s="80"/>
      <c r="FNW160" s="80"/>
      <c r="FNX160" s="80"/>
      <c r="FNY160" s="80"/>
      <c r="FOA160" s="80"/>
      <c r="FOB160" s="178"/>
      <c r="FOC160" s="80"/>
      <c r="FOD160" s="92"/>
      <c r="FOE160" s="53"/>
      <c r="FOF160" s="53"/>
      <c r="FOG160" s="66"/>
      <c r="FOH160" s="53"/>
      <c r="FOO160" s="80"/>
      <c r="FOP160" s="80"/>
      <c r="FOQ160" s="80"/>
      <c r="FOR160" s="80"/>
      <c r="FOS160" s="80"/>
      <c r="FOU160" s="80"/>
      <c r="FOV160" s="178"/>
      <c r="FOW160" s="80"/>
      <c r="FOX160" s="92"/>
      <c r="FOY160" s="53"/>
      <c r="FOZ160" s="53"/>
      <c r="FPA160" s="66"/>
      <c r="FPB160" s="53"/>
      <c r="FPI160" s="80"/>
      <c r="FPJ160" s="80"/>
      <c r="FPK160" s="80"/>
      <c r="FPL160" s="80"/>
      <c r="FPM160" s="80"/>
      <c r="FPO160" s="80"/>
      <c r="FPP160" s="178"/>
      <c r="FPQ160" s="80"/>
      <c r="FPR160" s="92"/>
      <c r="FPS160" s="53"/>
      <c r="FPT160" s="53"/>
      <c r="FPU160" s="66"/>
      <c r="FPV160" s="53"/>
      <c r="FQC160" s="80"/>
      <c r="FQD160" s="80"/>
      <c r="FQE160" s="80"/>
      <c r="FQF160" s="80"/>
      <c r="FQG160" s="80"/>
      <c r="FQI160" s="80"/>
      <c r="FQJ160" s="178"/>
      <c r="FQK160" s="80"/>
      <c r="FQL160" s="92"/>
      <c r="FQM160" s="53"/>
      <c r="FQN160" s="53"/>
      <c r="FQO160" s="66"/>
      <c r="FQP160" s="53"/>
      <c r="FQW160" s="80"/>
      <c r="FQX160" s="80"/>
      <c r="FQY160" s="80"/>
      <c r="FQZ160" s="80"/>
      <c r="FRA160" s="80"/>
      <c r="FRC160" s="80"/>
      <c r="FRD160" s="178"/>
      <c r="FRE160" s="80"/>
      <c r="FRF160" s="92"/>
      <c r="FRG160" s="53"/>
      <c r="FRH160" s="53"/>
      <c r="FRI160" s="66"/>
      <c r="FRJ160" s="53"/>
      <c r="FRQ160" s="80"/>
      <c r="FRR160" s="80"/>
      <c r="FRS160" s="80"/>
      <c r="FRT160" s="80"/>
      <c r="FRU160" s="80"/>
      <c r="FRW160" s="80"/>
      <c r="FRX160" s="178"/>
      <c r="FRY160" s="80"/>
      <c r="FRZ160" s="92"/>
      <c r="FSA160" s="53"/>
      <c r="FSB160" s="53"/>
      <c r="FSC160" s="66"/>
      <c r="FSD160" s="53"/>
      <c r="FSK160" s="80"/>
      <c r="FSL160" s="80"/>
      <c r="FSM160" s="80"/>
      <c r="FSN160" s="80"/>
      <c r="FSO160" s="80"/>
      <c r="FSQ160" s="80"/>
      <c r="FSR160" s="178"/>
      <c r="FSS160" s="80"/>
      <c r="FST160" s="92"/>
      <c r="FSU160" s="53"/>
      <c r="FSV160" s="53"/>
      <c r="FSW160" s="66"/>
      <c r="FSX160" s="53"/>
      <c r="FTE160" s="80"/>
      <c r="FTF160" s="80"/>
      <c r="FTG160" s="80"/>
      <c r="FTH160" s="80"/>
      <c r="FTI160" s="80"/>
      <c r="FTK160" s="80"/>
      <c r="FTL160" s="178"/>
      <c r="FTM160" s="80"/>
      <c r="FTN160" s="92"/>
      <c r="FTO160" s="53"/>
      <c r="FTP160" s="53"/>
      <c r="FTQ160" s="66"/>
      <c r="FTR160" s="53"/>
      <c r="FTY160" s="80"/>
      <c r="FTZ160" s="80"/>
      <c r="FUA160" s="80"/>
      <c r="FUB160" s="80"/>
      <c r="FUC160" s="80"/>
      <c r="FUE160" s="80"/>
      <c r="FUF160" s="178"/>
      <c r="FUG160" s="80"/>
      <c r="FUH160" s="92"/>
      <c r="FUI160" s="53"/>
      <c r="FUJ160" s="53"/>
      <c r="FUK160" s="66"/>
      <c r="FUL160" s="53"/>
      <c r="FUS160" s="80"/>
      <c r="FUT160" s="80"/>
      <c r="FUU160" s="80"/>
      <c r="FUV160" s="80"/>
      <c r="FUW160" s="80"/>
      <c r="FUY160" s="80"/>
      <c r="FUZ160" s="178"/>
      <c r="FVA160" s="80"/>
      <c r="FVB160" s="92"/>
      <c r="FVC160" s="53"/>
      <c r="FVD160" s="53"/>
      <c r="FVE160" s="66"/>
      <c r="FVF160" s="53"/>
      <c r="FVM160" s="80"/>
      <c r="FVN160" s="80"/>
      <c r="FVO160" s="80"/>
      <c r="FVP160" s="80"/>
      <c r="FVQ160" s="80"/>
      <c r="FVS160" s="80"/>
      <c r="FVT160" s="178"/>
      <c r="FVU160" s="80"/>
      <c r="FVV160" s="92"/>
      <c r="FVW160" s="53"/>
      <c r="FVX160" s="53"/>
      <c r="FVY160" s="66"/>
      <c r="FVZ160" s="53"/>
      <c r="FWG160" s="80"/>
      <c r="FWH160" s="80"/>
      <c r="FWI160" s="80"/>
      <c r="FWJ160" s="80"/>
      <c r="FWK160" s="80"/>
      <c r="FWM160" s="80"/>
      <c r="FWN160" s="178"/>
      <c r="FWO160" s="80"/>
      <c r="FWP160" s="92"/>
      <c r="FWQ160" s="53"/>
      <c r="FWR160" s="53"/>
      <c r="FWS160" s="66"/>
      <c r="FWT160" s="53"/>
      <c r="FXA160" s="80"/>
      <c r="FXB160" s="80"/>
      <c r="FXC160" s="80"/>
      <c r="FXD160" s="80"/>
      <c r="FXE160" s="80"/>
      <c r="FXG160" s="80"/>
      <c r="FXH160" s="178"/>
      <c r="FXI160" s="80"/>
      <c r="FXJ160" s="92"/>
      <c r="FXK160" s="53"/>
      <c r="FXL160" s="53"/>
      <c r="FXM160" s="66"/>
      <c r="FXN160" s="53"/>
      <c r="FXU160" s="80"/>
      <c r="FXV160" s="80"/>
      <c r="FXW160" s="80"/>
      <c r="FXX160" s="80"/>
      <c r="FXY160" s="80"/>
      <c r="FYA160" s="80"/>
      <c r="FYB160" s="178"/>
      <c r="FYC160" s="80"/>
      <c r="FYD160" s="92"/>
      <c r="FYE160" s="53"/>
      <c r="FYF160" s="53"/>
      <c r="FYG160" s="66"/>
      <c r="FYH160" s="53"/>
      <c r="FYO160" s="80"/>
      <c r="FYP160" s="80"/>
      <c r="FYQ160" s="80"/>
      <c r="FYR160" s="80"/>
      <c r="FYS160" s="80"/>
      <c r="FYU160" s="80"/>
      <c r="FYV160" s="178"/>
      <c r="FYW160" s="80"/>
      <c r="FYX160" s="92"/>
      <c r="FYY160" s="53"/>
      <c r="FYZ160" s="53"/>
      <c r="FZA160" s="66"/>
      <c r="FZB160" s="53"/>
      <c r="FZI160" s="80"/>
      <c r="FZJ160" s="80"/>
      <c r="FZK160" s="80"/>
      <c r="FZL160" s="80"/>
      <c r="FZM160" s="80"/>
      <c r="FZO160" s="80"/>
      <c r="FZP160" s="178"/>
      <c r="FZQ160" s="80"/>
      <c r="FZR160" s="92"/>
      <c r="FZS160" s="53"/>
      <c r="FZT160" s="53"/>
      <c r="FZU160" s="66"/>
      <c r="FZV160" s="53"/>
      <c r="GAC160" s="80"/>
      <c r="GAD160" s="80"/>
      <c r="GAE160" s="80"/>
      <c r="GAF160" s="80"/>
      <c r="GAG160" s="80"/>
      <c r="GAI160" s="80"/>
      <c r="GAJ160" s="178"/>
      <c r="GAK160" s="80"/>
      <c r="GAL160" s="92"/>
      <c r="GAM160" s="53"/>
      <c r="GAN160" s="53"/>
      <c r="GAO160" s="66"/>
      <c r="GAP160" s="53"/>
      <c r="GAW160" s="80"/>
      <c r="GAX160" s="80"/>
      <c r="GAY160" s="80"/>
      <c r="GAZ160" s="80"/>
      <c r="GBA160" s="80"/>
      <c r="GBC160" s="80"/>
      <c r="GBD160" s="178"/>
      <c r="GBE160" s="80"/>
      <c r="GBF160" s="92"/>
      <c r="GBG160" s="53"/>
      <c r="GBH160" s="53"/>
      <c r="GBI160" s="66"/>
      <c r="GBJ160" s="53"/>
      <c r="GBQ160" s="80"/>
      <c r="GBR160" s="80"/>
      <c r="GBS160" s="80"/>
      <c r="GBT160" s="80"/>
      <c r="GBU160" s="80"/>
      <c r="GBW160" s="80"/>
      <c r="GBX160" s="178"/>
      <c r="GBY160" s="80"/>
      <c r="GBZ160" s="92"/>
      <c r="GCA160" s="53"/>
      <c r="GCB160" s="53"/>
      <c r="GCC160" s="66"/>
      <c r="GCD160" s="53"/>
      <c r="GCK160" s="80"/>
      <c r="GCL160" s="80"/>
      <c r="GCM160" s="80"/>
      <c r="GCN160" s="80"/>
      <c r="GCO160" s="80"/>
      <c r="GCQ160" s="80"/>
      <c r="GCR160" s="178"/>
      <c r="GCS160" s="80"/>
      <c r="GCT160" s="92"/>
      <c r="GCU160" s="53"/>
      <c r="GCV160" s="53"/>
      <c r="GCW160" s="66"/>
      <c r="GCX160" s="53"/>
      <c r="GDE160" s="80"/>
      <c r="GDF160" s="80"/>
      <c r="GDG160" s="80"/>
      <c r="GDH160" s="80"/>
      <c r="GDI160" s="80"/>
      <c r="GDK160" s="80"/>
      <c r="GDL160" s="178"/>
      <c r="GDM160" s="80"/>
      <c r="GDN160" s="92"/>
      <c r="GDO160" s="53"/>
      <c r="GDP160" s="53"/>
      <c r="GDQ160" s="66"/>
      <c r="GDR160" s="53"/>
      <c r="GDY160" s="80"/>
      <c r="GDZ160" s="80"/>
      <c r="GEA160" s="80"/>
      <c r="GEB160" s="80"/>
      <c r="GEC160" s="80"/>
      <c r="GEE160" s="80"/>
      <c r="GEF160" s="178"/>
      <c r="GEG160" s="80"/>
      <c r="GEH160" s="92"/>
      <c r="GEI160" s="53"/>
      <c r="GEJ160" s="53"/>
      <c r="GEK160" s="66"/>
      <c r="GEL160" s="53"/>
      <c r="GES160" s="80"/>
      <c r="GET160" s="80"/>
      <c r="GEU160" s="80"/>
      <c r="GEV160" s="80"/>
      <c r="GEW160" s="80"/>
      <c r="GEY160" s="80"/>
      <c r="GEZ160" s="178"/>
      <c r="GFA160" s="80"/>
      <c r="GFB160" s="92"/>
      <c r="GFC160" s="53"/>
      <c r="GFD160" s="53"/>
      <c r="GFE160" s="66"/>
      <c r="GFF160" s="53"/>
      <c r="GFM160" s="80"/>
      <c r="GFN160" s="80"/>
      <c r="GFO160" s="80"/>
      <c r="GFP160" s="80"/>
      <c r="GFQ160" s="80"/>
      <c r="GFS160" s="80"/>
      <c r="GFT160" s="178"/>
      <c r="GFU160" s="80"/>
      <c r="GFV160" s="92"/>
      <c r="GFW160" s="53"/>
      <c r="GFX160" s="53"/>
      <c r="GFY160" s="66"/>
      <c r="GFZ160" s="53"/>
      <c r="GGG160" s="80"/>
      <c r="GGH160" s="80"/>
      <c r="GGI160" s="80"/>
      <c r="GGJ160" s="80"/>
      <c r="GGK160" s="80"/>
      <c r="GGM160" s="80"/>
      <c r="GGN160" s="178"/>
      <c r="GGO160" s="80"/>
      <c r="GGP160" s="92"/>
      <c r="GGQ160" s="53"/>
      <c r="GGR160" s="53"/>
      <c r="GGS160" s="66"/>
      <c r="GGT160" s="53"/>
      <c r="GHA160" s="80"/>
      <c r="GHB160" s="80"/>
      <c r="GHC160" s="80"/>
      <c r="GHD160" s="80"/>
      <c r="GHE160" s="80"/>
      <c r="GHG160" s="80"/>
      <c r="GHH160" s="178"/>
      <c r="GHI160" s="80"/>
      <c r="GHJ160" s="92"/>
      <c r="GHK160" s="53"/>
      <c r="GHL160" s="53"/>
      <c r="GHM160" s="66"/>
      <c r="GHN160" s="53"/>
      <c r="GHU160" s="80"/>
      <c r="GHV160" s="80"/>
      <c r="GHW160" s="80"/>
      <c r="GHX160" s="80"/>
      <c r="GHY160" s="80"/>
      <c r="GIA160" s="80"/>
      <c r="GIB160" s="178"/>
      <c r="GIC160" s="80"/>
      <c r="GID160" s="92"/>
      <c r="GIE160" s="53"/>
      <c r="GIF160" s="53"/>
      <c r="GIG160" s="66"/>
      <c r="GIH160" s="53"/>
      <c r="GIO160" s="80"/>
      <c r="GIP160" s="80"/>
      <c r="GIQ160" s="80"/>
      <c r="GIR160" s="80"/>
      <c r="GIS160" s="80"/>
      <c r="GIU160" s="80"/>
      <c r="GIV160" s="178"/>
      <c r="GIW160" s="80"/>
      <c r="GIX160" s="92"/>
      <c r="GIY160" s="53"/>
      <c r="GIZ160" s="53"/>
      <c r="GJA160" s="66"/>
      <c r="GJB160" s="53"/>
      <c r="GJI160" s="80"/>
      <c r="GJJ160" s="80"/>
      <c r="GJK160" s="80"/>
      <c r="GJL160" s="80"/>
      <c r="GJM160" s="80"/>
      <c r="GJO160" s="80"/>
      <c r="GJP160" s="178"/>
      <c r="GJQ160" s="80"/>
      <c r="GJR160" s="92"/>
      <c r="GJS160" s="53"/>
      <c r="GJT160" s="53"/>
      <c r="GJU160" s="66"/>
      <c r="GJV160" s="53"/>
      <c r="GKC160" s="80"/>
      <c r="GKD160" s="80"/>
      <c r="GKE160" s="80"/>
      <c r="GKF160" s="80"/>
      <c r="GKG160" s="80"/>
      <c r="GKI160" s="80"/>
      <c r="GKJ160" s="178"/>
      <c r="GKK160" s="80"/>
      <c r="GKL160" s="92"/>
      <c r="GKM160" s="53"/>
      <c r="GKN160" s="53"/>
      <c r="GKO160" s="66"/>
      <c r="GKP160" s="53"/>
      <c r="GKW160" s="80"/>
      <c r="GKX160" s="80"/>
      <c r="GKY160" s="80"/>
      <c r="GKZ160" s="80"/>
      <c r="GLA160" s="80"/>
      <c r="GLC160" s="80"/>
      <c r="GLD160" s="178"/>
      <c r="GLE160" s="80"/>
      <c r="GLF160" s="92"/>
      <c r="GLG160" s="53"/>
      <c r="GLH160" s="53"/>
      <c r="GLI160" s="66"/>
      <c r="GLJ160" s="53"/>
      <c r="GLQ160" s="80"/>
      <c r="GLR160" s="80"/>
      <c r="GLS160" s="80"/>
      <c r="GLT160" s="80"/>
      <c r="GLU160" s="80"/>
      <c r="GLW160" s="80"/>
      <c r="GLX160" s="178"/>
      <c r="GLY160" s="80"/>
      <c r="GLZ160" s="92"/>
      <c r="GMA160" s="53"/>
      <c r="GMB160" s="53"/>
      <c r="GMC160" s="66"/>
      <c r="GMD160" s="53"/>
      <c r="GMK160" s="80"/>
      <c r="GML160" s="80"/>
      <c r="GMM160" s="80"/>
      <c r="GMN160" s="80"/>
      <c r="GMO160" s="80"/>
      <c r="GMQ160" s="80"/>
      <c r="GMR160" s="178"/>
      <c r="GMS160" s="80"/>
      <c r="GMT160" s="92"/>
      <c r="GMU160" s="53"/>
      <c r="GMV160" s="53"/>
      <c r="GMW160" s="66"/>
      <c r="GMX160" s="53"/>
      <c r="GNE160" s="80"/>
      <c r="GNF160" s="80"/>
      <c r="GNG160" s="80"/>
      <c r="GNH160" s="80"/>
      <c r="GNI160" s="80"/>
      <c r="GNK160" s="80"/>
      <c r="GNL160" s="178"/>
      <c r="GNM160" s="80"/>
      <c r="GNN160" s="92"/>
      <c r="GNO160" s="53"/>
      <c r="GNP160" s="53"/>
      <c r="GNQ160" s="66"/>
      <c r="GNR160" s="53"/>
      <c r="GNY160" s="80"/>
      <c r="GNZ160" s="80"/>
      <c r="GOA160" s="80"/>
      <c r="GOB160" s="80"/>
      <c r="GOC160" s="80"/>
      <c r="GOE160" s="80"/>
      <c r="GOF160" s="178"/>
      <c r="GOG160" s="80"/>
      <c r="GOH160" s="92"/>
      <c r="GOI160" s="53"/>
      <c r="GOJ160" s="53"/>
      <c r="GOK160" s="66"/>
      <c r="GOL160" s="53"/>
      <c r="GOS160" s="80"/>
      <c r="GOT160" s="80"/>
      <c r="GOU160" s="80"/>
      <c r="GOV160" s="80"/>
      <c r="GOW160" s="80"/>
      <c r="GOY160" s="80"/>
      <c r="GOZ160" s="178"/>
      <c r="GPA160" s="80"/>
      <c r="GPB160" s="92"/>
      <c r="GPC160" s="53"/>
      <c r="GPD160" s="53"/>
      <c r="GPE160" s="66"/>
      <c r="GPF160" s="53"/>
      <c r="GPM160" s="80"/>
      <c r="GPN160" s="80"/>
      <c r="GPO160" s="80"/>
      <c r="GPP160" s="80"/>
      <c r="GPQ160" s="80"/>
      <c r="GPS160" s="80"/>
      <c r="GPT160" s="178"/>
      <c r="GPU160" s="80"/>
      <c r="GPV160" s="92"/>
      <c r="GPW160" s="53"/>
      <c r="GPX160" s="53"/>
      <c r="GPY160" s="66"/>
      <c r="GPZ160" s="53"/>
      <c r="GQG160" s="80"/>
      <c r="GQH160" s="80"/>
      <c r="GQI160" s="80"/>
      <c r="GQJ160" s="80"/>
      <c r="GQK160" s="80"/>
      <c r="GQM160" s="80"/>
      <c r="GQN160" s="178"/>
      <c r="GQO160" s="80"/>
      <c r="GQP160" s="92"/>
      <c r="GQQ160" s="53"/>
      <c r="GQR160" s="53"/>
      <c r="GQS160" s="66"/>
      <c r="GQT160" s="53"/>
      <c r="GRA160" s="80"/>
      <c r="GRB160" s="80"/>
      <c r="GRC160" s="80"/>
      <c r="GRD160" s="80"/>
      <c r="GRE160" s="80"/>
      <c r="GRG160" s="80"/>
      <c r="GRH160" s="178"/>
      <c r="GRI160" s="80"/>
      <c r="GRJ160" s="92"/>
      <c r="GRK160" s="53"/>
      <c r="GRL160" s="53"/>
      <c r="GRM160" s="66"/>
      <c r="GRN160" s="53"/>
      <c r="GRU160" s="80"/>
      <c r="GRV160" s="80"/>
      <c r="GRW160" s="80"/>
      <c r="GRX160" s="80"/>
      <c r="GRY160" s="80"/>
      <c r="GSA160" s="80"/>
      <c r="GSB160" s="178"/>
      <c r="GSC160" s="80"/>
      <c r="GSD160" s="92"/>
      <c r="GSE160" s="53"/>
      <c r="GSF160" s="53"/>
      <c r="GSG160" s="66"/>
      <c r="GSH160" s="53"/>
      <c r="GSO160" s="80"/>
      <c r="GSP160" s="80"/>
      <c r="GSQ160" s="80"/>
      <c r="GSR160" s="80"/>
      <c r="GSS160" s="80"/>
      <c r="GSU160" s="80"/>
      <c r="GSV160" s="178"/>
      <c r="GSW160" s="80"/>
      <c r="GSX160" s="92"/>
      <c r="GSY160" s="53"/>
      <c r="GSZ160" s="53"/>
      <c r="GTA160" s="66"/>
      <c r="GTB160" s="53"/>
      <c r="GTI160" s="80"/>
      <c r="GTJ160" s="80"/>
      <c r="GTK160" s="80"/>
      <c r="GTL160" s="80"/>
      <c r="GTM160" s="80"/>
      <c r="GTO160" s="80"/>
      <c r="GTP160" s="178"/>
      <c r="GTQ160" s="80"/>
      <c r="GTR160" s="92"/>
      <c r="GTS160" s="53"/>
      <c r="GTT160" s="53"/>
      <c r="GTU160" s="66"/>
      <c r="GTV160" s="53"/>
      <c r="GUC160" s="80"/>
      <c r="GUD160" s="80"/>
      <c r="GUE160" s="80"/>
      <c r="GUF160" s="80"/>
      <c r="GUG160" s="80"/>
      <c r="GUI160" s="80"/>
      <c r="GUJ160" s="178"/>
      <c r="GUK160" s="80"/>
      <c r="GUL160" s="92"/>
      <c r="GUM160" s="53"/>
      <c r="GUN160" s="53"/>
      <c r="GUO160" s="66"/>
      <c r="GUP160" s="53"/>
      <c r="GUW160" s="80"/>
      <c r="GUX160" s="80"/>
      <c r="GUY160" s="80"/>
      <c r="GUZ160" s="80"/>
      <c r="GVA160" s="80"/>
      <c r="GVC160" s="80"/>
      <c r="GVD160" s="178"/>
      <c r="GVE160" s="80"/>
      <c r="GVF160" s="92"/>
      <c r="GVG160" s="53"/>
      <c r="GVH160" s="53"/>
      <c r="GVI160" s="66"/>
      <c r="GVJ160" s="53"/>
      <c r="GVQ160" s="80"/>
      <c r="GVR160" s="80"/>
      <c r="GVS160" s="80"/>
      <c r="GVT160" s="80"/>
      <c r="GVU160" s="80"/>
      <c r="GVW160" s="80"/>
      <c r="GVX160" s="178"/>
      <c r="GVY160" s="80"/>
      <c r="GVZ160" s="92"/>
      <c r="GWA160" s="53"/>
      <c r="GWB160" s="53"/>
      <c r="GWC160" s="66"/>
      <c r="GWD160" s="53"/>
      <c r="GWK160" s="80"/>
      <c r="GWL160" s="80"/>
      <c r="GWM160" s="80"/>
      <c r="GWN160" s="80"/>
      <c r="GWO160" s="80"/>
      <c r="GWQ160" s="80"/>
      <c r="GWR160" s="178"/>
      <c r="GWS160" s="80"/>
      <c r="GWT160" s="92"/>
      <c r="GWU160" s="53"/>
      <c r="GWV160" s="53"/>
      <c r="GWW160" s="66"/>
      <c r="GWX160" s="53"/>
      <c r="GXE160" s="80"/>
      <c r="GXF160" s="80"/>
      <c r="GXG160" s="80"/>
      <c r="GXH160" s="80"/>
      <c r="GXI160" s="80"/>
      <c r="GXK160" s="80"/>
      <c r="GXL160" s="178"/>
      <c r="GXM160" s="80"/>
      <c r="GXN160" s="92"/>
      <c r="GXO160" s="53"/>
      <c r="GXP160" s="53"/>
      <c r="GXQ160" s="66"/>
      <c r="GXR160" s="53"/>
      <c r="GXY160" s="80"/>
      <c r="GXZ160" s="80"/>
      <c r="GYA160" s="80"/>
      <c r="GYB160" s="80"/>
      <c r="GYC160" s="80"/>
      <c r="GYE160" s="80"/>
      <c r="GYF160" s="178"/>
      <c r="GYG160" s="80"/>
      <c r="GYH160" s="92"/>
      <c r="GYI160" s="53"/>
      <c r="GYJ160" s="53"/>
      <c r="GYK160" s="66"/>
      <c r="GYL160" s="53"/>
      <c r="GYS160" s="80"/>
      <c r="GYT160" s="80"/>
      <c r="GYU160" s="80"/>
      <c r="GYV160" s="80"/>
      <c r="GYW160" s="80"/>
      <c r="GYY160" s="80"/>
      <c r="GYZ160" s="178"/>
      <c r="GZA160" s="80"/>
      <c r="GZB160" s="92"/>
      <c r="GZC160" s="53"/>
      <c r="GZD160" s="53"/>
      <c r="GZE160" s="66"/>
      <c r="GZF160" s="53"/>
      <c r="GZM160" s="80"/>
      <c r="GZN160" s="80"/>
      <c r="GZO160" s="80"/>
      <c r="GZP160" s="80"/>
      <c r="GZQ160" s="80"/>
      <c r="GZS160" s="80"/>
      <c r="GZT160" s="178"/>
      <c r="GZU160" s="80"/>
      <c r="GZV160" s="92"/>
      <c r="GZW160" s="53"/>
      <c r="GZX160" s="53"/>
      <c r="GZY160" s="66"/>
      <c r="GZZ160" s="53"/>
      <c r="HAG160" s="80"/>
      <c r="HAH160" s="80"/>
      <c r="HAI160" s="80"/>
      <c r="HAJ160" s="80"/>
      <c r="HAK160" s="80"/>
      <c r="HAM160" s="80"/>
      <c r="HAN160" s="178"/>
      <c r="HAO160" s="80"/>
      <c r="HAP160" s="92"/>
      <c r="HAQ160" s="53"/>
      <c r="HAR160" s="53"/>
      <c r="HAS160" s="66"/>
      <c r="HAT160" s="53"/>
      <c r="HBA160" s="80"/>
      <c r="HBB160" s="80"/>
      <c r="HBC160" s="80"/>
      <c r="HBD160" s="80"/>
      <c r="HBE160" s="80"/>
      <c r="HBG160" s="80"/>
      <c r="HBH160" s="178"/>
      <c r="HBI160" s="80"/>
      <c r="HBJ160" s="92"/>
      <c r="HBK160" s="53"/>
      <c r="HBL160" s="53"/>
      <c r="HBM160" s="66"/>
      <c r="HBN160" s="53"/>
      <c r="HBU160" s="80"/>
      <c r="HBV160" s="80"/>
      <c r="HBW160" s="80"/>
      <c r="HBX160" s="80"/>
      <c r="HBY160" s="80"/>
      <c r="HCA160" s="80"/>
      <c r="HCB160" s="178"/>
      <c r="HCC160" s="80"/>
      <c r="HCD160" s="92"/>
      <c r="HCE160" s="53"/>
      <c r="HCF160" s="53"/>
      <c r="HCG160" s="66"/>
      <c r="HCH160" s="53"/>
      <c r="HCO160" s="80"/>
      <c r="HCP160" s="80"/>
      <c r="HCQ160" s="80"/>
      <c r="HCR160" s="80"/>
      <c r="HCS160" s="80"/>
      <c r="HCU160" s="80"/>
      <c r="HCV160" s="178"/>
      <c r="HCW160" s="80"/>
      <c r="HCX160" s="92"/>
      <c r="HCY160" s="53"/>
      <c r="HCZ160" s="53"/>
      <c r="HDA160" s="66"/>
      <c r="HDB160" s="53"/>
      <c r="HDI160" s="80"/>
      <c r="HDJ160" s="80"/>
      <c r="HDK160" s="80"/>
      <c r="HDL160" s="80"/>
      <c r="HDM160" s="80"/>
      <c r="HDO160" s="80"/>
      <c r="HDP160" s="178"/>
      <c r="HDQ160" s="80"/>
      <c r="HDR160" s="92"/>
      <c r="HDS160" s="53"/>
      <c r="HDT160" s="53"/>
      <c r="HDU160" s="66"/>
      <c r="HDV160" s="53"/>
      <c r="HEC160" s="80"/>
      <c r="HED160" s="80"/>
      <c r="HEE160" s="80"/>
      <c r="HEF160" s="80"/>
      <c r="HEG160" s="80"/>
      <c r="HEI160" s="80"/>
      <c r="HEJ160" s="178"/>
      <c r="HEK160" s="80"/>
      <c r="HEL160" s="92"/>
      <c r="HEM160" s="53"/>
      <c r="HEN160" s="53"/>
      <c r="HEO160" s="66"/>
      <c r="HEP160" s="53"/>
      <c r="HEW160" s="80"/>
      <c r="HEX160" s="80"/>
      <c r="HEY160" s="80"/>
      <c r="HEZ160" s="80"/>
      <c r="HFA160" s="80"/>
      <c r="HFC160" s="80"/>
      <c r="HFD160" s="178"/>
      <c r="HFE160" s="80"/>
      <c r="HFF160" s="92"/>
      <c r="HFG160" s="53"/>
      <c r="HFH160" s="53"/>
      <c r="HFI160" s="66"/>
      <c r="HFJ160" s="53"/>
      <c r="HFQ160" s="80"/>
      <c r="HFR160" s="80"/>
      <c r="HFS160" s="80"/>
      <c r="HFT160" s="80"/>
      <c r="HFU160" s="80"/>
      <c r="HFW160" s="80"/>
      <c r="HFX160" s="178"/>
      <c r="HFY160" s="80"/>
      <c r="HFZ160" s="92"/>
      <c r="HGA160" s="53"/>
      <c r="HGB160" s="53"/>
      <c r="HGC160" s="66"/>
      <c r="HGD160" s="53"/>
      <c r="HGK160" s="80"/>
      <c r="HGL160" s="80"/>
      <c r="HGM160" s="80"/>
      <c r="HGN160" s="80"/>
      <c r="HGO160" s="80"/>
      <c r="HGQ160" s="80"/>
      <c r="HGR160" s="178"/>
      <c r="HGS160" s="80"/>
      <c r="HGT160" s="92"/>
      <c r="HGU160" s="53"/>
      <c r="HGV160" s="53"/>
      <c r="HGW160" s="66"/>
      <c r="HGX160" s="53"/>
      <c r="HHE160" s="80"/>
      <c r="HHF160" s="80"/>
      <c r="HHG160" s="80"/>
      <c r="HHH160" s="80"/>
      <c r="HHI160" s="80"/>
      <c r="HHK160" s="80"/>
      <c r="HHL160" s="178"/>
      <c r="HHM160" s="80"/>
      <c r="HHN160" s="92"/>
      <c r="HHO160" s="53"/>
      <c r="HHP160" s="53"/>
      <c r="HHQ160" s="66"/>
      <c r="HHR160" s="53"/>
      <c r="HHY160" s="80"/>
      <c r="HHZ160" s="80"/>
      <c r="HIA160" s="80"/>
      <c r="HIB160" s="80"/>
      <c r="HIC160" s="80"/>
      <c r="HIE160" s="80"/>
      <c r="HIF160" s="178"/>
      <c r="HIG160" s="80"/>
      <c r="HIH160" s="92"/>
      <c r="HII160" s="53"/>
      <c r="HIJ160" s="53"/>
      <c r="HIK160" s="66"/>
      <c r="HIL160" s="53"/>
      <c r="HIS160" s="80"/>
      <c r="HIT160" s="80"/>
      <c r="HIU160" s="80"/>
      <c r="HIV160" s="80"/>
      <c r="HIW160" s="80"/>
      <c r="HIY160" s="80"/>
      <c r="HIZ160" s="178"/>
      <c r="HJA160" s="80"/>
      <c r="HJB160" s="92"/>
      <c r="HJC160" s="53"/>
      <c r="HJD160" s="53"/>
      <c r="HJE160" s="66"/>
      <c r="HJF160" s="53"/>
      <c r="HJM160" s="80"/>
      <c r="HJN160" s="80"/>
      <c r="HJO160" s="80"/>
      <c r="HJP160" s="80"/>
      <c r="HJQ160" s="80"/>
      <c r="HJS160" s="80"/>
      <c r="HJT160" s="178"/>
      <c r="HJU160" s="80"/>
      <c r="HJV160" s="92"/>
      <c r="HJW160" s="53"/>
      <c r="HJX160" s="53"/>
      <c r="HJY160" s="66"/>
      <c r="HJZ160" s="53"/>
      <c r="HKG160" s="80"/>
      <c r="HKH160" s="80"/>
      <c r="HKI160" s="80"/>
      <c r="HKJ160" s="80"/>
      <c r="HKK160" s="80"/>
      <c r="HKM160" s="80"/>
      <c r="HKN160" s="178"/>
      <c r="HKO160" s="80"/>
      <c r="HKP160" s="92"/>
      <c r="HKQ160" s="53"/>
      <c r="HKR160" s="53"/>
      <c r="HKS160" s="66"/>
      <c r="HKT160" s="53"/>
      <c r="HLA160" s="80"/>
      <c r="HLB160" s="80"/>
      <c r="HLC160" s="80"/>
      <c r="HLD160" s="80"/>
      <c r="HLE160" s="80"/>
      <c r="HLG160" s="80"/>
      <c r="HLH160" s="178"/>
      <c r="HLI160" s="80"/>
      <c r="HLJ160" s="92"/>
      <c r="HLK160" s="53"/>
      <c r="HLL160" s="53"/>
      <c r="HLM160" s="66"/>
      <c r="HLN160" s="53"/>
      <c r="HLU160" s="80"/>
      <c r="HLV160" s="80"/>
      <c r="HLW160" s="80"/>
      <c r="HLX160" s="80"/>
      <c r="HLY160" s="80"/>
      <c r="HMA160" s="80"/>
      <c r="HMB160" s="178"/>
      <c r="HMC160" s="80"/>
      <c r="HMD160" s="92"/>
      <c r="HME160" s="53"/>
      <c r="HMF160" s="53"/>
      <c r="HMG160" s="66"/>
      <c r="HMH160" s="53"/>
      <c r="HMO160" s="80"/>
      <c r="HMP160" s="80"/>
      <c r="HMQ160" s="80"/>
      <c r="HMR160" s="80"/>
      <c r="HMS160" s="80"/>
      <c r="HMU160" s="80"/>
      <c r="HMV160" s="178"/>
      <c r="HMW160" s="80"/>
      <c r="HMX160" s="92"/>
      <c r="HMY160" s="53"/>
      <c r="HMZ160" s="53"/>
      <c r="HNA160" s="66"/>
      <c r="HNB160" s="53"/>
      <c r="HNI160" s="80"/>
      <c r="HNJ160" s="80"/>
      <c r="HNK160" s="80"/>
      <c r="HNL160" s="80"/>
      <c r="HNM160" s="80"/>
      <c r="HNO160" s="80"/>
      <c r="HNP160" s="178"/>
      <c r="HNQ160" s="80"/>
      <c r="HNR160" s="92"/>
      <c r="HNS160" s="53"/>
      <c r="HNT160" s="53"/>
      <c r="HNU160" s="66"/>
      <c r="HNV160" s="53"/>
      <c r="HOC160" s="80"/>
      <c r="HOD160" s="80"/>
      <c r="HOE160" s="80"/>
      <c r="HOF160" s="80"/>
      <c r="HOG160" s="80"/>
      <c r="HOI160" s="80"/>
      <c r="HOJ160" s="178"/>
      <c r="HOK160" s="80"/>
      <c r="HOL160" s="92"/>
      <c r="HOM160" s="53"/>
      <c r="HON160" s="53"/>
      <c r="HOO160" s="66"/>
      <c r="HOP160" s="53"/>
      <c r="HOW160" s="80"/>
      <c r="HOX160" s="80"/>
      <c r="HOY160" s="80"/>
      <c r="HOZ160" s="80"/>
      <c r="HPA160" s="80"/>
      <c r="HPC160" s="80"/>
      <c r="HPD160" s="178"/>
      <c r="HPE160" s="80"/>
      <c r="HPF160" s="92"/>
      <c r="HPG160" s="53"/>
      <c r="HPH160" s="53"/>
      <c r="HPI160" s="66"/>
      <c r="HPJ160" s="53"/>
      <c r="HPQ160" s="80"/>
      <c r="HPR160" s="80"/>
      <c r="HPS160" s="80"/>
      <c r="HPT160" s="80"/>
      <c r="HPU160" s="80"/>
      <c r="HPW160" s="80"/>
      <c r="HPX160" s="178"/>
      <c r="HPY160" s="80"/>
      <c r="HPZ160" s="92"/>
      <c r="HQA160" s="53"/>
      <c r="HQB160" s="53"/>
      <c r="HQC160" s="66"/>
      <c r="HQD160" s="53"/>
      <c r="HQK160" s="80"/>
      <c r="HQL160" s="80"/>
      <c r="HQM160" s="80"/>
      <c r="HQN160" s="80"/>
      <c r="HQO160" s="80"/>
      <c r="HQQ160" s="80"/>
      <c r="HQR160" s="178"/>
      <c r="HQS160" s="80"/>
      <c r="HQT160" s="92"/>
      <c r="HQU160" s="53"/>
      <c r="HQV160" s="53"/>
      <c r="HQW160" s="66"/>
      <c r="HQX160" s="53"/>
      <c r="HRE160" s="80"/>
      <c r="HRF160" s="80"/>
      <c r="HRG160" s="80"/>
      <c r="HRH160" s="80"/>
      <c r="HRI160" s="80"/>
      <c r="HRK160" s="80"/>
      <c r="HRL160" s="178"/>
      <c r="HRM160" s="80"/>
      <c r="HRN160" s="92"/>
      <c r="HRO160" s="53"/>
      <c r="HRP160" s="53"/>
      <c r="HRQ160" s="66"/>
      <c r="HRR160" s="53"/>
      <c r="HRY160" s="80"/>
      <c r="HRZ160" s="80"/>
      <c r="HSA160" s="80"/>
      <c r="HSB160" s="80"/>
      <c r="HSC160" s="80"/>
      <c r="HSE160" s="80"/>
      <c r="HSF160" s="178"/>
      <c r="HSG160" s="80"/>
      <c r="HSH160" s="92"/>
      <c r="HSI160" s="53"/>
      <c r="HSJ160" s="53"/>
      <c r="HSK160" s="66"/>
      <c r="HSL160" s="53"/>
      <c r="HSS160" s="80"/>
      <c r="HST160" s="80"/>
      <c r="HSU160" s="80"/>
      <c r="HSV160" s="80"/>
      <c r="HSW160" s="80"/>
      <c r="HSY160" s="80"/>
      <c r="HSZ160" s="178"/>
      <c r="HTA160" s="80"/>
      <c r="HTB160" s="92"/>
      <c r="HTC160" s="53"/>
      <c r="HTD160" s="53"/>
      <c r="HTE160" s="66"/>
      <c r="HTF160" s="53"/>
      <c r="HTM160" s="80"/>
      <c r="HTN160" s="80"/>
      <c r="HTO160" s="80"/>
      <c r="HTP160" s="80"/>
      <c r="HTQ160" s="80"/>
      <c r="HTS160" s="80"/>
      <c r="HTT160" s="178"/>
      <c r="HTU160" s="80"/>
      <c r="HTV160" s="92"/>
      <c r="HTW160" s="53"/>
      <c r="HTX160" s="53"/>
      <c r="HTY160" s="66"/>
      <c r="HTZ160" s="53"/>
      <c r="HUG160" s="80"/>
      <c r="HUH160" s="80"/>
      <c r="HUI160" s="80"/>
      <c r="HUJ160" s="80"/>
      <c r="HUK160" s="80"/>
      <c r="HUM160" s="80"/>
      <c r="HUN160" s="178"/>
      <c r="HUO160" s="80"/>
      <c r="HUP160" s="92"/>
      <c r="HUQ160" s="53"/>
      <c r="HUR160" s="53"/>
      <c r="HUS160" s="66"/>
      <c r="HUT160" s="53"/>
      <c r="HVA160" s="80"/>
      <c r="HVB160" s="80"/>
      <c r="HVC160" s="80"/>
      <c r="HVD160" s="80"/>
      <c r="HVE160" s="80"/>
      <c r="HVG160" s="80"/>
      <c r="HVH160" s="178"/>
      <c r="HVI160" s="80"/>
      <c r="HVJ160" s="92"/>
      <c r="HVK160" s="53"/>
      <c r="HVL160" s="53"/>
      <c r="HVM160" s="66"/>
      <c r="HVN160" s="53"/>
      <c r="HVU160" s="80"/>
      <c r="HVV160" s="80"/>
      <c r="HVW160" s="80"/>
      <c r="HVX160" s="80"/>
      <c r="HVY160" s="80"/>
      <c r="HWA160" s="80"/>
      <c r="HWB160" s="178"/>
      <c r="HWC160" s="80"/>
      <c r="HWD160" s="92"/>
      <c r="HWE160" s="53"/>
      <c r="HWF160" s="53"/>
      <c r="HWG160" s="66"/>
      <c r="HWH160" s="53"/>
      <c r="HWO160" s="80"/>
      <c r="HWP160" s="80"/>
      <c r="HWQ160" s="80"/>
      <c r="HWR160" s="80"/>
      <c r="HWS160" s="80"/>
      <c r="HWU160" s="80"/>
      <c r="HWV160" s="178"/>
      <c r="HWW160" s="80"/>
      <c r="HWX160" s="92"/>
      <c r="HWY160" s="53"/>
      <c r="HWZ160" s="53"/>
      <c r="HXA160" s="66"/>
      <c r="HXB160" s="53"/>
      <c r="HXI160" s="80"/>
      <c r="HXJ160" s="80"/>
      <c r="HXK160" s="80"/>
      <c r="HXL160" s="80"/>
      <c r="HXM160" s="80"/>
      <c r="HXO160" s="80"/>
      <c r="HXP160" s="178"/>
      <c r="HXQ160" s="80"/>
      <c r="HXR160" s="92"/>
      <c r="HXS160" s="53"/>
      <c r="HXT160" s="53"/>
      <c r="HXU160" s="66"/>
      <c r="HXV160" s="53"/>
      <c r="HYC160" s="80"/>
      <c r="HYD160" s="80"/>
      <c r="HYE160" s="80"/>
      <c r="HYF160" s="80"/>
      <c r="HYG160" s="80"/>
      <c r="HYI160" s="80"/>
      <c r="HYJ160" s="178"/>
      <c r="HYK160" s="80"/>
      <c r="HYL160" s="92"/>
      <c r="HYM160" s="53"/>
      <c r="HYN160" s="53"/>
      <c r="HYO160" s="66"/>
      <c r="HYP160" s="53"/>
      <c r="HYW160" s="80"/>
      <c r="HYX160" s="80"/>
      <c r="HYY160" s="80"/>
      <c r="HYZ160" s="80"/>
      <c r="HZA160" s="80"/>
      <c r="HZC160" s="80"/>
      <c r="HZD160" s="178"/>
      <c r="HZE160" s="80"/>
      <c r="HZF160" s="92"/>
      <c r="HZG160" s="53"/>
      <c r="HZH160" s="53"/>
      <c r="HZI160" s="66"/>
      <c r="HZJ160" s="53"/>
      <c r="HZQ160" s="80"/>
      <c r="HZR160" s="80"/>
      <c r="HZS160" s="80"/>
      <c r="HZT160" s="80"/>
      <c r="HZU160" s="80"/>
      <c r="HZW160" s="80"/>
      <c r="HZX160" s="178"/>
      <c r="HZY160" s="80"/>
      <c r="HZZ160" s="92"/>
      <c r="IAA160" s="53"/>
      <c r="IAB160" s="53"/>
      <c r="IAC160" s="66"/>
      <c r="IAD160" s="53"/>
      <c r="IAK160" s="80"/>
      <c r="IAL160" s="80"/>
      <c r="IAM160" s="80"/>
      <c r="IAN160" s="80"/>
      <c r="IAO160" s="80"/>
      <c r="IAQ160" s="80"/>
      <c r="IAR160" s="178"/>
      <c r="IAS160" s="80"/>
      <c r="IAT160" s="92"/>
      <c r="IAU160" s="53"/>
      <c r="IAV160" s="53"/>
      <c r="IAW160" s="66"/>
      <c r="IAX160" s="53"/>
      <c r="IBE160" s="80"/>
      <c r="IBF160" s="80"/>
      <c r="IBG160" s="80"/>
      <c r="IBH160" s="80"/>
      <c r="IBI160" s="80"/>
      <c r="IBK160" s="80"/>
      <c r="IBL160" s="178"/>
      <c r="IBM160" s="80"/>
      <c r="IBN160" s="92"/>
      <c r="IBO160" s="53"/>
      <c r="IBP160" s="53"/>
      <c r="IBQ160" s="66"/>
      <c r="IBR160" s="53"/>
      <c r="IBY160" s="80"/>
      <c r="IBZ160" s="80"/>
      <c r="ICA160" s="80"/>
      <c r="ICB160" s="80"/>
      <c r="ICC160" s="80"/>
      <c r="ICE160" s="80"/>
      <c r="ICF160" s="178"/>
      <c r="ICG160" s="80"/>
      <c r="ICH160" s="92"/>
      <c r="ICI160" s="53"/>
      <c r="ICJ160" s="53"/>
      <c r="ICK160" s="66"/>
      <c r="ICL160" s="53"/>
      <c r="ICS160" s="80"/>
      <c r="ICT160" s="80"/>
      <c r="ICU160" s="80"/>
      <c r="ICV160" s="80"/>
      <c r="ICW160" s="80"/>
      <c r="ICY160" s="80"/>
      <c r="ICZ160" s="178"/>
      <c r="IDA160" s="80"/>
      <c r="IDB160" s="92"/>
      <c r="IDC160" s="53"/>
      <c r="IDD160" s="53"/>
      <c r="IDE160" s="66"/>
      <c r="IDF160" s="53"/>
      <c r="IDM160" s="80"/>
      <c r="IDN160" s="80"/>
      <c r="IDO160" s="80"/>
      <c r="IDP160" s="80"/>
      <c r="IDQ160" s="80"/>
      <c r="IDS160" s="80"/>
      <c r="IDT160" s="178"/>
      <c r="IDU160" s="80"/>
      <c r="IDV160" s="92"/>
      <c r="IDW160" s="53"/>
      <c r="IDX160" s="53"/>
      <c r="IDY160" s="66"/>
      <c r="IDZ160" s="53"/>
      <c r="IEG160" s="80"/>
      <c r="IEH160" s="80"/>
      <c r="IEI160" s="80"/>
      <c r="IEJ160" s="80"/>
      <c r="IEK160" s="80"/>
      <c r="IEM160" s="80"/>
      <c r="IEN160" s="178"/>
      <c r="IEO160" s="80"/>
      <c r="IEP160" s="92"/>
      <c r="IEQ160" s="53"/>
      <c r="IER160" s="53"/>
      <c r="IES160" s="66"/>
      <c r="IET160" s="53"/>
      <c r="IFA160" s="80"/>
      <c r="IFB160" s="80"/>
      <c r="IFC160" s="80"/>
      <c r="IFD160" s="80"/>
      <c r="IFE160" s="80"/>
      <c r="IFG160" s="80"/>
      <c r="IFH160" s="178"/>
      <c r="IFI160" s="80"/>
      <c r="IFJ160" s="92"/>
      <c r="IFK160" s="53"/>
      <c r="IFL160" s="53"/>
      <c r="IFM160" s="66"/>
      <c r="IFN160" s="53"/>
      <c r="IFU160" s="80"/>
      <c r="IFV160" s="80"/>
      <c r="IFW160" s="80"/>
      <c r="IFX160" s="80"/>
      <c r="IFY160" s="80"/>
      <c r="IGA160" s="80"/>
      <c r="IGB160" s="178"/>
      <c r="IGC160" s="80"/>
      <c r="IGD160" s="92"/>
      <c r="IGE160" s="53"/>
      <c r="IGF160" s="53"/>
      <c r="IGG160" s="66"/>
      <c r="IGH160" s="53"/>
      <c r="IGO160" s="80"/>
      <c r="IGP160" s="80"/>
      <c r="IGQ160" s="80"/>
      <c r="IGR160" s="80"/>
      <c r="IGS160" s="80"/>
      <c r="IGU160" s="80"/>
      <c r="IGV160" s="178"/>
      <c r="IGW160" s="80"/>
      <c r="IGX160" s="92"/>
      <c r="IGY160" s="53"/>
      <c r="IGZ160" s="53"/>
      <c r="IHA160" s="66"/>
      <c r="IHB160" s="53"/>
      <c r="IHI160" s="80"/>
      <c r="IHJ160" s="80"/>
      <c r="IHK160" s="80"/>
      <c r="IHL160" s="80"/>
      <c r="IHM160" s="80"/>
      <c r="IHO160" s="80"/>
      <c r="IHP160" s="178"/>
      <c r="IHQ160" s="80"/>
      <c r="IHR160" s="92"/>
      <c r="IHS160" s="53"/>
      <c r="IHT160" s="53"/>
      <c r="IHU160" s="66"/>
      <c r="IHV160" s="53"/>
      <c r="IIC160" s="80"/>
      <c r="IID160" s="80"/>
      <c r="IIE160" s="80"/>
      <c r="IIF160" s="80"/>
      <c r="IIG160" s="80"/>
      <c r="III160" s="80"/>
      <c r="IIJ160" s="178"/>
      <c r="IIK160" s="80"/>
      <c r="IIL160" s="92"/>
      <c r="IIM160" s="53"/>
      <c r="IIN160" s="53"/>
      <c r="IIO160" s="66"/>
      <c r="IIP160" s="53"/>
      <c r="IIW160" s="80"/>
      <c r="IIX160" s="80"/>
      <c r="IIY160" s="80"/>
      <c r="IIZ160" s="80"/>
      <c r="IJA160" s="80"/>
      <c r="IJC160" s="80"/>
      <c r="IJD160" s="178"/>
      <c r="IJE160" s="80"/>
      <c r="IJF160" s="92"/>
      <c r="IJG160" s="53"/>
      <c r="IJH160" s="53"/>
      <c r="IJI160" s="66"/>
      <c r="IJJ160" s="53"/>
      <c r="IJQ160" s="80"/>
      <c r="IJR160" s="80"/>
      <c r="IJS160" s="80"/>
      <c r="IJT160" s="80"/>
      <c r="IJU160" s="80"/>
      <c r="IJW160" s="80"/>
      <c r="IJX160" s="178"/>
      <c r="IJY160" s="80"/>
      <c r="IJZ160" s="92"/>
      <c r="IKA160" s="53"/>
      <c r="IKB160" s="53"/>
      <c r="IKC160" s="66"/>
      <c r="IKD160" s="53"/>
      <c r="IKK160" s="80"/>
      <c r="IKL160" s="80"/>
      <c r="IKM160" s="80"/>
      <c r="IKN160" s="80"/>
      <c r="IKO160" s="80"/>
      <c r="IKQ160" s="80"/>
      <c r="IKR160" s="178"/>
      <c r="IKS160" s="80"/>
      <c r="IKT160" s="92"/>
      <c r="IKU160" s="53"/>
      <c r="IKV160" s="53"/>
      <c r="IKW160" s="66"/>
      <c r="IKX160" s="53"/>
      <c r="ILE160" s="80"/>
      <c r="ILF160" s="80"/>
      <c r="ILG160" s="80"/>
      <c r="ILH160" s="80"/>
      <c r="ILI160" s="80"/>
      <c r="ILK160" s="80"/>
      <c r="ILL160" s="178"/>
      <c r="ILM160" s="80"/>
      <c r="ILN160" s="92"/>
      <c r="ILO160" s="53"/>
      <c r="ILP160" s="53"/>
      <c r="ILQ160" s="66"/>
      <c r="ILR160" s="53"/>
      <c r="ILY160" s="80"/>
      <c r="ILZ160" s="80"/>
      <c r="IMA160" s="80"/>
      <c r="IMB160" s="80"/>
      <c r="IMC160" s="80"/>
      <c r="IME160" s="80"/>
      <c r="IMF160" s="178"/>
      <c r="IMG160" s="80"/>
      <c r="IMH160" s="92"/>
      <c r="IMI160" s="53"/>
      <c r="IMJ160" s="53"/>
      <c r="IMK160" s="66"/>
      <c r="IML160" s="53"/>
      <c r="IMS160" s="80"/>
      <c r="IMT160" s="80"/>
      <c r="IMU160" s="80"/>
      <c r="IMV160" s="80"/>
      <c r="IMW160" s="80"/>
      <c r="IMY160" s="80"/>
      <c r="IMZ160" s="178"/>
      <c r="INA160" s="80"/>
      <c r="INB160" s="92"/>
      <c r="INC160" s="53"/>
      <c r="IND160" s="53"/>
      <c r="INE160" s="66"/>
      <c r="INF160" s="53"/>
      <c r="INM160" s="80"/>
      <c r="INN160" s="80"/>
      <c r="INO160" s="80"/>
      <c r="INP160" s="80"/>
      <c r="INQ160" s="80"/>
      <c r="INS160" s="80"/>
      <c r="INT160" s="178"/>
      <c r="INU160" s="80"/>
      <c r="INV160" s="92"/>
      <c r="INW160" s="53"/>
      <c r="INX160" s="53"/>
      <c r="INY160" s="66"/>
      <c r="INZ160" s="53"/>
      <c r="IOG160" s="80"/>
      <c r="IOH160" s="80"/>
      <c r="IOI160" s="80"/>
      <c r="IOJ160" s="80"/>
      <c r="IOK160" s="80"/>
      <c r="IOM160" s="80"/>
      <c r="ION160" s="178"/>
      <c r="IOO160" s="80"/>
      <c r="IOP160" s="92"/>
      <c r="IOQ160" s="53"/>
      <c r="IOR160" s="53"/>
      <c r="IOS160" s="66"/>
      <c r="IOT160" s="53"/>
      <c r="IPA160" s="80"/>
      <c r="IPB160" s="80"/>
      <c r="IPC160" s="80"/>
      <c r="IPD160" s="80"/>
      <c r="IPE160" s="80"/>
      <c r="IPG160" s="80"/>
      <c r="IPH160" s="178"/>
      <c r="IPI160" s="80"/>
      <c r="IPJ160" s="92"/>
      <c r="IPK160" s="53"/>
      <c r="IPL160" s="53"/>
      <c r="IPM160" s="66"/>
      <c r="IPN160" s="53"/>
      <c r="IPU160" s="80"/>
      <c r="IPV160" s="80"/>
      <c r="IPW160" s="80"/>
      <c r="IPX160" s="80"/>
      <c r="IPY160" s="80"/>
      <c r="IQA160" s="80"/>
      <c r="IQB160" s="178"/>
      <c r="IQC160" s="80"/>
      <c r="IQD160" s="92"/>
      <c r="IQE160" s="53"/>
      <c r="IQF160" s="53"/>
      <c r="IQG160" s="66"/>
      <c r="IQH160" s="53"/>
      <c r="IQO160" s="80"/>
      <c r="IQP160" s="80"/>
      <c r="IQQ160" s="80"/>
      <c r="IQR160" s="80"/>
      <c r="IQS160" s="80"/>
      <c r="IQU160" s="80"/>
      <c r="IQV160" s="178"/>
      <c r="IQW160" s="80"/>
      <c r="IQX160" s="92"/>
      <c r="IQY160" s="53"/>
      <c r="IQZ160" s="53"/>
      <c r="IRA160" s="66"/>
      <c r="IRB160" s="53"/>
      <c r="IRI160" s="80"/>
      <c r="IRJ160" s="80"/>
      <c r="IRK160" s="80"/>
      <c r="IRL160" s="80"/>
      <c r="IRM160" s="80"/>
      <c r="IRO160" s="80"/>
      <c r="IRP160" s="178"/>
      <c r="IRQ160" s="80"/>
      <c r="IRR160" s="92"/>
      <c r="IRS160" s="53"/>
      <c r="IRT160" s="53"/>
      <c r="IRU160" s="66"/>
      <c r="IRV160" s="53"/>
      <c r="ISC160" s="80"/>
      <c r="ISD160" s="80"/>
      <c r="ISE160" s="80"/>
      <c r="ISF160" s="80"/>
      <c r="ISG160" s="80"/>
      <c r="ISI160" s="80"/>
      <c r="ISJ160" s="178"/>
      <c r="ISK160" s="80"/>
      <c r="ISL160" s="92"/>
      <c r="ISM160" s="53"/>
      <c r="ISN160" s="53"/>
      <c r="ISO160" s="66"/>
      <c r="ISP160" s="53"/>
      <c r="ISW160" s="80"/>
      <c r="ISX160" s="80"/>
      <c r="ISY160" s="80"/>
      <c r="ISZ160" s="80"/>
      <c r="ITA160" s="80"/>
      <c r="ITC160" s="80"/>
      <c r="ITD160" s="178"/>
      <c r="ITE160" s="80"/>
      <c r="ITF160" s="92"/>
      <c r="ITG160" s="53"/>
      <c r="ITH160" s="53"/>
      <c r="ITI160" s="66"/>
      <c r="ITJ160" s="53"/>
      <c r="ITQ160" s="80"/>
      <c r="ITR160" s="80"/>
      <c r="ITS160" s="80"/>
      <c r="ITT160" s="80"/>
      <c r="ITU160" s="80"/>
      <c r="ITW160" s="80"/>
      <c r="ITX160" s="178"/>
      <c r="ITY160" s="80"/>
      <c r="ITZ160" s="92"/>
      <c r="IUA160" s="53"/>
      <c r="IUB160" s="53"/>
      <c r="IUC160" s="66"/>
      <c r="IUD160" s="53"/>
      <c r="IUK160" s="80"/>
      <c r="IUL160" s="80"/>
      <c r="IUM160" s="80"/>
      <c r="IUN160" s="80"/>
      <c r="IUO160" s="80"/>
      <c r="IUQ160" s="80"/>
      <c r="IUR160" s="178"/>
      <c r="IUS160" s="80"/>
      <c r="IUT160" s="92"/>
      <c r="IUU160" s="53"/>
      <c r="IUV160" s="53"/>
      <c r="IUW160" s="66"/>
      <c r="IUX160" s="53"/>
      <c r="IVE160" s="80"/>
      <c r="IVF160" s="80"/>
      <c r="IVG160" s="80"/>
      <c r="IVH160" s="80"/>
      <c r="IVI160" s="80"/>
      <c r="IVK160" s="80"/>
      <c r="IVL160" s="178"/>
      <c r="IVM160" s="80"/>
      <c r="IVN160" s="92"/>
      <c r="IVO160" s="53"/>
      <c r="IVP160" s="53"/>
      <c r="IVQ160" s="66"/>
      <c r="IVR160" s="53"/>
      <c r="IVY160" s="80"/>
      <c r="IVZ160" s="80"/>
      <c r="IWA160" s="80"/>
      <c r="IWB160" s="80"/>
      <c r="IWC160" s="80"/>
      <c r="IWE160" s="80"/>
      <c r="IWF160" s="178"/>
      <c r="IWG160" s="80"/>
      <c r="IWH160" s="92"/>
      <c r="IWI160" s="53"/>
      <c r="IWJ160" s="53"/>
      <c r="IWK160" s="66"/>
      <c r="IWL160" s="53"/>
      <c r="IWS160" s="80"/>
      <c r="IWT160" s="80"/>
      <c r="IWU160" s="80"/>
      <c r="IWV160" s="80"/>
      <c r="IWW160" s="80"/>
      <c r="IWY160" s="80"/>
      <c r="IWZ160" s="178"/>
      <c r="IXA160" s="80"/>
      <c r="IXB160" s="92"/>
      <c r="IXC160" s="53"/>
      <c r="IXD160" s="53"/>
      <c r="IXE160" s="66"/>
      <c r="IXF160" s="53"/>
      <c r="IXM160" s="80"/>
      <c r="IXN160" s="80"/>
      <c r="IXO160" s="80"/>
      <c r="IXP160" s="80"/>
      <c r="IXQ160" s="80"/>
      <c r="IXS160" s="80"/>
      <c r="IXT160" s="178"/>
      <c r="IXU160" s="80"/>
      <c r="IXV160" s="92"/>
      <c r="IXW160" s="53"/>
      <c r="IXX160" s="53"/>
      <c r="IXY160" s="66"/>
      <c r="IXZ160" s="53"/>
      <c r="IYG160" s="80"/>
      <c r="IYH160" s="80"/>
      <c r="IYI160" s="80"/>
      <c r="IYJ160" s="80"/>
      <c r="IYK160" s="80"/>
      <c r="IYM160" s="80"/>
      <c r="IYN160" s="178"/>
      <c r="IYO160" s="80"/>
      <c r="IYP160" s="92"/>
      <c r="IYQ160" s="53"/>
      <c r="IYR160" s="53"/>
      <c r="IYS160" s="66"/>
      <c r="IYT160" s="53"/>
      <c r="IZA160" s="80"/>
      <c r="IZB160" s="80"/>
      <c r="IZC160" s="80"/>
      <c r="IZD160" s="80"/>
      <c r="IZE160" s="80"/>
      <c r="IZG160" s="80"/>
      <c r="IZH160" s="178"/>
      <c r="IZI160" s="80"/>
      <c r="IZJ160" s="92"/>
      <c r="IZK160" s="53"/>
      <c r="IZL160" s="53"/>
      <c r="IZM160" s="66"/>
      <c r="IZN160" s="53"/>
      <c r="IZU160" s="80"/>
      <c r="IZV160" s="80"/>
      <c r="IZW160" s="80"/>
      <c r="IZX160" s="80"/>
      <c r="IZY160" s="80"/>
      <c r="JAA160" s="80"/>
      <c r="JAB160" s="178"/>
      <c r="JAC160" s="80"/>
      <c r="JAD160" s="92"/>
      <c r="JAE160" s="53"/>
      <c r="JAF160" s="53"/>
      <c r="JAG160" s="66"/>
      <c r="JAH160" s="53"/>
      <c r="JAO160" s="80"/>
      <c r="JAP160" s="80"/>
      <c r="JAQ160" s="80"/>
      <c r="JAR160" s="80"/>
      <c r="JAS160" s="80"/>
      <c r="JAU160" s="80"/>
      <c r="JAV160" s="178"/>
      <c r="JAW160" s="80"/>
      <c r="JAX160" s="92"/>
      <c r="JAY160" s="53"/>
      <c r="JAZ160" s="53"/>
      <c r="JBA160" s="66"/>
      <c r="JBB160" s="53"/>
      <c r="JBI160" s="80"/>
      <c r="JBJ160" s="80"/>
      <c r="JBK160" s="80"/>
      <c r="JBL160" s="80"/>
      <c r="JBM160" s="80"/>
      <c r="JBO160" s="80"/>
      <c r="JBP160" s="178"/>
      <c r="JBQ160" s="80"/>
      <c r="JBR160" s="92"/>
      <c r="JBS160" s="53"/>
      <c r="JBT160" s="53"/>
      <c r="JBU160" s="66"/>
      <c r="JBV160" s="53"/>
      <c r="JCC160" s="80"/>
      <c r="JCD160" s="80"/>
      <c r="JCE160" s="80"/>
      <c r="JCF160" s="80"/>
      <c r="JCG160" s="80"/>
      <c r="JCI160" s="80"/>
      <c r="JCJ160" s="178"/>
      <c r="JCK160" s="80"/>
      <c r="JCL160" s="92"/>
      <c r="JCM160" s="53"/>
      <c r="JCN160" s="53"/>
      <c r="JCO160" s="66"/>
      <c r="JCP160" s="53"/>
      <c r="JCW160" s="80"/>
      <c r="JCX160" s="80"/>
      <c r="JCY160" s="80"/>
      <c r="JCZ160" s="80"/>
      <c r="JDA160" s="80"/>
      <c r="JDC160" s="80"/>
      <c r="JDD160" s="178"/>
      <c r="JDE160" s="80"/>
      <c r="JDF160" s="92"/>
      <c r="JDG160" s="53"/>
      <c r="JDH160" s="53"/>
      <c r="JDI160" s="66"/>
      <c r="JDJ160" s="53"/>
      <c r="JDQ160" s="80"/>
      <c r="JDR160" s="80"/>
      <c r="JDS160" s="80"/>
      <c r="JDT160" s="80"/>
      <c r="JDU160" s="80"/>
      <c r="JDW160" s="80"/>
      <c r="JDX160" s="178"/>
      <c r="JDY160" s="80"/>
      <c r="JDZ160" s="92"/>
      <c r="JEA160" s="53"/>
      <c r="JEB160" s="53"/>
      <c r="JEC160" s="66"/>
      <c r="JED160" s="53"/>
      <c r="JEK160" s="80"/>
      <c r="JEL160" s="80"/>
      <c r="JEM160" s="80"/>
      <c r="JEN160" s="80"/>
      <c r="JEO160" s="80"/>
      <c r="JEQ160" s="80"/>
      <c r="JER160" s="178"/>
      <c r="JES160" s="80"/>
      <c r="JET160" s="92"/>
      <c r="JEU160" s="53"/>
      <c r="JEV160" s="53"/>
      <c r="JEW160" s="66"/>
      <c r="JEX160" s="53"/>
      <c r="JFE160" s="80"/>
      <c r="JFF160" s="80"/>
      <c r="JFG160" s="80"/>
      <c r="JFH160" s="80"/>
      <c r="JFI160" s="80"/>
      <c r="JFK160" s="80"/>
      <c r="JFL160" s="178"/>
      <c r="JFM160" s="80"/>
      <c r="JFN160" s="92"/>
      <c r="JFO160" s="53"/>
      <c r="JFP160" s="53"/>
      <c r="JFQ160" s="66"/>
      <c r="JFR160" s="53"/>
      <c r="JFY160" s="80"/>
      <c r="JFZ160" s="80"/>
      <c r="JGA160" s="80"/>
      <c r="JGB160" s="80"/>
      <c r="JGC160" s="80"/>
      <c r="JGE160" s="80"/>
      <c r="JGF160" s="178"/>
      <c r="JGG160" s="80"/>
      <c r="JGH160" s="92"/>
      <c r="JGI160" s="53"/>
      <c r="JGJ160" s="53"/>
      <c r="JGK160" s="66"/>
      <c r="JGL160" s="53"/>
      <c r="JGS160" s="80"/>
      <c r="JGT160" s="80"/>
      <c r="JGU160" s="80"/>
      <c r="JGV160" s="80"/>
      <c r="JGW160" s="80"/>
      <c r="JGY160" s="80"/>
      <c r="JGZ160" s="178"/>
      <c r="JHA160" s="80"/>
      <c r="JHB160" s="92"/>
      <c r="JHC160" s="53"/>
      <c r="JHD160" s="53"/>
      <c r="JHE160" s="66"/>
      <c r="JHF160" s="53"/>
      <c r="JHM160" s="80"/>
      <c r="JHN160" s="80"/>
      <c r="JHO160" s="80"/>
      <c r="JHP160" s="80"/>
      <c r="JHQ160" s="80"/>
      <c r="JHS160" s="80"/>
      <c r="JHT160" s="178"/>
      <c r="JHU160" s="80"/>
      <c r="JHV160" s="92"/>
      <c r="JHW160" s="53"/>
      <c r="JHX160" s="53"/>
      <c r="JHY160" s="66"/>
      <c r="JHZ160" s="53"/>
      <c r="JIG160" s="80"/>
      <c r="JIH160" s="80"/>
      <c r="JII160" s="80"/>
      <c r="JIJ160" s="80"/>
      <c r="JIK160" s="80"/>
      <c r="JIM160" s="80"/>
      <c r="JIN160" s="178"/>
      <c r="JIO160" s="80"/>
      <c r="JIP160" s="92"/>
      <c r="JIQ160" s="53"/>
      <c r="JIR160" s="53"/>
      <c r="JIS160" s="66"/>
      <c r="JIT160" s="53"/>
      <c r="JJA160" s="80"/>
      <c r="JJB160" s="80"/>
      <c r="JJC160" s="80"/>
      <c r="JJD160" s="80"/>
      <c r="JJE160" s="80"/>
      <c r="JJG160" s="80"/>
      <c r="JJH160" s="178"/>
      <c r="JJI160" s="80"/>
      <c r="JJJ160" s="92"/>
      <c r="JJK160" s="53"/>
      <c r="JJL160" s="53"/>
      <c r="JJM160" s="66"/>
      <c r="JJN160" s="53"/>
      <c r="JJU160" s="80"/>
      <c r="JJV160" s="80"/>
      <c r="JJW160" s="80"/>
      <c r="JJX160" s="80"/>
      <c r="JJY160" s="80"/>
      <c r="JKA160" s="80"/>
      <c r="JKB160" s="178"/>
      <c r="JKC160" s="80"/>
      <c r="JKD160" s="92"/>
      <c r="JKE160" s="53"/>
      <c r="JKF160" s="53"/>
      <c r="JKG160" s="66"/>
      <c r="JKH160" s="53"/>
      <c r="JKO160" s="80"/>
      <c r="JKP160" s="80"/>
      <c r="JKQ160" s="80"/>
      <c r="JKR160" s="80"/>
      <c r="JKS160" s="80"/>
      <c r="JKU160" s="80"/>
      <c r="JKV160" s="178"/>
      <c r="JKW160" s="80"/>
      <c r="JKX160" s="92"/>
      <c r="JKY160" s="53"/>
      <c r="JKZ160" s="53"/>
      <c r="JLA160" s="66"/>
      <c r="JLB160" s="53"/>
      <c r="JLI160" s="80"/>
      <c r="JLJ160" s="80"/>
      <c r="JLK160" s="80"/>
      <c r="JLL160" s="80"/>
      <c r="JLM160" s="80"/>
      <c r="JLO160" s="80"/>
      <c r="JLP160" s="178"/>
      <c r="JLQ160" s="80"/>
      <c r="JLR160" s="92"/>
      <c r="JLS160" s="53"/>
      <c r="JLT160" s="53"/>
      <c r="JLU160" s="66"/>
      <c r="JLV160" s="53"/>
      <c r="JMC160" s="80"/>
      <c r="JMD160" s="80"/>
      <c r="JME160" s="80"/>
      <c r="JMF160" s="80"/>
      <c r="JMG160" s="80"/>
      <c r="JMI160" s="80"/>
      <c r="JMJ160" s="178"/>
      <c r="JMK160" s="80"/>
      <c r="JML160" s="92"/>
      <c r="JMM160" s="53"/>
      <c r="JMN160" s="53"/>
      <c r="JMO160" s="66"/>
      <c r="JMP160" s="53"/>
      <c r="JMW160" s="80"/>
      <c r="JMX160" s="80"/>
      <c r="JMY160" s="80"/>
      <c r="JMZ160" s="80"/>
      <c r="JNA160" s="80"/>
      <c r="JNC160" s="80"/>
      <c r="JND160" s="178"/>
      <c r="JNE160" s="80"/>
      <c r="JNF160" s="92"/>
      <c r="JNG160" s="53"/>
      <c r="JNH160" s="53"/>
      <c r="JNI160" s="66"/>
      <c r="JNJ160" s="53"/>
      <c r="JNQ160" s="80"/>
      <c r="JNR160" s="80"/>
      <c r="JNS160" s="80"/>
      <c r="JNT160" s="80"/>
      <c r="JNU160" s="80"/>
      <c r="JNW160" s="80"/>
      <c r="JNX160" s="178"/>
      <c r="JNY160" s="80"/>
      <c r="JNZ160" s="92"/>
      <c r="JOA160" s="53"/>
      <c r="JOB160" s="53"/>
      <c r="JOC160" s="66"/>
      <c r="JOD160" s="53"/>
      <c r="JOK160" s="80"/>
      <c r="JOL160" s="80"/>
      <c r="JOM160" s="80"/>
      <c r="JON160" s="80"/>
      <c r="JOO160" s="80"/>
      <c r="JOQ160" s="80"/>
      <c r="JOR160" s="178"/>
      <c r="JOS160" s="80"/>
      <c r="JOT160" s="92"/>
      <c r="JOU160" s="53"/>
      <c r="JOV160" s="53"/>
      <c r="JOW160" s="66"/>
      <c r="JOX160" s="53"/>
      <c r="JPE160" s="80"/>
      <c r="JPF160" s="80"/>
      <c r="JPG160" s="80"/>
      <c r="JPH160" s="80"/>
      <c r="JPI160" s="80"/>
      <c r="JPK160" s="80"/>
      <c r="JPL160" s="178"/>
      <c r="JPM160" s="80"/>
      <c r="JPN160" s="92"/>
      <c r="JPO160" s="53"/>
      <c r="JPP160" s="53"/>
      <c r="JPQ160" s="66"/>
      <c r="JPR160" s="53"/>
      <c r="JPY160" s="80"/>
      <c r="JPZ160" s="80"/>
      <c r="JQA160" s="80"/>
      <c r="JQB160" s="80"/>
      <c r="JQC160" s="80"/>
      <c r="JQE160" s="80"/>
      <c r="JQF160" s="178"/>
      <c r="JQG160" s="80"/>
      <c r="JQH160" s="92"/>
      <c r="JQI160" s="53"/>
      <c r="JQJ160" s="53"/>
      <c r="JQK160" s="66"/>
      <c r="JQL160" s="53"/>
      <c r="JQS160" s="80"/>
      <c r="JQT160" s="80"/>
      <c r="JQU160" s="80"/>
      <c r="JQV160" s="80"/>
      <c r="JQW160" s="80"/>
      <c r="JQY160" s="80"/>
      <c r="JQZ160" s="178"/>
      <c r="JRA160" s="80"/>
      <c r="JRB160" s="92"/>
      <c r="JRC160" s="53"/>
      <c r="JRD160" s="53"/>
      <c r="JRE160" s="66"/>
      <c r="JRF160" s="53"/>
      <c r="JRM160" s="80"/>
      <c r="JRN160" s="80"/>
      <c r="JRO160" s="80"/>
      <c r="JRP160" s="80"/>
      <c r="JRQ160" s="80"/>
      <c r="JRS160" s="80"/>
      <c r="JRT160" s="178"/>
      <c r="JRU160" s="80"/>
      <c r="JRV160" s="92"/>
      <c r="JRW160" s="53"/>
      <c r="JRX160" s="53"/>
      <c r="JRY160" s="66"/>
      <c r="JRZ160" s="53"/>
      <c r="JSG160" s="80"/>
      <c r="JSH160" s="80"/>
      <c r="JSI160" s="80"/>
      <c r="JSJ160" s="80"/>
      <c r="JSK160" s="80"/>
      <c r="JSM160" s="80"/>
      <c r="JSN160" s="178"/>
      <c r="JSO160" s="80"/>
      <c r="JSP160" s="92"/>
      <c r="JSQ160" s="53"/>
      <c r="JSR160" s="53"/>
      <c r="JSS160" s="66"/>
      <c r="JST160" s="53"/>
      <c r="JTA160" s="80"/>
      <c r="JTB160" s="80"/>
      <c r="JTC160" s="80"/>
      <c r="JTD160" s="80"/>
      <c r="JTE160" s="80"/>
      <c r="JTG160" s="80"/>
      <c r="JTH160" s="178"/>
      <c r="JTI160" s="80"/>
      <c r="JTJ160" s="92"/>
      <c r="JTK160" s="53"/>
      <c r="JTL160" s="53"/>
      <c r="JTM160" s="66"/>
      <c r="JTN160" s="53"/>
      <c r="JTU160" s="80"/>
      <c r="JTV160" s="80"/>
      <c r="JTW160" s="80"/>
      <c r="JTX160" s="80"/>
      <c r="JTY160" s="80"/>
      <c r="JUA160" s="80"/>
      <c r="JUB160" s="178"/>
      <c r="JUC160" s="80"/>
      <c r="JUD160" s="92"/>
      <c r="JUE160" s="53"/>
      <c r="JUF160" s="53"/>
      <c r="JUG160" s="66"/>
      <c r="JUH160" s="53"/>
      <c r="JUO160" s="80"/>
      <c r="JUP160" s="80"/>
      <c r="JUQ160" s="80"/>
      <c r="JUR160" s="80"/>
      <c r="JUS160" s="80"/>
      <c r="JUU160" s="80"/>
      <c r="JUV160" s="178"/>
      <c r="JUW160" s="80"/>
      <c r="JUX160" s="92"/>
      <c r="JUY160" s="53"/>
      <c r="JUZ160" s="53"/>
      <c r="JVA160" s="66"/>
      <c r="JVB160" s="53"/>
      <c r="JVI160" s="80"/>
      <c r="JVJ160" s="80"/>
      <c r="JVK160" s="80"/>
      <c r="JVL160" s="80"/>
      <c r="JVM160" s="80"/>
      <c r="JVO160" s="80"/>
      <c r="JVP160" s="178"/>
      <c r="JVQ160" s="80"/>
      <c r="JVR160" s="92"/>
      <c r="JVS160" s="53"/>
      <c r="JVT160" s="53"/>
      <c r="JVU160" s="66"/>
      <c r="JVV160" s="53"/>
      <c r="JWC160" s="80"/>
      <c r="JWD160" s="80"/>
      <c r="JWE160" s="80"/>
      <c r="JWF160" s="80"/>
      <c r="JWG160" s="80"/>
      <c r="JWI160" s="80"/>
      <c r="JWJ160" s="178"/>
      <c r="JWK160" s="80"/>
      <c r="JWL160" s="92"/>
      <c r="JWM160" s="53"/>
      <c r="JWN160" s="53"/>
      <c r="JWO160" s="66"/>
      <c r="JWP160" s="53"/>
      <c r="JWW160" s="80"/>
      <c r="JWX160" s="80"/>
      <c r="JWY160" s="80"/>
      <c r="JWZ160" s="80"/>
      <c r="JXA160" s="80"/>
      <c r="JXC160" s="80"/>
      <c r="JXD160" s="178"/>
      <c r="JXE160" s="80"/>
      <c r="JXF160" s="92"/>
      <c r="JXG160" s="53"/>
      <c r="JXH160" s="53"/>
      <c r="JXI160" s="66"/>
      <c r="JXJ160" s="53"/>
      <c r="JXQ160" s="80"/>
      <c r="JXR160" s="80"/>
      <c r="JXS160" s="80"/>
      <c r="JXT160" s="80"/>
      <c r="JXU160" s="80"/>
      <c r="JXW160" s="80"/>
      <c r="JXX160" s="178"/>
      <c r="JXY160" s="80"/>
      <c r="JXZ160" s="92"/>
      <c r="JYA160" s="53"/>
      <c r="JYB160" s="53"/>
      <c r="JYC160" s="66"/>
      <c r="JYD160" s="53"/>
      <c r="JYK160" s="80"/>
      <c r="JYL160" s="80"/>
      <c r="JYM160" s="80"/>
      <c r="JYN160" s="80"/>
      <c r="JYO160" s="80"/>
      <c r="JYQ160" s="80"/>
      <c r="JYR160" s="178"/>
      <c r="JYS160" s="80"/>
      <c r="JYT160" s="92"/>
      <c r="JYU160" s="53"/>
      <c r="JYV160" s="53"/>
      <c r="JYW160" s="66"/>
      <c r="JYX160" s="53"/>
      <c r="JZE160" s="80"/>
      <c r="JZF160" s="80"/>
      <c r="JZG160" s="80"/>
      <c r="JZH160" s="80"/>
      <c r="JZI160" s="80"/>
      <c r="JZK160" s="80"/>
      <c r="JZL160" s="178"/>
      <c r="JZM160" s="80"/>
      <c r="JZN160" s="92"/>
      <c r="JZO160" s="53"/>
      <c r="JZP160" s="53"/>
      <c r="JZQ160" s="66"/>
      <c r="JZR160" s="53"/>
      <c r="JZY160" s="80"/>
      <c r="JZZ160" s="80"/>
      <c r="KAA160" s="80"/>
      <c r="KAB160" s="80"/>
      <c r="KAC160" s="80"/>
      <c r="KAE160" s="80"/>
      <c r="KAF160" s="178"/>
      <c r="KAG160" s="80"/>
      <c r="KAH160" s="92"/>
      <c r="KAI160" s="53"/>
      <c r="KAJ160" s="53"/>
      <c r="KAK160" s="66"/>
      <c r="KAL160" s="53"/>
      <c r="KAS160" s="80"/>
      <c r="KAT160" s="80"/>
      <c r="KAU160" s="80"/>
      <c r="KAV160" s="80"/>
      <c r="KAW160" s="80"/>
      <c r="KAY160" s="80"/>
      <c r="KAZ160" s="178"/>
      <c r="KBA160" s="80"/>
      <c r="KBB160" s="92"/>
      <c r="KBC160" s="53"/>
      <c r="KBD160" s="53"/>
      <c r="KBE160" s="66"/>
      <c r="KBF160" s="53"/>
      <c r="KBM160" s="80"/>
      <c r="KBN160" s="80"/>
      <c r="KBO160" s="80"/>
      <c r="KBP160" s="80"/>
      <c r="KBQ160" s="80"/>
      <c r="KBS160" s="80"/>
      <c r="KBT160" s="178"/>
      <c r="KBU160" s="80"/>
      <c r="KBV160" s="92"/>
      <c r="KBW160" s="53"/>
      <c r="KBX160" s="53"/>
      <c r="KBY160" s="66"/>
      <c r="KBZ160" s="53"/>
      <c r="KCG160" s="80"/>
      <c r="KCH160" s="80"/>
      <c r="KCI160" s="80"/>
      <c r="KCJ160" s="80"/>
      <c r="KCK160" s="80"/>
      <c r="KCM160" s="80"/>
      <c r="KCN160" s="178"/>
      <c r="KCO160" s="80"/>
      <c r="KCP160" s="92"/>
      <c r="KCQ160" s="53"/>
      <c r="KCR160" s="53"/>
      <c r="KCS160" s="66"/>
      <c r="KCT160" s="53"/>
      <c r="KDA160" s="80"/>
      <c r="KDB160" s="80"/>
      <c r="KDC160" s="80"/>
      <c r="KDD160" s="80"/>
      <c r="KDE160" s="80"/>
      <c r="KDG160" s="80"/>
      <c r="KDH160" s="178"/>
      <c r="KDI160" s="80"/>
      <c r="KDJ160" s="92"/>
      <c r="KDK160" s="53"/>
      <c r="KDL160" s="53"/>
      <c r="KDM160" s="66"/>
      <c r="KDN160" s="53"/>
      <c r="KDU160" s="80"/>
      <c r="KDV160" s="80"/>
      <c r="KDW160" s="80"/>
      <c r="KDX160" s="80"/>
      <c r="KDY160" s="80"/>
      <c r="KEA160" s="80"/>
      <c r="KEB160" s="178"/>
      <c r="KEC160" s="80"/>
      <c r="KED160" s="92"/>
      <c r="KEE160" s="53"/>
      <c r="KEF160" s="53"/>
      <c r="KEG160" s="66"/>
      <c r="KEH160" s="53"/>
      <c r="KEO160" s="80"/>
      <c r="KEP160" s="80"/>
      <c r="KEQ160" s="80"/>
      <c r="KER160" s="80"/>
      <c r="KES160" s="80"/>
      <c r="KEU160" s="80"/>
      <c r="KEV160" s="178"/>
      <c r="KEW160" s="80"/>
      <c r="KEX160" s="92"/>
      <c r="KEY160" s="53"/>
      <c r="KEZ160" s="53"/>
      <c r="KFA160" s="66"/>
      <c r="KFB160" s="53"/>
      <c r="KFI160" s="80"/>
      <c r="KFJ160" s="80"/>
      <c r="KFK160" s="80"/>
      <c r="KFL160" s="80"/>
      <c r="KFM160" s="80"/>
      <c r="KFO160" s="80"/>
      <c r="KFP160" s="178"/>
      <c r="KFQ160" s="80"/>
      <c r="KFR160" s="92"/>
      <c r="KFS160" s="53"/>
      <c r="KFT160" s="53"/>
      <c r="KFU160" s="66"/>
      <c r="KFV160" s="53"/>
      <c r="KGC160" s="80"/>
      <c r="KGD160" s="80"/>
      <c r="KGE160" s="80"/>
      <c r="KGF160" s="80"/>
      <c r="KGG160" s="80"/>
      <c r="KGI160" s="80"/>
      <c r="KGJ160" s="178"/>
      <c r="KGK160" s="80"/>
      <c r="KGL160" s="92"/>
      <c r="KGM160" s="53"/>
      <c r="KGN160" s="53"/>
      <c r="KGO160" s="66"/>
      <c r="KGP160" s="53"/>
      <c r="KGW160" s="80"/>
      <c r="KGX160" s="80"/>
      <c r="KGY160" s="80"/>
      <c r="KGZ160" s="80"/>
      <c r="KHA160" s="80"/>
      <c r="KHC160" s="80"/>
      <c r="KHD160" s="178"/>
      <c r="KHE160" s="80"/>
      <c r="KHF160" s="92"/>
      <c r="KHG160" s="53"/>
      <c r="KHH160" s="53"/>
      <c r="KHI160" s="66"/>
      <c r="KHJ160" s="53"/>
      <c r="KHQ160" s="80"/>
      <c r="KHR160" s="80"/>
      <c r="KHS160" s="80"/>
      <c r="KHT160" s="80"/>
      <c r="KHU160" s="80"/>
      <c r="KHW160" s="80"/>
      <c r="KHX160" s="178"/>
      <c r="KHY160" s="80"/>
      <c r="KHZ160" s="92"/>
      <c r="KIA160" s="53"/>
      <c r="KIB160" s="53"/>
      <c r="KIC160" s="66"/>
      <c r="KID160" s="53"/>
      <c r="KIK160" s="80"/>
      <c r="KIL160" s="80"/>
      <c r="KIM160" s="80"/>
      <c r="KIN160" s="80"/>
      <c r="KIO160" s="80"/>
      <c r="KIQ160" s="80"/>
      <c r="KIR160" s="178"/>
      <c r="KIS160" s="80"/>
      <c r="KIT160" s="92"/>
      <c r="KIU160" s="53"/>
      <c r="KIV160" s="53"/>
      <c r="KIW160" s="66"/>
      <c r="KIX160" s="53"/>
      <c r="KJE160" s="80"/>
      <c r="KJF160" s="80"/>
      <c r="KJG160" s="80"/>
      <c r="KJH160" s="80"/>
      <c r="KJI160" s="80"/>
      <c r="KJK160" s="80"/>
      <c r="KJL160" s="178"/>
      <c r="KJM160" s="80"/>
      <c r="KJN160" s="92"/>
      <c r="KJO160" s="53"/>
      <c r="KJP160" s="53"/>
      <c r="KJQ160" s="66"/>
      <c r="KJR160" s="53"/>
      <c r="KJY160" s="80"/>
      <c r="KJZ160" s="80"/>
      <c r="KKA160" s="80"/>
      <c r="KKB160" s="80"/>
      <c r="KKC160" s="80"/>
      <c r="KKE160" s="80"/>
      <c r="KKF160" s="178"/>
      <c r="KKG160" s="80"/>
      <c r="KKH160" s="92"/>
      <c r="KKI160" s="53"/>
      <c r="KKJ160" s="53"/>
      <c r="KKK160" s="66"/>
      <c r="KKL160" s="53"/>
      <c r="KKS160" s="80"/>
      <c r="KKT160" s="80"/>
      <c r="KKU160" s="80"/>
      <c r="KKV160" s="80"/>
      <c r="KKW160" s="80"/>
      <c r="KKY160" s="80"/>
      <c r="KKZ160" s="178"/>
      <c r="KLA160" s="80"/>
      <c r="KLB160" s="92"/>
      <c r="KLC160" s="53"/>
      <c r="KLD160" s="53"/>
      <c r="KLE160" s="66"/>
      <c r="KLF160" s="53"/>
      <c r="KLM160" s="80"/>
      <c r="KLN160" s="80"/>
      <c r="KLO160" s="80"/>
      <c r="KLP160" s="80"/>
      <c r="KLQ160" s="80"/>
      <c r="KLS160" s="80"/>
      <c r="KLT160" s="178"/>
      <c r="KLU160" s="80"/>
      <c r="KLV160" s="92"/>
      <c r="KLW160" s="53"/>
      <c r="KLX160" s="53"/>
      <c r="KLY160" s="66"/>
      <c r="KLZ160" s="53"/>
      <c r="KMG160" s="80"/>
      <c r="KMH160" s="80"/>
      <c r="KMI160" s="80"/>
      <c r="KMJ160" s="80"/>
      <c r="KMK160" s="80"/>
      <c r="KMM160" s="80"/>
      <c r="KMN160" s="178"/>
      <c r="KMO160" s="80"/>
      <c r="KMP160" s="92"/>
      <c r="KMQ160" s="53"/>
      <c r="KMR160" s="53"/>
      <c r="KMS160" s="66"/>
      <c r="KMT160" s="53"/>
      <c r="KNA160" s="80"/>
      <c r="KNB160" s="80"/>
      <c r="KNC160" s="80"/>
      <c r="KND160" s="80"/>
      <c r="KNE160" s="80"/>
      <c r="KNG160" s="80"/>
      <c r="KNH160" s="178"/>
      <c r="KNI160" s="80"/>
      <c r="KNJ160" s="92"/>
      <c r="KNK160" s="53"/>
      <c r="KNL160" s="53"/>
      <c r="KNM160" s="66"/>
      <c r="KNN160" s="53"/>
      <c r="KNU160" s="80"/>
      <c r="KNV160" s="80"/>
      <c r="KNW160" s="80"/>
      <c r="KNX160" s="80"/>
      <c r="KNY160" s="80"/>
      <c r="KOA160" s="80"/>
      <c r="KOB160" s="178"/>
      <c r="KOC160" s="80"/>
      <c r="KOD160" s="92"/>
      <c r="KOE160" s="53"/>
      <c r="KOF160" s="53"/>
      <c r="KOG160" s="66"/>
      <c r="KOH160" s="53"/>
      <c r="KOO160" s="80"/>
      <c r="KOP160" s="80"/>
      <c r="KOQ160" s="80"/>
      <c r="KOR160" s="80"/>
      <c r="KOS160" s="80"/>
      <c r="KOU160" s="80"/>
      <c r="KOV160" s="178"/>
      <c r="KOW160" s="80"/>
      <c r="KOX160" s="92"/>
      <c r="KOY160" s="53"/>
      <c r="KOZ160" s="53"/>
      <c r="KPA160" s="66"/>
      <c r="KPB160" s="53"/>
      <c r="KPI160" s="80"/>
      <c r="KPJ160" s="80"/>
      <c r="KPK160" s="80"/>
      <c r="KPL160" s="80"/>
      <c r="KPM160" s="80"/>
      <c r="KPO160" s="80"/>
      <c r="KPP160" s="178"/>
      <c r="KPQ160" s="80"/>
      <c r="KPR160" s="92"/>
      <c r="KPS160" s="53"/>
      <c r="KPT160" s="53"/>
      <c r="KPU160" s="66"/>
      <c r="KPV160" s="53"/>
      <c r="KQC160" s="80"/>
      <c r="KQD160" s="80"/>
      <c r="KQE160" s="80"/>
      <c r="KQF160" s="80"/>
      <c r="KQG160" s="80"/>
      <c r="KQI160" s="80"/>
      <c r="KQJ160" s="178"/>
      <c r="KQK160" s="80"/>
      <c r="KQL160" s="92"/>
      <c r="KQM160" s="53"/>
      <c r="KQN160" s="53"/>
      <c r="KQO160" s="66"/>
      <c r="KQP160" s="53"/>
      <c r="KQW160" s="80"/>
      <c r="KQX160" s="80"/>
      <c r="KQY160" s="80"/>
      <c r="KQZ160" s="80"/>
      <c r="KRA160" s="80"/>
      <c r="KRC160" s="80"/>
      <c r="KRD160" s="178"/>
      <c r="KRE160" s="80"/>
      <c r="KRF160" s="92"/>
      <c r="KRG160" s="53"/>
      <c r="KRH160" s="53"/>
      <c r="KRI160" s="66"/>
      <c r="KRJ160" s="53"/>
      <c r="KRQ160" s="80"/>
      <c r="KRR160" s="80"/>
      <c r="KRS160" s="80"/>
      <c r="KRT160" s="80"/>
      <c r="KRU160" s="80"/>
      <c r="KRW160" s="80"/>
      <c r="KRX160" s="178"/>
      <c r="KRY160" s="80"/>
      <c r="KRZ160" s="92"/>
      <c r="KSA160" s="53"/>
      <c r="KSB160" s="53"/>
      <c r="KSC160" s="66"/>
      <c r="KSD160" s="53"/>
      <c r="KSK160" s="80"/>
      <c r="KSL160" s="80"/>
      <c r="KSM160" s="80"/>
      <c r="KSN160" s="80"/>
      <c r="KSO160" s="80"/>
      <c r="KSQ160" s="80"/>
      <c r="KSR160" s="178"/>
      <c r="KSS160" s="80"/>
      <c r="KST160" s="92"/>
      <c r="KSU160" s="53"/>
      <c r="KSV160" s="53"/>
      <c r="KSW160" s="66"/>
      <c r="KSX160" s="53"/>
      <c r="KTE160" s="80"/>
      <c r="KTF160" s="80"/>
      <c r="KTG160" s="80"/>
      <c r="KTH160" s="80"/>
      <c r="KTI160" s="80"/>
      <c r="KTK160" s="80"/>
      <c r="KTL160" s="178"/>
      <c r="KTM160" s="80"/>
      <c r="KTN160" s="92"/>
      <c r="KTO160" s="53"/>
      <c r="KTP160" s="53"/>
      <c r="KTQ160" s="66"/>
      <c r="KTR160" s="53"/>
      <c r="KTY160" s="80"/>
      <c r="KTZ160" s="80"/>
      <c r="KUA160" s="80"/>
      <c r="KUB160" s="80"/>
      <c r="KUC160" s="80"/>
      <c r="KUE160" s="80"/>
      <c r="KUF160" s="178"/>
      <c r="KUG160" s="80"/>
      <c r="KUH160" s="92"/>
      <c r="KUI160" s="53"/>
      <c r="KUJ160" s="53"/>
      <c r="KUK160" s="66"/>
      <c r="KUL160" s="53"/>
      <c r="KUS160" s="80"/>
      <c r="KUT160" s="80"/>
      <c r="KUU160" s="80"/>
      <c r="KUV160" s="80"/>
      <c r="KUW160" s="80"/>
      <c r="KUY160" s="80"/>
      <c r="KUZ160" s="178"/>
      <c r="KVA160" s="80"/>
      <c r="KVB160" s="92"/>
      <c r="KVC160" s="53"/>
      <c r="KVD160" s="53"/>
      <c r="KVE160" s="66"/>
      <c r="KVF160" s="53"/>
      <c r="KVM160" s="80"/>
      <c r="KVN160" s="80"/>
      <c r="KVO160" s="80"/>
      <c r="KVP160" s="80"/>
      <c r="KVQ160" s="80"/>
      <c r="KVS160" s="80"/>
      <c r="KVT160" s="178"/>
      <c r="KVU160" s="80"/>
      <c r="KVV160" s="92"/>
      <c r="KVW160" s="53"/>
      <c r="KVX160" s="53"/>
      <c r="KVY160" s="66"/>
      <c r="KVZ160" s="53"/>
      <c r="KWG160" s="80"/>
      <c r="KWH160" s="80"/>
      <c r="KWI160" s="80"/>
      <c r="KWJ160" s="80"/>
      <c r="KWK160" s="80"/>
      <c r="KWM160" s="80"/>
      <c r="KWN160" s="178"/>
      <c r="KWO160" s="80"/>
      <c r="KWP160" s="92"/>
      <c r="KWQ160" s="53"/>
      <c r="KWR160" s="53"/>
      <c r="KWS160" s="66"/>
      <c r="KWT160" s="53"/>
      <c r="KXA160" s="80"/>
      <c r="KXB160" s="80"/>
      <c r="KXC160" s="80"/>
      <c r="KXD160" s="80"/>
      <c r="KXE160" s="80"/>
      <c r="KXG160" s="80"/>
      <c r="KXH160" s="178"/>
      <c r="KXI160" s="80"/>
      <c r="KXJ160" s="92"/>
      <c r="KXK160" s="53"/>
      <c r="KXL160" s="53"/>
      <c r="KXM160" s="66"/>
      <c r="KXN160" s="53"/>
      <c r="KXU160" s="80"/>
      <c r="KXV160" s="80"/>
      <c r="KXW160" s="80"/>
      <c r="KXX160" s="80"/>
      <c r="KXY160" s="80"/>
      <c r="KYA160" s="80"/>
      <c r="KYB160" s="178"/>
      <c r="KYC160" s="80"/>
      <c r="KYD160" s="92"/>
      <c r="KYE160" s="53"/>
      <c r="KYF160" s="53"/>
      <c r="KYG160" s="66"/>
      <c r="KYH160" s="53"/>
      <c r="KYO160" s="80"/>
      <c r="KYP160" s="80"/>
      <c r="KYQ160" s="80"/>
      <c r="KYR160" s="80"/>
      <c r="KYS160" s="80"/>
      <c r="KYU160" s="80"/>
      <c r="KYV160" s="178"/>
      <c r="KYW160" s="80"/>
      <c r="KYX160" s="92"/>
      <c r="KYY160" s="53"/>
      <c r="KYZ160" s="53"/>
      <c r="KZA160" s="66"/>
      <c r="KZB160" s="53"/>
      <c r="KZI160" s="80"/>
      <c r="KZJ160" s="80"/>
      <c r="KZK160" s="80"/>
      <c r="KZL160" s="80"/>
      <c r="KZM160" s="80"/>
      <c r="KZO160" s="80"/>
      <c r="KZP160" s="178"/>
      <c r="KZQ160" s="80"/>
      <c r="KZR160" s="92"/>
      <c r="KZS160" s="53"/>
      <c r="KZT160" s="53"/>
      <c r="KZU160" s="66"/>
      <c r="KZV160" s="53"/>
      <c r="LAC160" s="80"/>
      <c r="LAD160" s="80"/>
      <c r="LAE160" s="80"/>
      <c r="LAF160" s="80"/>
      <c r="LAG160" s="80"/>
      <c r="LAI160" s="80"/>
      <c r="LAJ160" s="178"/>
      <c r="LAK160" s="80"/>
      <c r="LAL160" s="92"/>
      <c r="LAM160" s="53"/>
      <c r="LAN160" s="53"/>
      <c r="LAO160" s="66"/>
      <c r="LAP160" s="53"/>
      <c r="LAW160" s="80"/>
      <c r="LAX160" s="80"/>
      <c r="LAY160" s="80"/>
      <c r="LAZ160" s="80"/>
      <c r="LBA160" s="80"/>
      <c r="LBC160" s="80"/>
      <c r="LBD160" s="178"/>
      <c r="LBE160" s="80"/>
      <c r="LBF160" s="92"/>
      <c r="LBG160" s="53"/>
      <c r="LBH160" s="53"/>
      <c r="LBI160" s="66"/>
      <c r="LBJ160" s="53"/>
      <c r="LBQ160" s="80"/>
      <c r="LBR160" s="80"/>
      <c r="LBS160" s="80"/>
      <c r="LBT160" s="80"/>
      <c r="LBU160" s="80"/>
      <c r="LBW160" s="80"/>
      <c r="LBX160" s="178"/>
      <c r="LBY160" s="80"/>
      <c r="LBZ160" s="92"/>
      <c r="LCA160" s="53"/>
      <c r="LCB160" s="53"/>
      <c r="LCC160" s="66"/>
      <c r="LCD160" s="53"/>
      <c r="LCK160" s="80"/>
      <c r="LCL160" s="80"/>
      <c r="LCM160" s="80"/>
      <c r="LCN160" s="80"/>
      <c r="LCO160" s="80"/>
      <c r="LCQ160" s="80"/>
      <c r="LCR160" s="178"/>
      <c r="LCS160" s="80"/>
      <c r="LCT160" s="92"/>
      <c r="LCU160" s="53"/>
      <c r="LCV160" s="53"/>
      <c r="LCW160" s="66"/>
      <c r="LCX160" s="53"/>
      <c r="LDE160" s="80"/>
      <c r="LDF160" s="80"/>
      <c r="LDG160" s="80"/>
      <c r="LDH160" s="80"/>
      <c r="LDI160" s="80"/>
      <c r="LDK160" s="80"/>
      <c r="LDL160" s="178"/>
      <c r="LDM160" s="80"/>
      <c r="LDN160" s="92"/>
      <c r="LDO160" s="53"/>
      <c r="LDP160" s="53"/>
      <c r="LDQ160" s="66"/>
      <c r="LDR160" s="53"/>
      <c r="LDY160" s="80"/>
      <c r="LDZ160" s="80"/>
      <c r="LEA160" s="80"/>
      <c r="LEB160" s="80"/>
      <c r="LEC160" s="80"/>
      <c r="LEE160" s="80"/>
      <c r="LEF160" s="178"/>
      <c r="LEG160" s="80"/>
      <c r="LEH160" s="92"/>
      <c r="LEI160" s="53"/>
      <c r="LEJ160" s="53"/>
      <c r="LEK160" s="66"/>
      <c r="LEL160" s="53"/>
      <c r="LES160" s="80"/>
      <c r="LET160" s="80"/>
      <c r="LEU160" s="80"/>
      <c r="LEV160" s="80"/>
      <c r="LEW160" s="80"/>
      <c r="LEY160" s="80"/>
      <c r="LEZ160" s="178"/>
      <c r="LFA160" s="80"/>
      <c r="LFB160" s="92"/>
      <c r="LFC160" s="53"/>
      <c r="LFD160" s="53"/>
      <c r="LFE160" s="66"/>
      <c r="LFF160" s="53"/>
      <c r="LFM160" s="80"/>
      <c r="LFN160" s="80"/>
      <c r="LFO160" s="80"/>
      <c r="LFP160" s="80"/>
      <c r="LFQ160" s="80"/>
      <c r="LFS160" s="80"/>
      <c r="LFT160" s="178"/>
      <c r="LFU160" s="80"/>
      <c r="LFV160" s="92"/>
      <c r="LFW160" s="53"/>
      <c r="LFX160" s="53"/>
      <c r="LFY160" s="66"/>
      <c r="LFZ160" s="53"/>
      <c r="LGG160" s="80"/>
      <c r="LGH160" s="80"/>
      <c r="LGI160" s="80"/>
      <c r="LGJ160" s="80"/>
      <c r="LGK160" s="80"/>
      <c r="LGM160" s="80"/>
      <c r="LGN160" s="178"/>
      <c r="LGO160" s="80"/>
      <c r="LGP160" s="92"/>
      <c r="LGQ160" s="53"/>
      <c r="LGR160" s="53"/>
      <c r="LGS160" s="66"/>
      <c r="LGT160" s="53"/>
      <c r="LHA160" s="80"/>
      <c r="LHB160" s="80"/>
      <c r="LHC160" s="80"/>
      <c r="LHD160" s="80"/>
      <c r="LHE160" s="80"/>
      <c r="LHG160" s="80"/>
      <c r="LHH160" s="178"/>
      <c r="LHI160" s="80"/>
      <c r="LHJ160" s="92"/>
      <c r="LHK160" s="53"/>
      <c r="LHL160" s="53"/>
      <c r="LHM160" s="66"/>
      <c r="LHN160" s="53"/>
      <c r="LHU160" s="80"/>
      <c r="LHV160" s="80"/>
      <c r="LHW160" s="80"/>
      <c r="LHX160" s="80"/>
      <c r="LHY160" s="80"/>
      <c r="LIA160" s="80"/>
      <c r="LIB160" s="178"/>
      <c r="LIC160" s="80"/>
      <c r="LID160" s="92"/>
      <c r="LIE160" s="53"/>
      <c r="LIF160" s="53"/>
      <c r="LIG160" s="66"/>
      <c r="LIH160" s="53"/>
      <c r="LIO160" s="80"/>
      <c r="LIP160" s="80"/>
      <c r="LIQ160" s="80"/>
      <c r="LIR160" s="80"/>
      <c r="LIS160" s="80"/>
      <c r="LIU160" s="80"/>
      <c r="LIV160" s="178"/>
      <c r="LIW160" s="80"/>
      <c r="LIX160" s="92"/>
      <c r="LIY160" s="53"/>
      <c r="LIZ160" s="53"/>
      <c r="LJA160" s="66"/>
      <c r="LJB160" s="53"/>
      <c r="LJI160" s="80"/>
      <c r="LJJ160" s="80"/>
      <c r="LJK160" s="80"/>
      <c r="LJL160" s="80"/>
      <c r="LJM160" s="80"/>
      <c r="LJO160" s="80"/>
      <c r="LJP160" s="178"/>
      <c r="LJQ160" s="80"/>
      <c r="LJR160" s="92"/>
      <c r="LJS160" s="53"/>
      <c r="LJT160" s="53"/>
      <c r="LJU160" s="66"/>
      <c r="LJV160" s="53"/>
      <c r="LKC160" s="80"/>
      <c r="LKD160" s="80"/>
      <c r="LKE160" s="80"/>
      <c r="LKF160" s="80"/>
      <c r="LKG160" s="80"/>
      <c r="LKI160" s="80"/>
      <c r="LKJ160" s="178"/>
      <c r="LKK160" s="80"/>
      <c r="LKL160" s="92"/>
      <c r="LKM160" s="53"/>
      <c r="LKN160" s="53"/>
      <c r="LKO160" s="66"/>
      <c r="LKP160" s="53"/>
      <c r="LKW160" s="80"/>
      <c r="LKX160" s="80"/>
      <c r="LKY160" s="80"/>
      <c r="LKZ160" s="80"/>
      <c r="LLA160" s="80"/>
      <c r="LLC160" s="80"/>
      <c r="LLD160" s="178"/>
      <c r="LLE160" s="80"/>
      <c r="LLF160" s="92"/>
      <c r="LLG160" s="53"/>
      <c r="LLH160" s="53"/>
      <c r="LLI160" s="66"/>
      <c r="LLJ160" s="53"/>
      <c r="LLQ160" s="80"/>
      <c r="LLR160" s="80"/>
      <c r="LLS160" s="80"/>
      <c r="LLT160" s="80"/>
      <c r="LLU160" s="80"/>
      <c r="LLW160" s="80"/>
      <c r="LLX160" s="178"/>
      <c r="LLY160" s="80"/>
      <c r="LLZ160" s="92"/>
      <c r="LMA160" s="53"/>
      <c r="LMB160" s="53"/>
      <c r="LMC160" s="66"/>
      <c r="LMD160" s="53"/>
      <c r="LMK160" s="80"/>
      <c r="LML160" s="80"/>
      <c r="LMM160" s="80"/>
      <c r="LMN160" s="80"/>
      <c r="LMO160" s="80"/>
      <c r="LMQ160" s="80"/>
      <c r="LMR160" s="178"/>
      <c r="LMS160" s="80"/>
      <c r="LMT160" s="92"/>
      <c r="LMU160" s="53"/>
      <c r="LMV160" s="53"/>
      <c r="LMW160" s="66"/>
      <c r="LMX160" s="53"/>
      <c r="LNE160" s="80"/>
      <c r="LNF160" s="80"/>
      <c r="LNG160" s="80"/>
      <c r="LNH160" s="80"/>
      <c r="LNI160" s="80"/>
      <c r="LNK160" s="80"/>
      <c r="LNL160" s="178"/>
      <c r="LNM160" s="80"/>
      <c r="LNN160" s="92"/>
      <c r="LNO160" s="53"/>
      <c r="LNP160" s="53"/>
      <c r="LNQ160" s="66"/>
      <c r="LNR160" s="53"/>
      <c r="LNY160" s="80"/>
      <c r="LNZ160" s="80"/>
      <c r="LOA160" s="80"/>
      <c r="LOB160" s="80"/>
      <c r="LOC160" s="80"/>
      <c r="LOE160" s="80"/>
      <c r="LOF160" s="178"/>
      <c r="LOG160" s="80"/>
      <c r="LOH160" s="92"/>
      <c r="LOI160" s="53"/>
      <c r="LOJ160" s="53"/>
      <c r="LOK160" s="66"/>
      <c r="LOL160" s="53"/>
      <c r="LOS160" s="80"/>
      <c r="LOT160" s="80"/>
      <c r="LOU160" s="80"/>
      <c r="LOV160" s="80"/>
      <c r="LOW160" s="80"/>
      <c r="LOY160" s="80"/>
      <c r="LOZ160" s="178"/>
      <c r="LPA160" s="80"/>
      <c r="LPB160" s="92"/>
      <c r="LPC160" s="53"/>
      <c r="LPD160" s="53"/>
      <c r="LPE160" s="66"/>
      <c r="LPF160" s="53"/>
      <c r="LPM160" s="80"/>
      <c r="LPN160" s="80"/>
      <c r="LPO160" s="80"/>
      <c r="LPP160" s="80"/>
      <c r="LPQ160" s="80"/>
      <c r="LPS160" s="80"/>
      <c r="LPT160" s="178"/>
      <c r="LPU160" s="80"/>
      <c r="LPV160" s="92"/>
      <c r="LPW160" s="53"/>
      <c r="LPX160" s="53"/>
      <c r="LPY160" s="66"/>
      <c r="LPZ160" s="53"/>
      <c r="LQG160" s="80"/>
      <c r="LQH160" s="80"/>
      <c r="LQI160" s="80"/>
      <c r="LQJ160" s="80"/>
      <c r="LQK160" s="80"/>
      <c r="LQM160" s="80"/>
      <c r="LQN160" s="178"/>
      <c r="LQO160" s="80"/>
      <c r="LQP160" s="92"/>
      <c r="LQQ160" s="53"/>
      <c r="LQR160" s="53"/>
      <c r="LQS160" s="66"/>
      <c r="LQT160" s="53"/>
      <c r="LRA160" s="80"/>
      <c r="LRB160" s="80"/>
      <c r="LRC160" s="80"/>
      <c r="LRD160" s="80"/>
      <c r="LRE160" s="80"/>
      <c r="LRG160" s="80"/>
      <c r="LRH160" s="178"/>
      <c r="LRI160" s="80"/>
      <c r="LRJ160" s="92"/>
      <c r="LRK160" s="53"/>
      <c r="LRL160" s="53"/>
      <c r="LRM160" s="66"/>
      <c r="LRN160" s="53"/>
      <c r="LRU160" s="80"/>
      <c r="LRV160" s="80"/>
      <c r="LRW160" s="80"/>
      <c r="LRX160" s="80"/>
      <c r="LRY160" s="80"/>
      <c r="LSA160" s="80"/>
      <c r="LSB160" s="178"/>
      <c r="LSC160" s="80"/>
      <c r="LSD160" s="92"/>
      <c r="LSE160" s="53"/>
      <c r="LSF160" s="53"/>
      <c r="LSG160" s="66"/>
      <c r="LSH160" s="53"/>
      <c r="LSO160" s="80"/>
      <c r="LSP160" s="80"/>
      <c r="LSQ160" s="80"/>
      <c r="LSR160" s="80"/>
      <c r="LSS160" s="80"/>
      <c r="LSU160" s="80"/>
      <c r="LSV160" s="178"/>
      <c r="LSW160" s="80"/>
      <c r="LSX160" s="92"/>
      <c r="LSY160" s="53"/>
      <c r="LSZ160" s="53"/>
      <c r="LTA160" s="66"/>
      <c r="LTB160" s="53"/>
      <c r="LTI160" s="80"/>
      <c r="LTJ160" s="80"/>
      <c r="LTK160" s="80"/>
      <c r="LTL160" s="80"/>
      <c r="LTM160" s="80"/>
      <c r="LTO160" s="80"/>
      <c r="LTP160" s="178"/>
      <c r="LTQ160" s="80"/>
      <c r="LTR160" s="92"/>
      <c r="LTS160" s="53"/>
      <c r="LTT160" s="53"/>
      <c r="LTU160" s="66"/>
      <c r="LTV160" s="53"/>
      <c r="LUC160" s="80"/>
      <c r="LUD160" s="80"/>
      <c r="LUE160" s="80"/>
      <c r="LUF160" s="80"/>
      <c r="LUG160" s="80"/>
      <c r="LUI160" s="80"/>
      <c r="LUJ160" s="178"/>
      <c r="LUK160" s="80"/>
      <c r="LUL160" s="92"/>
      <c r="LUM160" s="53"/>
      <c r="LUN160" s="53"/>
      <c r="LUO160" s="66"/>
      <c r="LUP160" s="53"/>
      <c r="LUW160" s="80"/>
      <c r="LUX160" s="80"/>
      <c r="LUY160" s="80"/>
      <c r="LUZ160" s="80"/>
      <c r="LVA160" s="80"/>
      <c r="LVC160" s="80"/>
      <c r="LVD160" s="178"/>
      <c r="LVE160" s="80"/>
      <c r="LVF160" s="92"/>
      <c r="LVG160" s="53"/>
      <c r="LVH160" s="53"/>
      <c r="LVI160" s="66"/>
      <c r="LVJ160" s="53"/>
      <c r="LVQ160" s="80"/>
      <c r="LVR160" s="80"/>
      <c r="LVS160" s="80"/>
      <c r="LVT160" s="80"/>
      <c r="LVU160" s="80"/>
      <c r="LVW160" s="80"/>
      <c r="LVX160" s="178"/>
      <c r="LVY160" s="80"/>
      <c r="LVZ160" s="92"/>
      <c r="LWA160" s="53"/>
      <c r="LWB160" s="53"/>
      <c r="LWC160" s="66"/>
      <c r="LWD160" s="53"/>
      <c r="LWK160" s="80"/>
      <c r="LWL160" s="80"/>
      <c r="LWM160" s="80"/>
      <c r="LWN160" s="80"/>
      <c r="LWO160" s="80"/>
      <c r="LWQ160" s="80"/>
      <c r="LWR160" s="178"/>
      <c r="LWS160" s="80"/>
      <c r="LWT160" s="92"/>
      <c r="LWU160" s="53"/>
      <c r="LWV160" s="53"/>
      <c r="LWW160" s="66"/>
      <c r="LWX160" s="53"/>
      <c r="LXE160" s="80"/>
      <c r="LXF160" s="80"/>
      <c r="LXG160" s="80"/>
      <c r="LXH160" s="80"/>
      <c r="LXI160" s="80"/>
      <c r="LXK160" s="80"/>
      <c r="LXL160" s="178"/>
      <c r="LXM160" s="80"/>
      <c r="LXN160" s="92"/>
      <c r="LXO160" s="53"/>
      <c r="LXP160" s="53"/>
      <c r="LXQ160" s="66"/>
      <c r="LXR160" s="53"/>
      <c r="LXY160" s="80"/>
      <c r="LXZ160" s="80"/>
      <c r="LYA160" s="80"/>
      <c r="LYB160" s="80"/>
      <c r="LYC160" s="80"/>
      <c r="LYE160" s="80"/>
      <c r="LYF160" s="178"/>
      <c r="LYG160" s="80"/>
      <c r="LYH160" s="92"/>
      <c r="LYI160" s="53"/>
      <c r="LYJ160" s="53"/>
      <c r="LYK160" s="66"/>
      <c r="LYL160" s="53"/>
      <c r="LYS160" s="80"/>
      <c r="LYT160" s="80"/>
      <c r="LYU160" s="80"/>
      <c r="LYV160" s="80"/>
      <c r="LYW160" s="80"/>
      <c r="LYY160" s="80"/>
      <c r="LYZ160" s="178"/>
      <c r="LZA160" s="80"/>
      <c r="LZB160" s="92"/>
      <c r="LZC160" s="53"/>
      <c r="LZD160" s="53"/>
      <c r="LZE160" s="66"/>
      <c r="LZF160" s="53"/>
      <c r="LZM160" s="80"/>
      <c r="LZN160" s="80"/>
      <c r="LZO160" s="80"/>
      <c r="LZP160" s="80"/>
      <c r="LZQ160" s="80"/>
      <c r="LZS160" s="80"/>
      <c r="LZT160" s="178"/>
      <c r="LZU160" s="80"/>
      <c r="LZV160" s="92"/>
      <c r="LZW160" s="53"/>
      <c r="LZX160" s="53"/>
      <c r="LZY160" s="66"/>
      <c r="LZZ160" s="53"/>
      <c r="MAG160" s="80"/>
      <c r="MAH160" s="80"/>
      <c r="MAI160" s="80"/>
      <c r="MAJ160" s="80"/>
      <c r="MAK160" s="80"/>
      <c r="MAM160" s="80"/>
      <c r="MAN160" s="178"/>
      <c r="MAO160" s="80"/>
      <c r="MAP160" s="92"/>
      <c r="MAQ160" s="53"/>
      <c r="MAR160" s="53"/>
      <c r="MAS160" s="66"/>
      <c r="MAT160" s="53"/>
      <c r="MBA160" s="80"/>
      <c r="MBB160" s="80"/>
      <c r="MBC160" s="80"/>
      <c r="MBD160" s="80"/>
      <c r="MBE160" s="80"/>
      <c r="MBG160" s="80"/>
      <c r="MBH160" s="178"/>
      <c r="MBI160" s="80"/>
      <c r="MBJ160" s="92"/>
      <c r="MBK160" s="53"/>
      <c r="MBL160" s="53"/>
      <c r="MBM160" s="66"/>
      <c r="MBN160" s="53"/>
      <c r="MBU160" s="80"/>
      <c r="MBV160" s="80"/>
      <c r="MBW160" s="80"/>
      <c r="MBX160" s="80"/>
      <c r="MBY160" s="80"/>
      <c r="MCA160" s="80"/>
      <c r="MCB160" s="178"/>
      <c r="MCC160" s="80"/>
      <c r="MCD160" s="92"/>
      <c r="MCE160" s="53"/>
      <c r="MCF160" s="53"/>
      <c r="MCG160" s="66"/>
      <c r="MCH160" s="53"/>
      <c r="MCO160" s="80"/>
      <c r="MCP160" s="80"/>
      <c r="MCQ160" s="80"/>
      <c r="MCR160" s="80"/>
      <c r="MCS160" s="80"/>
      <c r="MCU160" s="80"/>
      <c r="MCV160" s="178"/>
      <c r="MCW160" s="80"/>
      <c r="MCX160" s="92"/>
      <c r="MCY160" s="53"/>
      <c r="MCZ160" s="53"/>
      <c r="MDA160" s="66"/>
      <c r="MDB160" s="53"/>
      <c r="MDI160" s="80"/>
      <c r="MDJ160" s="80"/>
      <c r="MDK160" s="80"/>
      <c r="MDL160" s="80"/>
      <c r="MDM160" s="80"/>
      <c r="MDO160" s="80"/>
      <c r="MDP160" s="178"/>
      <c r="MDQ160" s="80"/>
      <c r="MDR160" s="92"/>
      <c r="MDS160" s="53"/>
      <c r="MDT160" s="53"/>
      <c r="MDU160" s="66"/>
      <c r="MDV160" s="53"/>
      <c r="MEC160" s="80"/>
      <c r="MED160" s="80"/>
      <c r="MEE160" s="80"/>
      <c r="MEF160" s="80"/>
      <c r="MEG160" s="80"/>
      <c r="MEI160" s="80"/>
      <c r="MEJ160" s="178"/>
      <c r="MEK160" s="80"/>
      <c r="MEL160" s="92"/>
      <c r="MEM160" s="53"/>
      <c r="MEN160" s="53"/>
      <c r="MEO160" s="66"/>
      <c r="MEP160" s="53"/>
      <c r="MEW160" s="80"/>
      <c r="MEX160" s="80"/>
      <c r="MEY160" s="80"/>
      <c r="MEZ160" s="80"/>
      <c r="MFA160" s="80"/>
      <c r="MFC160" s="80"/>
      <c r="MFD160" s="178"/>
      <c r="MFE160" s="80"/>
      <c r="MFF160" s="92"/>
      <c r="MFG160" s="53"/>
      <c r="MFH160" s="53"/>
      <c r="MFI160" s="66"/>
      <c r="MFJ160" s="53"/>
      <c r="MFQ160" s="80"/>
      <c r="MFR160" s="80"/>
      <c r="MFS160" s="80"/>
      <c r="MFT160" s="80"/>
      <c r="MFU160" s="80"/>
      <c r="MFW160" s="80"/>
      <c r="MFX160" s="178"/>
      <c r="MFY160" s="80"/>
      <c r="MFZ160" s="92"/>
      <c r="MGA160" s="53"/>
      <c r="MGB160" s="53"/>
      <c r="MGC160" s="66"/>
      <c r="MGD160" s="53"/>
      <c r="MGK160" s="80"/>
      <c r="MGL160" s="80"/>
      <c r="MGM160" s="80"/>
      <c r="MGN160" s="80"/>
      <c r="MGO160" s="80"/>
      <c r="MGQ160" s="80"/>
      <c r="MGR160" s="178"/>
      <c r="MGS160" s="80"/>
      <c r="MGT160" s="92"/>
      <c r="MGU160" s="53"/>
      <c r="MGV160" s="53"/>
      <c r="MGW160" s="66"/>
      <c r="MGX160" s="53"/>
      <c r="MHE160" s="80"/>
      <c r="MHF160" s="80"/>
      <c r="MHG160" s="80"/>
      <c r="MHH160" s="80"/>
      <c r="MHI160" s="80"/>
      <c r="MHK160" s="80"/>
      <c r="MHL160" s="178"/>
      <c r="MHM160" s="80"/>
      <c r="MHN160" s="92"/>
      <c r="MHO160" s="53"/>
      <c r="MHP160" s="53"/>
      <c r="MHQ160" s="66"/>
      <c r="MHR160" s="53"/>
      <c r="MHY160" s="80"/>
      <c r="MHZ160" s="80"/>
      <c r="MIA160" s="80"/>
      <c r="MIB160" s="80"/>
      <c r="MIC160" s="80"/>
      <c r="MIE160" s="80"/>
      <c r="MIF160" s="178"/>
      <c r="MIG160" s="80"/>
      <c r="MIH160" s="92"/>
      <c r="MII160" s="53"/>
      <c r="MIJ160" s="53"/>
      <c r="MIK160" s="66"/>
      <c r="MIL160" s="53"/>
      <c r="MIS160" s="80"/>
      <c r="MIT160" s="80"/>
      <c r="MIU160" s="80"/>
      <c r="MIV160" s="80"/>
      <c r="MIW160" s="80"/>
      <c r="MIY160" s="80"/>
      <c r="MIZ160" s="178"/>
      <c r="MJA160" s="80"/>
      <c r="MJB160" s="92"/>
      <c r="MJC160" s="53"/>
      <c r="MJD160" s="53"/>
      <c r="MJE160" s="66"/>
      <c r="MJF160" s="53"/>
      <c r="MJM160" s="80"/>
      <c r="MJN160" s="80"/>
      <c r="MJO160" s="80"/>
      <c r="MJP160" s="80"/>
      <c r="MJQ160" s="80"/>
      <c r="MJS160" s="80"/>
      <c r="MJT160" s="178"/>
      <c r="MJU160" s="80"/>
      <c r="MJV160" s="92"/>
      <c r="MJW160" s="53"/>
      <c r="MJX160" s="53"/>
      <c r="MJY160" s="66"/>
      <c r="MJZ160" s="53"/>
      <c r="MKG160" s="80"/>
      <c r="MKH160" s="80"/>
      <c r="MKI160" s="80"/>
      <c r="MKJ160" s="80"/>
      <c r="MKK160" s="80"/>
      <c r="MKM160" s="80"/>
      <c r="MKN160" s="178"/>
      <c r="MKO160" s="80"/>
      <c r="MKP160" s="92"/>
      <c r="MKQ160" s="53"/>
      <c r="MKR160" s="53"/>
      <c r="MKS160" s="66"/>
      <c r="MKT160" s="53"/>
      <c r="MLA160" s="80"/>
      <c r="MLB160" s="80"/>
      <c r="MLC160" s="80"/>
      <c r="MLD160" s="80"/>
      <c r="MLE160" s="80"/>
      <c r="MLG160" s="80"/>
      <c r="MLH160" s="178"/>
      <c r="MLI160" s="80"/>
      <c r="MLJ160" s="92"/>
      <c r="MLK160" s="53"/>
      <c r="MLL160" s="53"/>
      <c r="MLM160" s="66"/>
      <c r="MLN160" s="53"/>
      <c r="MLU160" s="80"/>
      <c r="MLV160" s="80"/>
      <c r="MLW160" s="80"/>
      <c r="MLX160" s="80"/>
      <c r="MLY160" s="80"/>
      <c r="MMA160" s="80"/>
      <c r="MMB160" s="178"/>
      <c r="MMC160" s="80"/>
      <c r="MMD160" s="92"/>
      <c r="MME160" s="53"/>
      <c r="MMF160" s="53"/>
      <c r="MMG160" s="66"/>
      <c r="MMH160" s="53"/>
      <c r="MMO160" s="80"/>
      <c r="MMP160" s="80"/>
      <c r="MMQ160" s="80"/>
      <c r="MMR160" s="80"/>
      <c r="MMS160" s="80"/>
      <c r="MMU160" s="80"/>
      <c r="MMV160" s="178"/>
      <c r="MMW160" s="80"/>
      <c r="MMX160" s="92"/>
      <c r="MMY160" s="53"/>
      <c r="MMZ160" s="53"/>
      <c r="MNA160" s="66"/>
      <c r="MNB160" s="53"/>
      <c r="MNI160" s="80"/>
      <c r="MNJ160" s="80"/>
      <c r="MNK160" s="80"/>
      <c r="MNL160" s="80"/>
      <c r="MNM160" s="80"/>
      <c r="MNO160" s="80"/>
      <c r="MNP160" s="178"/>
      <c r="MNQ160" s="80"/>
      <c r="MNR160" s="92"/>
      <c r="MNS160" s="53"/>
      <c r="MNT160" s="53"/>
      <c r="MNU160" s="66"/>
      <c r="MNV160" s="53"/>
      <c r="MOC160" s="80"/>
      <c r="MOD160" s="80"/>
      <c r="MOE160" s="80"/>
      <c r="MOF160" s="80"/>
      <c r="MOG160" s="80"/>
      <c r="MOI160" s="80"/>
      <c r="MOJ160" s="178"/>
      <c r="MOK160" s="80"/>
      <c r="MOL160" s="92"/>
      <c r="MOM160" s="53"/>
      <c r="MON160" s="53"/>
      <c r="MOO160" s="66"/>
      <c r="MOP160" s="53"/>
      <c r="MOW160" s="80"/>
      <c r="MOX160" s="80"/>
      <c r="MOY160" s="80"/>
      <c r="MOZ160" s="80"/>
      <c r="MPA160" s="80"/>
      <c r="MPC160" s="80"/>
      <c r="MPD160" s="178"/>
      <c r="MPE160" s="80"/>
      <c r="MPF160" s="92"/>
      <c r="MPG160" s="53"/>
      <c r="MPH160" s="53"/>
      <c r="MPI160" s="66"/>
      <c r="MPJ160" s="53"/>
      <c r="MPQ160" s="80"/>
      <c r="MPR160" s="80"/>
      <c r="MPS160" s="80"/>
      <c r="MPT160" s="80"/>
      <c r="MPU160" s="80"/>
      <c r="MPW160" s="80"/>
      <c r="MPX160" s="178"/>
      <c r="MPY160" s="80"/>
      <c r="MPZ160" s="92"/>
      <c r="MQA160" s="53"/>
      <c r="MQB160" s="53"/>
      <c r="MQC160" s="66"/>
      <c r="MQD160" s="53"/>
      <c r="MQK160" s="80"/>
      <c r="MQL160" s="80"/>
      <c r="MQM160" s="80"/>
      <c r="MQN160" s="80"/>
      <c r="MQO160" s="80"/>
      <c r="MQQ160" s="80"/>
      <c r="MQR160" s="178"/>
      <c r="MQS160" s="80"/>
      <c r="MQT160" s="92"/>
      <c r="MQU160" s="53"/>
      <c r="MQV160" s="53"/>
      <c r="MQW160" s="66"/>
      <c r="MQX160" s="53"/>
      <c r="MRE160" s="80"/>
      <c r="MRF160" s="80"/>
      <c r="MRG160" s="80"/>
      <c r="MRH160" s="80"/>
      <c r="MRI160" s="80"/>
      <c r="MRK160" s="80"/>
      <c r="MRL160" s="178"/>
      <c r="MRM160" s="80"/>
      <c r="MRN160" s="92"/>
      <c r="MRO160" s="53"/>
      <c r="MRP160" s="53"/>
      <c r="MRQ160" s="66"/>
      <c r="MRR160" s="53"/>
      <c r="MRY160" s="80"/>
      <c r="MRZ160" s="80"/>
      <c r="MSA160" s="80"/>
      <c r="MSB160" s="80"/>
      <c r="MSC160" s="80"/>
      <c r="MSE160" s="80"/>
      <c r="MSF160" s="178"/>
      <c r="MSG160" s="80"/>
      <c r="MSH160" s="92"/>
      <c r="MSI160" s="53"/>
      <c r="MSJ160" s="53"/>
      <c r="MSK160" s="66"/>
      <c r="MSL160" s="53"/>
      <c r="MSS160" s="80"/>
      <c r="MST160" s="80"/>
      <c r="MSU160" s="80"/>
      <c r="MSV160" s="80"/>
      <c r="MSW160" s="80"/>
      <c r="MSY160" s="80"/>
      <c r="MSZ160" s="178"/>
      <c r="MTA160" s="80"/>
      <c r="MTB160" s="92"/>
      <c r="MTC160" s="53"/>
      <c r="MTD160" s="53"/>
      <c r="MTE160" s="66"/>
      <c r="MTF160" s="53"/>
      <c r="MTM160" s="80"/>
      <c r="MTN160" s="80"/>
      <c r="MTO160" s="80"/>
      <c r="MTP160" s="80"/>
      <c r="MTQ160" s="80"/>
      <c r="MTS160" s="80"/>
      <c r="MTT160" s="178"/>
      <c r="MTU160" s="80"/>
      <c r="MTV160" s="92"/>
      <c r="MTW160" s="53"/>
      <c r="MTX160" s="53"/>
      <c r="MTY160" s="66"/>
      <c r="MTZ160" s="53"/>
      <c r="MUG160" s="80"/>
      <c r="MUH160" s="80"/>
      <c r="MUI160" s="80"/>
      <c r="MUJ160" s="80"/>
      <c r="MUK160" s="80"/>
      <c r="MUM160" s="80"/>
      <c r="MUN160" s="178"/>
      <c r="MUO160" s="80"/>
      <c r="MUP160" s="92"/>
      <c r="MUQ160" s="53"/>
      <c r="MUR160" s="53"/>
      <c r="MUS160" s="66"/>
      <c r="MUT160" s="53"/>
      <c r="MVA160" s="80"/>
      <c r="MVB160" s="80"/>
      <c r="MVC160" s="80"/>
      <c r="MVD160" s="80"/>
      <c r="MVE160" s="80"/>
      <c r="MVG160" s="80"/>
      <c r="MVH160" s="178"/>
      <c r="MVI160" s="80"/>
      <c r="MVJ160" s="92"/>
      <c r="MVK160" s="53"/>
      <c r="MVL160" s="53"/>
      <c r="MVM160" s="66"/>
      <c r="MVN160" s="53"/>
      <c r="MVU160" s="80"/>
      <c r="MVV160" s="80"/>
      <c r="MVW160" s="80"/>
      <c r="MVX160" s="80"/>
      <c r="MVY160" s="80"/>
      <c r="MWA160" s="80"/>
      <c r="MWB160" s="178"/>
      <c r="MWC160" s="80"/>
      <c r="MWD160" s="92"/>
      <c r="MWE160" s="53"/>
      <c r="MWF160" s="53"/>
      <c r="MWG160" s="66"/>
      <c r="MWH160" s="53"/>
      <c r="MWO160" s="80"/>
      <c r="MWP160" s="80"/>
      <c r="MWQ160" s="80"/>
      <c r="MWR160" s="80"/>
      <c r="MWS160" s="80"/>
      <c r="MWU160" s="80"/>
      <c r="MWV160" s="178"/>
      <c r="MWW160" s="80"/>
      <c r="MWX160" s="92"/>
      <c r="MWY160" s="53"/>
      <c r="MWZ160" s="53"/>
      <c r="MXA160" s="66"/>
      <c r="MXB160" s="53"/>
      <c r="MXI160" s="80"/>
      <c r="MXJ160" s="80"/>
      <c r="MXK160" s="80"/>
      <c r="MXL160" s="80"/>
      <c r="MXM160" s="80"/>
      <c r="MXO160" s="80"/>
      <c r="MXP160" s="178"/>
      <c r="MXQ160" s="80"/>
      <c r="MXR160" s="92"/>
      <c r="MXS160" s="53"/>
      <c r="MXT160" s="53"/>
      <c r="MXU160" s="66"/>
      <c r="MXV160" s="53"/>
      <c r="MYC160" s="80"/>
      <c r="MYD160" s="80"/>
      <c r="MYE160" s="80"/>
      <c r="MYF160" s="80"/>
      <c r="MYG160" s="80"/>
      <c r="MYI160" s="80"/>
      <c r="MYJ160" s="178"/>
      <c r="MYK160" s="80"/>
      <c r="MYL160" s="92"/>
      <c r="MYM160" s="53"/>
      <c r="MYN160" s="53"/>
      <c r="MYO160" s="66"/>
      <c r="MYP160" s="53"/>
      <c r="MYW160" s="80"/>
      <c r="MYX160" s="80"/>
      <c r="MYY160" s="80"/>
      <c r="MYZ160" s="80"/>
      <c r="MZA160" s="80"/>
      <c r="MZC160" s="80"/>
      <c r="MZD160" s="178"/>
      <c r="MZE160" s="80"/>
      <c r="MZF160" s="92"/>
      <c r="MZG160" s="53"/>
      <c r="MZH160" s="53"/>
      <c r="MZI160" s="66"/>
      <c r="MZJ160" s="53"/>
      <c r="MZQ160" s="80"/>
      <c r="MZR160" s="80"/>
      <c r="MZS160" s="80"/>
      <c r="MZT160" s="80"/>
      <c r="MZU160" s="80"/>
      <c r="MZW160" s="80"/>
      <c r="MZX160" s="178"/>
      <c r="MZY160" s="80"/>
      <c r="MZZ160" s="92"/>
      <c r="NAA160" s="53"/>
      <c r="NAB160" s="53"/>
      <c r="NAC160" s="66"/>
      <c r="NAD160" s="53"/>
      <c r="NAK160" s="80"/>
      <c r="NAL160" s="80"/>
      <c r="NAM160" s="80"/>
      <c r="NAN160" s="80"/>
      <c r="NAO160" s="80"/>
      <c r="NAQ160" s="80"/>
      <c r="NAR160" s="178"/>
      <c r="NAS160" s="80"/>
      <c r="NAT160" s="92"/>
      <c r="NAU160" s="53"/>
      <c r="NAV160" s="53"/>
      <c r="NAW160" s="66"/>
      <c r="NAX160" s="53"/>
      <c r="NBE160" s="80"/>
      <c r="NBF160" s="80"/>
      <c r="NBG160" s="80"/>
      <c r="NBH160" s="80"/>
      <c r="NBI160" s="80"/>
      <c r="NBK160" s="80"/>
      <c r="NBL160" s="178"/>
      <c r="NBM160" s="80"/>
      <c r="NBN160" s="92"/>
      <c r="NBO160" s="53"/>
      <c r="NBP160" s="53"/>
      <c r="NBQ160" s="66"/>
      <c r="NBR160" s="53"/>
      <c r="NBY160" s="80"/>
      <c r="NBZ160" s="80"/>
      <c r="NCA160" s="80"/>
      <c r="NCB160" s="80"/>
      <c r="NCC160" s="80"/>
      <c r="NCE160" s="80"/>
      <c r="NCF160" s="178"/>
      <c r="NCG160" s="80"/>
      <c r="NCH160" s="92"/>
      <c r="NCI160" s="53"/>
      <c r="NCJ160" s="53"/>
      <c r="NCK160" s="66"/>
      <c r="NCL160" s="53"/>
      <c r="NCS160" s="80"/>
      <c r="NCT160" s="80"/>
      <c r="NCU160" s="80"/>
      <c r="NCV160" s="80"/>
      <c r="NCW160" s="80"/>
      <c r="NCY160" s="80"/>
      <c r="NCZ160" s="178"/>
      <c r="NDA160" s="80"/>
      <c r="NDB160" s="92"/>
      <c r="NDC160" s="53"/>
      <c r="NDD160" s="53"/>
      <c r="NDE160" s="66"/>
      <c r="NDF160" s="53"/>
      <c r="NDM160" s="80"/>
      <c r="NDN160" s="80"/>
      <c r="NDO160" s="80"/>
      <c r="NDP160" s="80"/>
      <c r="NDQ160" s="80"/>
      <c r="NDS160" s="80"/>
      <c r="NDT160" s="178"/>
      <c r="NDU160" s="80"/>
      <c r="NDV160" s="92"/>
      <c r="NDW160" s="53"/>
      <c r="NDX160" s="53"/>
      <c r="NDY160" s="66"/>
      <c r="NDZ160" s="53"/>
      <c r="NEG160" s="80"/>
      <c r="NEH160" s="80"/>
      <c r="NEI160" s="80"/>
      <c r="NEJ160" s="80"/>
      <c r="NEK160" s="80"/>
      <c r="NEM160" s="80"/>
      <c r="NEN160" s="178"/>
      <c r="NEO160" s="80"/>
      <c r="NEP160" s="92"/>
      <c r="NEQ160" s="53"/>
      <c r="NER160" s="53"/>
      <c r="NES160" s="66"/>
      <c r="NET160" s="53"/>
      <c r="NFA160" s="80"/>
      <c r="NFB160" s="80"/>
      <c r="NFC160" s="80"/>
      <c r="NFD160" s="80"/>
      <c r="NFE160" s="80"/>
      <c r="NFG160" s="80"/>
      <c r="NFH160" s="178"/>
      <c r="NFI160" s="80"/>
      <c r="NFJ160" s="92"/>
      <c r="NFK160" s="53"/>
      <c r="NFL160" s="53"/>
      <c r="NFM160" s="66"/>
      <c r="NFN160" s="53"/>
      <c r="NFU160" s="80"/>
      <c r="NFV160" s="80"/>
      <c r="NFW160" s="80"/>
      <c r="NFX160" s="80"/>
      <c r="NFY160" s="80"/>
      <c r="NGA160" s="80"/>
      <c r="NGB160" s="178"/>
      <c r="NGC160" s="80"/>
      <c r="NGD160" s="92"/>
      <c r="NGE160" s="53"/>
      <c r="NGF160" s="53"/>
      <c r="NGG160" s="66"/>
      <c r="NGH160" s="53"/>
      <c r="NGO160" s="80"/>
      <c r="NGP160" s="80"/>
      <c r="NGQ160" s="80"/>
      <c r="NGR160" s="80"/>
      <c r="NGS160" s="80"/>
      <c r="NGU160" s="80"/>
      <c r="NGV160" s="178"/>
      <c r="NGW160" s="80"/>
      <c r="NGX160" s="92"/>
      <c r="NGY160" s="53"/>
      <c r="NGZ160" s="53"/>
      <c r="NHA160" s="66"/>
      <c r="NHB160" s="53"/>
      <c r="NHI160" s="80"/>
      <c r="NHJ160" s="80"/>
      <c r="NHK160" s="80"/>
      <c r="NHL160" s="80"/>
      <c r="NHM160" s="80"/>
      <c r="NHO160" s="80"/>
      <c r="NHP160" s="178"/>
      <c r="NHQ160" s="80"/>
      <c r="NHR160" s="92"/>
      <c r="NHS160" s="53"/>
      <c r="NHT160" s="53"/>
      <c r="NHU160" s="66"/>
      <c r="NHV160" s="53"/>
      <c r="NIC160" s="80"/>
      <c r="NID160" s="80"/>
      <c r="NIE160" s="80"/>
      <c r="NIF160" s="80"/>
      <c r="NIG160" s="80"/>
      <c r="NII160" s="80"/>
      <c r="NIJ160" s="178"/>
      <c r="NIK160" s="80"/>
      <c r="NIL160" s="92"/>
      <c r="NIM160" s="53"/>
      <c r="NIN160" s="53"/>
      <c r="NIO160" s="66"/>
      <c r="NIP160" s="53"/>
      <c r="NIW160" s="80"/>
      <c r="NIX160" s="80"/>
      <c r="NIY160" s="80"/>
      <c r="NIZ160" s="80"/>
      <c r="NJA160" s="80"/>
      <c r="NJC160" s="80"/>
      <c r="NJD160" s="178"/>
      <c r="NJE160" s="80"/>
      <c r="NJF160" s="92"/>
      <c r="NJG160" s="53"/>
      <c r="NJH160" s="53"/>
      <c r="NJI160" s="66"/>
      <c r="NJJ160" s="53"/>
      <c r="NJQ160" s="80"/>
      <c r="NJR160" s="80"/>
      <c r="NJS160" s="80"/>
      <c r="NJT160" s="80"/>
      <c r="NJU160" s="80"/>
      <c r="NJW160" s="80"/>
      <c r="NJX160" s="178"/>
      <c r="NJY160" s="80"/>
      <c r="NJZ160" s="92"/>
      <c r="NKA160" s="53"/>
      <c r="NKB160" s="53"/>
      <c r="NKC160" s="66"/>
      <c r="NKD160" s="53"/>
      <c r="NKK160" s="80"/>
      <c r="NKL160" s="80"/>
      <c r="NKM160" s="80"/>
      <c r="NKN160" s="80"/>
      <c r="NKO160" s="80"/>
      <c r="NKQ160" s="80"/>
      <c r="NKR160" s="178"/>
      <c r="NKS160" s="80"/>
      <c r="NKT160" s="92"/>
      <c r="NKU160" s="53"/>
      <c r="NKV160" s="53"/>
      <c r="NKW160" s="66"/>
      <c r="NKX160" s="53"/>
      <c r="NLE160" s="80"/>
      <c r="NLF160" s="80"/>
      <c r="NLG160" s="80"/>
      <c r="NLH160" s="80"/>
      <c r="NLI160" s="80"/>
      <c r="NLK160" s="80"/>
      <c r="NLL160" s="178"/>
      <c r="NLM160" s="80"/>
      <c r="NLN160" s="92"/>
      <c r="NLO160" s="53"/>
      <c r="NLP160" s="53"/>
      <c r="NLQ160" s="66"/>
      <c r="NLR160" s="53"/>
      <c r="NLY160" s="80"/>
      <c r="NLZ160" s="80"/>
      <c r="NMA160" s="80"/>
      <c r="NMB160" s="80"/>
      <c r="NMC160" s="80"/>
      <c r="NME160" s="80"/>
      <c r="NMF160" s="178"/>
      <c r="NMG160" s="80"/>
      <c r="NMH160" s="92"/>
      <c r="NMI160" s="53"/>
      <c r="NMJ160" s="53"/>
      <c r="NMK160" s="66"/>
      <c r="NML160" s="53"/>
      <c r="NMS160" s="80"/>
      <c r="NMT160" s="80"/>
      <c r="NMU160" s="80"/>
      <c r="NMV160" s="80"/>
      <c r="NMW160" s="80"/>
      <c r="NMY160" s="80"/>
      <c r="NMZ160" s="178"/>
      <c r="NNA160" s="80"/>
      <c r="NNB160" s="92"/>
      <c r="NNC160" s="53"/>
      <c r="NND160" s="53"/>
      <c r="NNE160" s="66"/>
      <c r="NNF160" s="53"/>
      <c r="NNM160" s="80"/>
      <c r="NNN160" s="80"/>
      <c r="NNO160" s="80"/>
      <c r="NNP160" s="80"/>
      <c r="NNQ160" s="80"/>
      <c r="NNS160" s="80"/>
      <c r="NNT160" s="178"/>
      <c r="NNU160" s="80"/>
      <c r="NNV160" s="92"/>
      <c r="NNW160" s="53"/>
      <c r="NNX160" s="53"/>
      <c r="NNY160" s="66"/>
      <c r="NNZ160" s="53"/>
      <c r="NOG160" s="80"/>
      <c r="NOH160" s="80"/>
      <c r="NOI160" s="80"/>
      <c r="NOJ160" s="80"/>
      <c r="NOK160" s="80"/>
      <c r="NOM160" s="80"/>
      <c r="NON160" s="178"/>
      <c r="NOO160" s="80"/>
      <c r="NOP160" s="92"/>
      <c r="NOQ160" s="53"/>
      <c r="NOR160" s="53"/>
      <c r="NOS160" s="66"/>
      <c r="NOT160" s="53"/>
      <c r="NPA160" s="80"/>
      <c r="NPB160" s="80"/>
      <c r="NPC160" s="80"/>
      <c r="NPD160" s="80"/>
      <c r="NPE160" s="80"/>
      <c r="NPG160" s="80"/>
      <c r="NPH160" s="178"/>
      <c r="NPI160" s="80"/>
      <c r="NPJ160" s="92"/>
      <c r="NPK160" s="53"/>
      <c r="NPL160" s="53"/>
      <c r="NPM160" s="66"/>
      <c r="NPN160" s="53"/>
      <c r="NPU160" s="80"/>
      <c r="NPV160" s="80"/>
      <c r="NPW160" s="80"/>
      <c r="NPX160" s="80"/>
      <c r="NPY160" s="80"/>
      <c r="NQA160" s="80"/>
      <c r="NQB160" s="178"/>
      <c r="NQC160" s="80"/>
      <c r="NQD160" s="92"/>
      <c r="NQE160" s="53"/>
      <c r="NQF160" s="53"/>
      <c r="NQG160" s="66"/>
      <c r="NQH160" s="53"/>
      <c r="NQO160" s="80"/>
      <c r="NQP160" s="80"/>
      <c r="NQQ160" s="80"/>
      <c r="NQR160" s="80"/>
      <c r="NQS160" s="80"/>
      <c r="NQU160" s="80"/>
      <c r="NQV160" s="178"/>
      <c r="NQW160" s="80"/>
      <c r="NQX160" s="92"/>
      <c r="NQY160" s="53"/>
      <c r="NQZ160" s="53"/>
      <c r="NRA160" s="66"/>
      <c r="NRB160" s="53"/>
      <c r="NRI160" s="80"/>
      <c r="NRJ160" s="80"/>
      <c r="NRK160" s="80"/>
      <c r="NRL160" s="80"/>
      <c r="NRM160" s="80"/>
      <c r="NRO160" s="80"/>
      <c r="NRP160" s="178"/>
      <c r="NRQ160" s="80"/>
      <c r="NRR160" s="92"/>
      <c r="NRS160" s="53"/>
      <c r="NRT160" s="53"/>
      <c r="NRU160" s="66"/>
      <c r="NRV160" s="53"/>
      <c r="NSC160" s="80"/>
      <c r="NSD160" s="80"/>
      <c r="NSE160" s="80"/>
      <c r="NSF160" s="80"/>
      <c r="NSG160" s="80"/>
      <c r="NSI160" s="80"/>
      <c r="NSJ160" s="178"/>
      <c r="NSK160" s="80"/>
      <c r="NSL160" s="92"/>
      <c r="NSM160" s="53"/>
      <c r="NSN160" s="53"/>
      <c r="NSO160" s="66"/>
      <c r="NSP160" s="53"/>
      <c r="NSW160" s="80"/>
      <c r="NSX160" s="80"/>
      <c r="NSY160" s="80"/>
      <c r="NSZ160" s="80"/>
      <c r="NTA160" s="80"/>
      <c r="NTC160" s="80"/>
      <c r="NTD160" s="178"/>
      <c r="NTE160" s="80"/>
      <c r="NTF160" s="92"/>
      <c r="NTG160" s="53"/>
      <c r="NTH160" s="53"/>
      <c r="NTI160" s="66"/>
      <c r="NTJ160" s="53"/>
      <c r="NTQ160" s="80"/>
      <c r="NTR160" s="80"/>
      <c r="NTS160" s="80"/>
      <c r="NTT160" s="80"/>
      <c r="NTU160" s="80"/>
      <c r="NTW160" s="80"/>
      <c r="NTX160" s="178"/>
      <c r="NTY160" s="80"/>
      <c r="NTZ160" s="92"/>
      <c r="NUA160" s="53"/>
      <c r="NUB160" s="53"/>
      <c r="NUC160" s="66"/>
      <c r="NUD160" s="53"/>
      <c r="NUK160" s="80"/>
      <c r="NUL160" s="80"/>
      <c r="NUM160" s="80"/>
      <c r="NUN160" s="80"/>
      <c r="NUO160" s="80"/>
      <c r="NUQ160" s="80"/>
      <c r="NUR160" s="178"/>
      <c r="NUS160" s="80"/>
      <c r="NUT160" s="92"/>
      <c r="NUU160" s="53"/>
      <c r="NUV160" s="53"/>
      <c r="NUW160" s="66"/>
      <c r="NUX160" s="53"/>
      <c r="NVE160" s="80"/>
      <c r="NVF160" s="80"/>
      <c r="NVG160" s="80"/>
      <c r="NVH160" s="80"/>
      <c r="NVI160" s="80"/>
      <c r="NVK160" s="80"/>
      <c r="NVL160" s="178"/>
      <c r="NVM160" s="80"/>
      <c r="NVN160" s="92"/>
      <c r="NVO160" s="53"/>
      <c r="NVP160" s="53"/>
      <c r="NVQ160" s="66"/>
      <c r="NVR160" s="53"/>
      <c r="NVY160" s="80"/>
      <c r="NVZ160" s="80"/>
      <c r="NWA160" s="80"/>
      <c r="NWB160" s="80"/>
      <c r="NWC160" s="80"/>
      <c r="NWE160" s="80"/>
      <c r="NWF160" s="178"/>
      <c r="NWG160" s="80"/>
      <c r="NWH160" s="92"/>
      <c r="NWI160" s="53"/>
      <c r="NWJ160" s="53"/>
      <c r="NWK160" s="66"/>
      <c r="NWL160" s="53"/>
      <c r="NWS160" s="80"/>
      <c r="NWT160" s="80"/>
      <c r="NWU160" s="80"/>
      <c r="NWV160" s="80"/>
      <c r="NWW160" s="80"/>
      <c r="NWY160" s="80"/>
      <c r="NWZ160" s="178"/>
      <c r="NXA160" s="80"/>
      <c r="NXB160" s="92"/>
      <c r="NXC160" s="53"/>
      <c r="NXD160" s="53"/>
      <c r="NXE160" s="66"/>
      <c r="NXF160" s="53"/>
      <c r="NXM160" s="80"/>
      <c r="NXN160" s="80"/>
      <c r="NXO160" s="80"/>
      <c r="NXP160" s="80"/>
      <c r="NXQ160" s="80"/>
      <c r="NXS160" s="80"/>
      <c r="NXT160" s="178"/>
      <c r="NXU160" s="80"/>
      <c r="NXV160" s="92"/>
      <c r="NXW160" s="53"/>
      <c r="NXX160" s="53"/>
      <c r="NXY160" s="66"/>
      <c r="NXZ160" s="53"/>
      <c r="NYG160" s="80"/>
      <c r="NYH160" s="80"/>
      <c r="NYI160" s="80"/>
      <c r="NYJ160" s="80"/>
      <c r="NYK160" s="80"/>
      <c r="NYM160" s="80"/>
      <c r="NYN160" s="178"/>
      <c r="NYO160" s="80"/>
      <c r="NYP160" s="92"/>
      <c r="NYQ160" s="53"/>
      <c r="NYR160" s="53"/>
      <c r="NYS160" s="66"/>
      <c r="NYT160" s="53"/>
      <c r="NZA160" s="80"/>
      <c r="NZB160" s="80"/>
      <c r="NZC160" s="80"/>
      <c r="NZD160" s="80"/>
      <c r="NZE160" s="80"/>
      <c r="NZG160" s="80"/>
      <c r="NZH160" s="178"/>
      <c r="NZI160" s="80"/>
      <c r="NZJ160" s="92"/>
      <c r="NZK160" s="53"/>
      <c r="NZL160" s="53"/>
      <c r="NZM160" s="66"/>
      <c r="NZN160" s="53"/>
      <c r="NZU160" s="80"/>
      <c r="NZV160" s="80"/>
      <c r="NZW160" s="80"/>
      <c r="NZX160" s="80"/>
      <c r="NZY160" s="80"/>
      <c r="OAA160" s="80"/>
      <c r="OAB160" s="178"/>
      <c r="OAC160" s="80"/>
      <c r="OAD160" s="92"/>
      <c r="OAE160" s="53"/>
      <c r="OAF160" s="53"/>
      <c r="OAG160" s="66"/>
      <c r="OAH160" s="53"/>
      <c r="OAO160" s="80"/>
      <c r="OAP160" s="80"/>
      <c r="OAQ160" s="80"/>
      <c r="OAR160" s="80"/>
      <c r="OAS160" s="80"/>
      <c r="OAU160" s="80"/>
      <c r="OAV160" s="178"/>
      <c r="OAW160" s="80"/>
      <c r="OAX160" s="92"/>
      <c r="OAY160" s="53"/>
      <c r="OAZ160" s="53"/>
      <c r="OBA160" s="66"/>
      <c r="OBB160" s="53"/>
      <c r="OBI160" s="80"/>
      <c r="OBJ160" s="80"/>
      <c r="OBK160" s="80"/>
      <c r="OBL160" s="80"/>
      <c r="OBM160" s="80"/>
      <c r="OBO160" s="80"/>
      <c r="OBP160" s="178"/>
      <c r="OBQ160" s="80"/>
      <c r="OBR160" s="92"/>
      <c r="OBS160" s="53"/>
      <c r="OBT160" s="53"/>
      <c r="OBU160" s="66"/>
      <c r="OBV160" s="53"/>
      <c r="OCC160" s="80"/>
      <c r="OCD160" s="80"/>
      <c r="OCE160" s="80"/>
      <c r="OCF160" s="80"/>
      <c r="OCG160" s="80"/>
      <c r="OCI160" s="80"/>
      <c r="OCJ160" s="178"/>
      <c r="OCK160" s="80"/>
      <c r="OCL160" s="92"/>
      <c r="OCM160" s="53"/>
      <c r="OCN160" s="53"/>
      <c r="OCO160" s="66"/>
      <c r="OCP160" s="53"/>
      <c r="OCW160" s="80"/>
      <c r="OCX160" s="80"/>
      <c r="OCY160" s="80"/>
      <c r="OCZ160" s="80"/>
      <c r="ODA160" s="80"/>
      <c r="ODC160" s="80"/>
      <c r="ODD160" s="178"/>
      <c r="ODE160" s="80"/>
      <c r="ODF160" s="92"/>
      <c r="ODG160" s="53"/>
      <c r="ODH160" s="53"/>
      <c r="ODI160" s="66"/>
      <c r="ODJ160" s="53"/>
      <c r="ODQ160" s="80"/>
      <c r="ODR160" s="80"/>
      <c r="ODS160" s="80"/>
      <c r="ODT160" s="80"/>
      <c r="ODU160" s="80"/>
      <c r="ODW160" s="80"/>
      <c r="ODX160" s="178"/>
      <c r="ODY160" s="80"/>
      <c r="ODZ160" s="92"/>
      <c r="OEA160" s="53"/>
      <c r="OEB160" s="53"/>
      <c r="OEC160" s="66"/>
      <c r="OED160" s="53"/>
      <c r="OEK160" s="80"/>
      <c r="OEL160" s="80"/>
      <c r="OEM160" s="80"/>
      <c r="OEN160" s="80"/>
      <c r="OEO160" s="80"/>
      <c r="OEQ160" s="80"/>
      <c r="OER160" s="178"/>
      <c r="OES160" s="80"/>
      <c r="OET160" s="92"/>
      <c r="OEU160" s="53"/>
      <c r="OEV160" s="53"/>
      <c r="OEW160" s="66"/>
      <c r="OEX160" s="53"/>
      <c r="OFE160" s="80"/>
      <c r="OFF160" s="80"/>
      <c r="OFG160" s="80"/>
      <c r="OFH160" s="80"/>
      <c r="OFI160" s="80"/>
      <c r="OFK160" s="80"/>
      <c r="OFL160" s="178"/>
      <c r="OFM160" s="80"/>
      <c r="OFN160" s="92"/>
      <c r="OFO160" s="53"/>
      <c r="OFP160" s="53"/>
      <c r="OFQ160" s="66"/>
      <c r="OFR160" s="53"/>
      <c r="OFY160" s="80"/>
      <c r="OFZ160" s="80"/>
      <c r="OGA160" s="80"/>
      <c r="OGB160" s="80"/>
      <c r="OGC160" s="80"/>
      <c r="OGE160" s="80"/>
      <c r="OGF160" s="178"/>
      <c r="OGG160" s="80"/>
      <c r="OGH160" s="92"/>
      <c r="OGI160" s="53"/>
      <c r="OGJ160" s="53"/>
      <c r="OGK160" s="66"/>
      <c r="OGL160" s="53"/>
      <c r="OGS160" s="80"/>
      <c r="OGT160" s="80"/>
      <c r="OGU160" s="80"/>
      <c r="OGV160" s="80"/>
      <c r="OGW160" s="80"/>
      <c r="OGY160" s="80"/>
      <c r="OGZ160" s="178"/>
      <c r="OHA160" s="80"/>
      <c r="OHB160" s="92"/>
      <c r="OHC160" s="53"/>
      <c r="OHD160" s="53"/>
      <c r="OHE160" s="66"/>
      <c r="OHF160" s="53"/>
      <c r="OHM160" s="80"/>
      <c r="OHN160" s="80"/>
      <c r="OHO160" s="80"/>
      <c r="OHP160" s="80"/>
      <c r="OHQ160" s="80"/>
      <c r="OHS160" s="80"/>
      <c r="OHT160" s="178"/>
      <c r="OHU160" s="80"/>
      <c r="OHV160" s="92"/>
      <c r="OHW160" s="53"/>
      <c r="OHX160" s="53"/>
      <c r="OHY160" s="66"/>
      <c r="OHZ160" s="53"/>
      <c r="OIG160" s="80"/>
      <c r="OIH160" s="80"/>
      <c r="OII160" s="80"/>
      <c r="OIJ160" s="80"/>
      <c r="OIK160" s="80"/>
      <c r="OIM160" s="80"/>
      <c r="OIN160" s="178"/>
      <c r="OIO160" s="80"/>
      <c r="OIP160" s="92"/>
      <c r="OIQ160" s="53"/>
      <c r="OIR160" s="53"/>
      <c r="OIS160" s="66"/>
      <c r="OIT160" s="53"/>
      <c r="OJA160" s="80"/>
      <c r="OJB160" s="80"/>
      <c r="OJC160" s="80"/>
      <c r="OJD160" s="80"/>
      <c r="OJE160" s="80"/>
      <c r="OJG160" s="80"/>
      <c r="OJH160" s="178"/>
      <c r="OJI160" s="80"/>
      <c r="OJJ160" s="92"/>
      <c r="OJK160" s="53"/>
      <c r="OJL160" s="53"/>
      <c r="OJM160" s="66"/>
      <c r="OJN160" s="53"/>
      <c r="OJU160" s="80"/>
      <c r="OJV160" s="80"/>
      <c r="OJW160" s="80"/>
      <c r="OJX160" s="80"/>
      <c r="OJY160" s="80"/>
      <c r="OKA160" s="80"/>
      <c r="OKB160" s="178"/>
      <c r="OKC160" s="80"/>
      <c r="OKD160" s="92"/>
      <c r="OKE160" s="53"/>
      <c r="OKF160" s="53"/>
      <c r="OKG160" s="66"/>
      <c r="OKH160" s="53"/>
      <c r="OKO160" s="80"/>
      <c r="OKP160" s="80"/>
      <c r="OKQ160" s="80"/>
      <c r="OKR160" s="80"/>
      <c r="OKS160" s="80"/>
      <c r="OKU160" s="80"/>
      <c r="OKV160" s="178"/>
      <c r="OKW160" s="80"/>
      <c r="OKX160" s="92"/>
      <c r="OKY160" s="53"/>
      <c r="OKZ160" s="53"/>
      <c r="OLA160" s="66"/>
      <c r="OLB160" s="53"/>
      <c r="OLI160" s="80"/>
      <c r="OLJ160" s="80"/>
      <c r="OLK160" s="80"/>
      <c r="OLL160" s="80"/>
      <c r="OLM160" s="80"/>
      <c r="OLO160" s="80"/>
      <c r="OLP160" s="178"/>
      <c r="OLQ160" s="80"/>
      <c r="OLR160" s="92"/>
      <c r="OLS160" s="53"/>
      <c r="OLT160" s="53"/>
      <c r="OLU160" s="66"/>
      <c r="OLV160" s="53"/>
      <c r="OMC160" s="80"/>
      <c r="OMD160" s="80"/>
      <c r="OME160" s="80"/>
      <c r="OMF160" s="80"/>
      <c r="OMG160" s="80"/>
      <c r="OMI160" s="80"/>
      <c r="OMJ160" s="178"/>
      <c r="OMK160" s="80"/>
      <c r="OML160" s="92"/>
      <c r="OMM160" s="53"/>
      <c r="OMN160" s="53"/>
      <c r="OMO160" s="66"/>
      <c r="OMP160" s="53"/>
      <c r="OMW160" s="80"/>
      <c r="OMX160" s="80"/>
      <c r="OMY160" s="80"/>
      <c r="OMZ160" s="80"/>
      <c r="ONA160" s="80"/>
      <c r="ONC160" s="80"/>
      <c r="OND160" s="178"/>
      <c r="ONE160" s="80"/>
      <c r="ONF160" s="92"/>
      <c r="ONG160" s="53"/>
      <c r="ONH160" s="53"/>
      <c r="ONI160" s="66"/>
      <c r="ONJ160" s="53"/>
      <c r="ONQ160" s="80"/>
      <c r="ONR160" s="80"/>
      <c r="ONS160" s="80"/>
      <c r="ONT160" s="80"/>
      <c r="ONU160" s="80"/>
      <c r="ONW160" s="80"/>
      <c r="ONX160" s="178"/>
      <c r="ONY160" s="80"/>
      <c r="ONZ160" s="92"/>
      <c r="OOA160" s="53"/>
      <c r="OOB160" s="53"/>
      <c r="OOC160" s="66"/>
      <c r="OOD160" s="53"/>
      <c r="OOK160" s="80"/>
      <c r="OOL160" s="80"/>
      <c r="OOM160" s="80"/>
      <c r="OON160" s="80"/>
      <c r="OOO160" s="80"/>
      <c r="OOQ160" s="80"/>
      <c r="OOR160" s="178"/>
      <c r="OOS160" s="80"/>
      <c r="OOT160" s="92"/>
      <c r="OOU160" s="53"/>
      <c r="OOV160" s="53"/>
      <c r="OOW160" s="66"/>
      <c r="OOX160" s="53"/>
      <c r="OPE160" s="80"/>
      <c r="OPF160" s="80"/>
      <c r="OPG160" s="80"/>
      <c r="OPH160" s="80"/>
      <c r="OPI160" s="80"/>
      <c r="OPK160" s="80"/>
      <c r="OPL160" s="178"/>
      <c r="OPM160" s="80"/>
      <c r="OPN160" s="92"/>
      <c r="OPO160" s="53"/>
      <c r="OPP160" s="53"/>
      <c r="OPQ160" s="66"/>
      <c r="OPR160" s="53"/>
      <c r="OPY160" s="80"/>
      <c r="OPZ160" s="80"/>
      <c r="OQA160" s="80"/>
      <c r="OQB160" s="80"/>
      <c r="OQC160" s="80"/>
      <c r="OQE160" s="80"/>
      <c r="OQF160" s="178"/>
      <c r="OQG160" s="80"/>
      <c r="OQH160" s="92"/>
      <c r="OQI160" s="53"/>
      <c r="OQJ160" s="53"/>
      <c r="OQK160" s="66"/>
      <c r="OQL160" s="53"/>
      <c r="OQS160" s="80"/>
      <c r="OQT160" s="80"/>
      <c r="OQU160" s="80"/>
      <c r="OQV160" s="80"/>
      <c r="OQW160" s="80"/>
      <c r="OQY160" s="80"/>
      <c r="OQZ160" s="178"/>
      <c r="ORA160" s="80"/>
      <c r="ORB160" s="92"/>
      <c r="ORC160" s="53"/>
      <c r="ORD160" s="53"/>
      <c r="ORE160" s="66"/>
      <c r="ORF160" s="53"/>
      <c r="ORM160" s="80"/>
      <c r="ORN160" s="80"/>
      <c r="ORO160" s="80"/>
      <c r="ORP160" s="80"/>
      <c r="ORQ160" s="80"/>
      <c r="ORS160" s="80"/>
      <c r="ORT160" s="178"/>
      <c r="ORU160" s="80"/>
      <c r="ORV160" s="92"/>
      <c r="ORW160" s="53"/>
      <c r="ORX160" s="53"/>
      <c r="ORY160" s="66"/>
      <c r="ORZ160" s="53"/>
      <c r="OSG160" s="80"/>
      <c r="OSH160" s="80"/>
      <c r="OSI160" s="80"/>
      <c r="OSJ160" s="80"/>
      <c r="OSK160" s="80"/>
      <c r="OSM160" s="80"/>
      <c r="OSN160" s="178"/>
      <c r="OSO160" s="80"/>
      <c r="OSP160" s="92"/>
      <c r="OSQ160" s="53"/>
      <c r="OSR160" s="53"/>
      <c r="OSS160" s="66"/>
      <c r="OST160" s="53"/>
      <c r="OTA160" s="80"/>
      <c r="OTB160" s="80"/>
      <c r="OTC160" s="80"/>
      <c r="OTD160" s="80"/>
      <c r="OTE160" s="80"/>
      <c r="OTG160" s="80"/>
      <c r="OTH160" s="178"/>
      <c r="OTI160" s="80"/>
      <c r="OTJ160" s="92"/>
      <c r="OTK160" s="53"/>
      <c r="OTL160" s="53"/>
      <c r="OTM160" s="66"/>
      <c r="OTN160" s="53"/>
      <c r="OTU160" s="80"/>
      <c r="OTV160" s="80"/>
      <c r="OTW160" s="80"/>
      <c r="OTX160" s="80"/>
      <c r="OTY160" s="80"/>
      <c r="OUA160" s="80"/>
      <c r="OUB160" s="178"/>
      <c r="OUC160" s="80"/>
      <c r="OUD160" s="92"/>
      <c r="OUE160" s="53"/>
      <c r="OUF160" s="53"/>
      <c r="OUG160" s="66"/>
      <c r="OUH160" s="53"/>
      <c r="OUO160" s="80"/>
      <c r="OUP160" s="80"/>
      <c r="OUQ160" s="80"/>
      <c r="OUR160" s="80"/>
      <c r="OUS160" s="80"/>
      <c r="OUU160" s="80"/>
      <c r="OUV160" s="178"/>
      <c r="OUW160" s="80"/>
      <c r="OUX160" s="92"/>
      <c r="OUY160" s="53"/>
      <c r="OUZ160" s="53"/>
      <c r="OVA160" s="66"/>
      <c r="OVB160" s="53"/>
      <c r="OVI160" s="80"/>
      <c r="OVJ160" s="80"/>
      <c r="OVK160" s="80"/>
      <c r="OVL160" s="80"/>
      <c r="OVM160" s="80"/>
      <c r="OVO160" s="80"/>
      <c r="OVP160" s="178"/>
      <c r="OVQ160" s="80"/>
      <c r="OVR160" s="92"/>
      <c r="OVS160" s="53"/>
      <c r="OVT160" s="53"/>
      <c r="OVU160" s="66"/>
      <c r="OVV160" s="53"/>
      <c r="OWC160" s="80"/>
      <c r="OWD160" s="80"/>
      <c r="OWE160" s="80"/>
      <c r="OWF160" s="80"/>
      <c r="OWG160" s="80"/>
      <c r="OWI160" s="80"/>
      <c r="OWJ160" s="178"/>
      <c r="OWK160" s="80"/>
      <c r="OWL160" s="92"/>
      <c r="OWM160" s="53"/>
      <c r="OWN160" s="53"/>
      <c r="OWO160" s="66"/>
      <c r="OWP160" s="53"/>
      <c r="OWW160" s="80"/>
      <c r="OWX160" s="80"/>
      <c r="OWY160" s="80"/>
      <c r="OWZ160" s="80"/>
      <c r="OXA160" s="80"/>
      <c r="OXC160" s="80"/>
      <c r="OXD160" s="178"/>
      <c r="OXE160" s="80"/>
      <c r="OXF160" s="92"/>
      <c r="OXG160" s="53"/>
      <c r="OXH160" s="53"/>
      <c r="OXI160" s="66"/>
      <c r="OXJ160" s="53"/>
      <c r="OXQ160" s="80"/>
      <c r="OXR160" s="80"/>
      <c r="OXS160" s="80"/>
      <c r="OXT160" s="80"/>
      <c r="OXU160" s="80"/>
      <c r="OXW160" s="80"/>
      <c r="OXX160" s="178"/>
      <c r="OXY160" s="80"/>
      <c r="OXZ160" s="92"/>
      <c r="OYA160" s="53"/>
      <c r="OYB160" s="53"/>
      <c r="OYC160" s="66"/>
      <c r="OYD160" s="53"/>
      <c r="OYK160" s="80"/>
      <c r="OYL160" s="80"/>
      <c r="OYM160" s="80"/>
      <c r="OYN160" s="80"/>
      <c r="OYO160" s="80"/>
      <c r="OYQ160" s="80"/>
      <c r="OYR160" s="178"/>
      <c r="OYS160" s="80"/>
      <c r="OYT160" s="92"/>
      <c r="OYU160" s="53"/>
      <c r="OYV160" s="53"/>
      <c r="OYW160" s="66"/>
      <c r="OYX160" s="53"/>
      <c r="OZE160" s="80"/>
      <c r="OZF160" s="80"/>
      <c r="OZG160" s="80"/>
      <c r="OZH160" s="80"/>
      <c r="OZI160" s="80"/>
      <c r="OZK160" s="80"/>
      <c r="OZL160" s="178"/>
      <c r="OZM160" s="80"/>
      <c r="OZN160" s="92"/>
      <c r="OZO160" s="53"/>
      <c r="OZP160" s="53"/>
      <c r="OZQ160" s="66"/>
      <c r="OZR160" s="53"/>
      <c r="OZY160" s="80"/>
      <c r="OZZ160" s="80"/>
      <c r="PAA160" s="80"/>
      <c r="PAB160" s="80"/>
      <c r="PAC160" s="80"/>
      <c r="PAE160" s="80"/>
      <c r="PAF160" s="178"/>
      <c r="PAG160" s="80"/>
      <c r="PAH160" s="92"/>
      <c r="PAI160" s="53"/>
      <c r="PAJ160" s="53"/>
      <c r="PAK160" s="66"/>
      <c r="PAL160" s="53"/>
      <c r="PAS160" s="80"/>
      <c r="PAT160" s="80"/>
      <c r="PAU160" s="80"/>
      <c r="PAV160" s="80"/>
      <c r="PAW160" s="80"/>
      <c r="PAY160" s="80"/>
      <c r="PAZ160" s="178"/>
      <c r="PBA160" s="80"/>
      <c r="PBB160" s="92"/>
      <c r="PBC160" s="53"/>
      <c r="PBD160" s="53"/>
      <c r="PBE160" s="66"/>
      <c r="PBF160" s="53"/>
      <c r="PBM160" s="80"/>
      <c r="PBN160" s="80"/>
      <c r="PBO160" s="80"/>
      <c r="PBP160" s="80"/>
      <c r="PBQ160" s="80"/>
      <c r="PBS160" s="80"/>
      <c r="PBT160" s="178"/>
      <c r="PBU160" s="80"/>
      <c r="PBV160" s="92"/>
      <c r="PBW160" s="53"/>
      <c r="PBX160" s="53"/>
      <c r="PBY160" s="66"/>
      <c r="PBZ160" s="53"/>
      <c r="PCG160" s="80"/>
      <c r="PCH160" s="80"/>
      <c r="PCI160" s="80"/>
      <c r="PCJ160" s="80"/>
      <c r="PCK160" s="80"/>
      <c r="PCM160" s="80"/>
      <c r="PCN160" s="178"/>
      <c r="PCO160" s="80"/>
      <c r="PCP160" s="92"/>
      <c r="PCQ160" s="53"/>
      <c r="PCR160" s="53"/>
      <c r="PCS160" s="66"/>
      <c r="PCT160" s="53"/>
      <c r="PDA160" s="80"/>
      <c r="PDB160" s="80"/>
      <c r="PDC160" s="80"/>
      <c r="PDD160" s="80"/>
      <c r="PDE160" s="80"/>
      <c r="PDG160" s="80"/>
      <c r="PDH160" s="178"/>
      <c r="PDI160" s="80"/>
      <c r="PDJ160" s="92"/>
      <c r="PDK160" s="53"/>
      <c r="PDL160" s="53"/>
      <c r="PDM160" s="66"/>
      <c r="PDN160" s="53"/>
      <c r="PDU160" s="80"/>
      <c r="PDV160" s="80"/>
      <c r="PDW160" s="80"/>
      <c r="PDX160" s="80"/>
      <c r="PDY160" s="80"/>
      <c r="PEA160" s="80"/>
      <c r="PEB160" s="178"/>
      <c r="PEC160" s="80"/>
      <c r="PED160" s="92"/>
      <c r="PEE160" s="53"/>
      <c r="PEF160" s="53"/>
      <c r="PEG160" s="66"/>
      <c r="PEH160" s="53"/>
      <c r="PEO160" s="80"/>
      <c r="PEP160" s="80"/>
      <c r="PEQ160" s="80"/>
      <c r="PER160" s="80"/>
      <c r="PES160" s="80"/>
      <c r="PEU160" s="80"/>
      <c r="PEV160" s="178"/>
      <c r="PEW160" s="80"/>
      <c r="PEX160" s="92"/>
      <c r="PEY160" s="53"/>
      <c r="PEZ160" s="53"/>
      <c r="PFA160" s="66"/>
      <c r="PFB160" s="53"/>
      <c r="PFI160" s="80"/>
      <c r="PFJ160" s="80"/>
      <c r="PFK160" s="80"/>
      <c r="PFL160" s="80"/>
      <c r="PFM160" s="80"/>
      <c r="PFO160" s="80"/>
      <c r="PFP160" s="178"/>
      <c r="PFQ160" s="80"/>
      <c r="PFR160" s="92"/>
      <c r="PFS160" s="53"/>
      <c r="PFT160" s="53"/>
      <c r="PFU160" s="66"/>
      <c r="PFV160" s="53"/>
      <c r="PGC160" s="80"/>
      <c r="PGD160" s="80"/>
      <c r="PGE160" s="80"/>
      <c r="PGF160" s="80"/>
      <c r="PGG160" s="80"/>
      <c r="PGI160" s="80"/>
      <c r="PGJ160" s="178"/>
      <c r="PGK160" s="80"/>
      <c r="PGL160" s="92"/>
      <c r="PGM160" s="53"/>
      <c r="PGN160" s="53"/>
      <c r="PGO160" s="66"/>
      <c r="PGP160" s="53"/>
      <c r="PGW160" s="80"/>
      <c r="PGX160" s="80"/>
      <c r="PGY160" s="80"/>
      <c r="PGZ160" s="80"/>
      <c r="PHA160" s="80"/>
      <c r="PHC160" s="80"/>
      <c r="PHD160" s="178"/>
      <c r="PHE160" s="80"/>
      <c r="PHF160" s="92"/>
      <c r="PHG160" s="53"/>
      <c r="PHH160" s="53"/>
      <c r="PHI160" s="66"/>
      <c r="PHJ160" s="53"/>
      <c r="PHQ160" s="80"/>
      <c r="PHR160" s="80"/>
      <c r="PHS160" s="80"/>
      <c r="PHT160" s="80"/>
      <c r="PHU160" s="80"/>
      <c r="PHW160" s="80"/>
      <c r="PHX160" s="178"/>
      <c r="PHY160" s="80"/>
      <c r="PHZ160" s="92"/>
      <c r="PIA160" s="53"/>
      <c r="PIB160" s="53"/>
      <c r="PIC160" s="66"/>
      <c r="PID160" s="53"/>
      <c r="PIK160" s="80"/>
      <c r="PIL160" s="80"/>
      <c r="PIM160" s="80"/>
      <c r="PIN160" s="80"/>
      <c r="PIO160" s="80"/>
      <c r="PIQ160" s="80"/>
      <c r="PIR160" s="178"/>
      <c r="PIS160" s="80"/>
      <c r="PIT160" s="92"/>
      <c r="PIU160" s="53"/>
      <c r="PIV160" s="53"/>
      <c r="PIW160" s="66"/>
      <c r="PIX160" s="53"/>
      <c r="PJE160" s="80"/>
      <c r="PJF160" s="80"/>
      <c r="PJG160" s="80"/>
      <c r="PJH160" s="80"/>
      <c r="PJI160" s="80"/>
      <c r="PJK160" s="80"/>
      <c r="PJL160" s="178"/>
      <c r="PJM160" s="80"/>
      <c r="PJN160" s="92"/>
      <c r="PJO160" s="53"/>
      <c r="PJP160" s="53"/>
      <c r="PJQ160" s="66"/>
      <c r="PJR160" s="53"/>
      <c r="PJY160" s="80"/>
      <c r="PJZ160" s="80"/>
      <c r="PKA160" s="80"/>
      <c r="PKB160" s="80"/>
      <c r="PKC160" s="80"/>
      <c r="PKE160" s="80"/>
      <c r="PKF160" s="178"/>
      <c r="PKG160" s="80"/>
      <c r="PKH160" s="92"/>
      <c r="PKI160" s="53"/>
      <c r="PKJ160" s="53"/>
      <c r="PKK160" s="66"/>
      <c r="PKL160" s="53"/>
      <c r="PKS160" s="80"/>
      <c r="PKT160" s="80"/>
      <c r="PKU160" s="80"/>
      <c r="PKV160" s="80"/>
      <c r="PKW160" s="80"/>
      <c r="PKY160" s="80"/>
      <c r="PKZ160" s="178"/>
      <c r="PLA160" s="80"/>
      <c r="PLB160" s="92"/>
      <c r="PLC160" s="53"/>
      <c r="PLD160" s="53"/>
      <c r="PLE160" s="66"/>
      <c r="PLF160" s="53"/>
      <c r="PLM160" s="80"/>
      <c r="PLN160" s="80"/>
      <c r="PLO160" s="80"/>
      <c r="PLP160" s="80"/>
      <c r="PLQ160" s="80"/>
      <c r="PLS160" s="80"/>
      <c r="PLT160" s="178"/>
      <c r="PLU160" s="80"/>
      <c r="PLV160" s="92"/>
      <c r="PLW160" s="53"/>
      <c r="PLX160" s="53"/>
      <c r="PLY160" s="66"/>
      <c r="PLZ160" s="53"/>
      <c r="PMG160" s="80"/>
      <c r="PMH160" s="80"/>
      <c r="PMI160" s="80"/>
      <c r="PMJ160" s="80"/>
      <c r="PMK160" s="80"/>
      <c r="PMM160" s="80"/>
      <c r="PMN160" s="178"/>
      <c r="PMO160" s="80"/>
      <c r="PMP160" s="92"/>
      <c r="PMQ160" s="53"/>
      <c r="PMR160" s="53"/>
      <c r="PMS160" s="66"/>
      <c r="PMT160" s="53"/>
      <c r="PNA160" s="80"/>
      <c r="PNB160" s="80"/>
      <c r="PNC160" s="80"/>
      <c r="PND160" s="80"/>
      <c r="PNE160" s="80"/>
      <c r="PNG160" s="80"/>
      <c r="PNH160" s="178"/>
      <c r="PNI160" s="80"/>
      <c r="PNJ160" s="92"/>
      <c r="PNK160" s="53"/>
      <c r="PNL160" s="53"/>
      <c r="PNM160" s="66"/>
      <c r="PNN160" s="53"/>
      <c r="PNU160" s="80"/>
      <c r="PNV160" s="80"/>
      <c r="PNW160" s="80"/>
      <c r="PNX160" s="80"/>
      <c r="PNY160" s="80"/>
      <c r="POA160" s="80"/>
      <c r="POB160" s="178"/>
      <c r="POC160" s="80"/>
      <c r="POD160" s="92"/>
      <c r="POE160" s="53"/>
      <c r="POF160" s="53"/>
      <c r="POG160" s="66"/>
      <c r="POH160" s="53"/>
      <c r="POO160" s="80"/>
      <c r="POP160" s="80"/>
      <c r="POQ160" s="80"/>
      <c r="POR160" s="80"/>
      <c r="POS160" s="80"/>
      <c r="POU160" s="80"/>
      <c r="POV160" s="178"/>
      <c r="POW160" s="80"/>
      <c r="POX160" s="92"/>
      <c r="POY160" s="53"/>
      <c r="POZ160" s="53"/>
      <c r="PPA160" s="66"/>
      <c r="PPB160" s="53"/>
      <c r="PPI160" s="80"/>
      <c r="PPJ160" s="80"/>
      <c r="PPK160" s="80"/>
      <c r="PPL160" s="80"/>
      <c r="PPM160" s="80"/>
      <c r="PPO160" s="80"/>
      <c r="PPP160" s="178"/>
      <c r="PPQ160" s="80"/>
      <c r="PPR160" s="92"/>
      <c r="PPS160" s="53"/>
      <c r="PPT160" s="53"/>
      <c r="PPU160" s="66"/>
      <c r="PPV160" s="53"/>
      <c r="PQC160" s="80"/>
      <c r="PQD160" s="80"/>
      <c r="PQE160" s="80"/>
      <c r="PQF160" s="80"/>
      <c r="PQG160" s="80"/>
      <c r="PQI160" s="80"/>
      <c r="PQJ160" s="178"/>
      <c r="PQK160" s="80"/>
      <c r="PQL160" s="92"/>
      <c r="PQM160" s="53"/>
      <c r="PQN160" s="53"/>
      <c r="PQO160" s="66"/>
      <c r="PQP160" s="53"/>
      <c r="PQW160" s="80"/>
      <c r="PQX160" s="80"/>
      <c r="PQY160" s="80"/>
      <c r="PQZ160" s="80"/>
      <c r="PRA160" s="80"/>
      <c r="PRC160" s="80"/>
      <c r="PRD160" s="178"/>
      <c r="PRE160" s="80"/>
      <c r="PRF160" s="92"/>
      <c r="PRG160" s="53"/>
      <c r="PRH160" s="53"/>
      <c r="PRI160" s="66"/>
      <c r="PRJ160" s="53"/>
      <c r="PRQ160" s="80"/>
      <c r="PRR160" s="80"/>
      <c r="PRS160" s="80"/>
      <c r="PRT160" s="80"/>
      <c r="PRU160" s="80"/>
      <c r="PRW160" s="80"/>
      <c r="PRX160" s="178"/>
      <c r="PRY160" s="80"/>
      <c r="PRZ160" s="92"/>
      <c r="PSA160" s="53"/>
      <c r="PSB160" s="53"/>
      <c r="PSC160" s="66"/>
      <c r="PSD160" s="53"/>
      <c r="PSK160" s="80"/>
      <c r="PSL160" s="80"/>
      <c r="PSM160" s="80"/>
      <c r="PSN160" s="80"/>
      <c r="PSO160" s="80"/>
      <c r="PSQ160" s="80"/>
      <c r="PSR160" s="178"/>
      <c r="PSS160" s="80"/>
      <c r="PST160" s="92"/>
      <c r="PSU160" s="53"/>
      <c r="PSV160" s="53"/>
      <c r="PSW160" s="66"/>
      <c r="PSX160" s="53"/>
      <c r="PTE160" s="80"/>
      <c r="PTF160" s="80"/>
      <c r="PTG160" s="80"/>
      <c r="PTH160" s="80"/>
      <c r="PTI160" s="80"/>
      <c r="PTK160" s="80"/>
      <c r="PTL160" s="178"/>
      <c r="PTM160" s="80"/>
      <c r="PTN160" s="92"/>
      <c r="PTO160" s="53"/>
      <c r="PTP160" s="53"/>
      <c r="PTQ160" s="66"/>
      <c r="PTR160" s="53"/>
      <c r="PTY160" s="80"/>
      <c r="PTZ160" s="80"/>
      <c r="PUA160" s="80"/>
      <c r="PUB160" s="80"/>
      <c r="PUC160" s="80"/>
      <c r="PUE160" s="80"/>
      <c r="PUF160" s="178"/>
      <c r="PUG160" s="80"/>
      <c r="PUH160" s="92"/>
      <c r="PUI160" s="53"/>
      <c r="PUJ160" s="53"/>
      <c r="PUK160" s="66"/>
      <c r="PUL160" s="53"/>
      <c r="PUS160" s="80"/>
      <c r="PUT160" s="80"/>
      <c r="PUU160" s="80"/>
      <c r="PUV160" s="80"/>
      <c r="PUW160" s="80"/>
      <c r="PUY160" s="80"/>
      <c r="PUZ160" s="178"/>
      <c r="PVA160" s="80"/>
      <c r="PVB160" s="92"/>
      <c r="PVC160" s="53"/>
      <c r="PVD160" s="53"/>
      <c r="PVE160" s="66"/>
      <c r="PVF160" s="53"/>
      <c r="PVM160" s="80"/>
      <c r="PVN160" s="80"/>
      <c r="PVO160" s="80"/>
      <c r="PVP160" s="80"/>
      <c r="PVQ160" s="80"/>
      <c r="PVS160" s="80"/>
      <c r="PVT160" s="178"/>
      <c r="PVU160" s="80"/>
      <c r="PVV160" s="92"/>
      <c r="PVW160" s="53"/>
      <c r="PVX160" s="53"/>
      <c r="PVY160" s="66"/>
      <c r="PVZ160" s="53"/>
      <c r="PWG160" s="80"/>
      <c r="PWH160" s="80"/>
      <c r="PWI160" s="80"/>
      <c r="PWJ160" s="80"/>
      <c r="PWK160" s="80"/>
      <c r="PWM160" s="80"/>
      <c r="PWN160" s="178"/>
      <c r="PWO160" s="80"/>
      <c r="PWP160" s="92"/>
      <c r="PWQ160" s="53"/>
      <c r="PWR160" s="53"/>
      <c r="PWS160" s="66"/>
      <c r="PWT160" s="53"/>
      <c r="PXA160" s="80"/>
      <c r="PXB160" s="80"/>
      <c r="PXC160" s="80"/>
      <c r="PXD160" s="80"/>
      <c r="PXE160" s="80"/>
      <c r="PXG160" s="80"/>
      <c r="PXH160" s="178"/>
      <c r="PXI160" s="80"/>
      <c r="PXJ160" s="92"/>
      <c r="PXK160" s="53"/>
      <c r="PXL160" s="53"/>
      <c r="PXM160" s="66"/>
      <c r="PXN160" s="53"/>
      <c r="PXU160" s="80"/>
      <c r="PXV160" s="80"/>
      <c r="PXW160" s="80"/>
      <c r="PXX160" s="80"/>
      <c r="PXY160" s="80"/>
      <c r="PYA160" s="80"/>
      <c r="PYB160" s="178"/>
      <c r="PYC160" s="80"/>
      <c r="PYD160" s="92"/>
      <c r="PYE160" s="53"/>
      <c r="PYF160" s="53"/>
      <c r="PYG160" s="66"/>
      <c r="PYH160" s="53"/>
      <c r="PYO160" s="80"/>
      <c r="PYP160" s="80"/>
      <c r="PYQ160" s="80"/>
      <c r="PYR160" s="80"/>
      <c r="PYS160" s="80"/>
      <c r="PYU160" s="80"/>
      <c r="PYV160" s="178"/>
      <c r="PYW160" s="80"/>
      <c r="PYX160" s="92"/>
      <c r="PYY160" s="53"/>
      <c r="PYZ160" s="53"/>
      <c r="PZA160" s="66"/>
      <c r="PZB160" s="53"/>
      <c r="PZI160" s="80"/>
      <c r="PZJ160" s="80"/>
      <c r="PZK160" s="80"/>
      <c r="PZL160" s="80"/>
      <c r="PZM160" s="80"/>
      <c r="PZO160" s="80"/>
      <c r="PZP160" s="178"/>
      <c r="PZQ160" s="80"/>
      <c r="PZR160" s="92"/>
      <c r="PZS160" s="53"/>
      <c r="PZT160" s="53"/>
      <c r="PZU160" s="66"/>
      <c r="PZV160" s="53"/>
      <c r="QAC160" s="80"/>
      <c r="QAD160" s="80"/>
      <c r="QAE160" s="80"/>
      <c r="QAF160" s="80"/>
      <c r="QAG160" s="80"/>
      <c r="QAI160" s="80"/>
      <c r="QAJ160" s="178"/>
      <c r="QAK160" s="80"/>
      <c r="QAL160" s="92"/>
      <c r="QAM160" s="53"/>
      <c r="QAN160" s="53"/>
      <c r="QAO160" s="66"/>
      <c r="QAP160" s="53"/>
      <c r="QAW160" s="80"/>
      <c r="QAX160" s="80"/>
      <c r="QAY160" s="80"/>
      <c r="QAZ160" s="80"/>
      <c r="QBA160" s="80"/>
      <c r="QBC160" s="80"/>
      <c r="QBD160" s="178"/>
      <c r="QBE160" s="80"/>
      <c r="QBF160" s="92"/>
      <c r="QBG160" s="53"/>
      <c r="QBH160" s="53"/>
      <c r="QBI160" s="66"/>
      <c r="QBJ160" s="53"/>
      <c r="QBQ160" s="80"/>
      <c r="QBR160" s="80"/>
      <c r="QBS160" s="80"/>
      <c r="QBT160" s="80"/>
      <c r="QBU160" s="80"/>
      <c r="QBW160" s="80"/>
      <c r="QBX160" s="178"/>
      <c r="QBY160" s="80"/>
      <c r="QBZ160" s="92"/>
      <c r="QCA160" s="53"/>
      <c r="QCB160" s="53"/>
      <c r="QCC160" s="66"/>
      <c r="QCD160" s="53"/>
      <c r="QCK160" s="80"/>
      <c r="QCL160" s="80"/>
      <c r="QCM160" s="80"/>
      <c r="QCN160" s="80"/>
      <c r="QCO160" s="80"/>
      <c r="QCQ160" s="80"/>
      <c r="QCR160" s="178"/>
      <c r="QCS160" s="80"/>
      <c r="QCT160" s="92"/>
      <c r="QCU160" s="53"/>
      <c r="QCV160" s="53"/>
      <c r="QCW160" s="66"/>
      <c r="QCX160" s="53"/>
      <c r="QDE160" s="80"/>
      <c r="QDF160" s="80"/>
      <c r="QDG160" s="80"/>
      <c r="QDH160" s="80"/>
      <c r="QDI160" s="80"/>
      <c r="QDK160" s="80"/>
      <c r="QDL160" s="178"/>
      <c r="QDM160" s="80"/>
      <c r="QDN160" s="92"/>
      <c r="QDO160" s="53"/>
      <c r="QDP160" s="53"/>
      <c r="QDQ160" s="66"/>
      <c r="QDR160" s="53"/>
      <c r="QDY160" s="80"/>
      <c r="QDZ160" s="80"/>
      <c r="QEA160" s="80"/>
      <c r="QEB160" s="80"/>
      <c r="QEC160" s="80"/>
      <c r="QEE160" s="80"/>
      <c r="QEF160" s="178"/>
      <c r="QEG160" s="80"/>
      <c r="QEH160" s="92"/>
      <c r="QEI160" s="53"/>
      <c r="QEJ160" s="53"/>
      <c r="QEK160" s="66"/>
      <c r="QEL160" s="53"/>
      <c r="QES160" s="80"/>
      <c r="QET160" s="80"/>
      <c r="QEU160" s="80"/>
      <c r="QEV160" s="80"/>
      <c r="QEW160" s="80"/>
      <c r="QEY160" s="80"/>
      <c r="QEZ160" s="178"/>
      <c r="QFA160" s="80"/>
      <c r="QFB160" s="92"/>
      <c r="QFC160" s="53"/>
      <c r="QFD160" s="53"/>
      <c r="QFE160" s="66"/>
      <c r="QFF160" s="53"/>
      <c r="QFM160" s="80"/>
      <c r="QFN160" s="80"/>
      <c r="QFO160" s="80"/>
      <c r="QFP160" s="80"/>
      <c r="QFQ160" s="80"/>
      <c r="QFS160" s="80"/>
      <c r="QFT160" s="178"/>
      <c r="QFU160" s="80"/>
      <c r="QFV160" s="92"/>
      <c r="QFW160" s="53"/>
      <c r="QFX160" s="53"/>
      <c r="QFY160" s="66"/>
      <c r="QFZ160" s="53"/>
      <c r="QGG160" s="80"/>
      <c r="QGH160" s="80"/>
      <c r="QGI160" s="80"/>
      <c r="QGJ160" s="80"/>
      <c r="QGK160" s="80"/>
      <c r="QGM160" s="80"/>
      <c r="QGN160" s="178"/>
      <c r="QGO160" s="80"/>
      <c r="QGP160" s="92"/>
      <c r="QGQ160" s="53"/>
      <c r="QGR160" s="53"/>
      <c r="QGS160" s="66"/>
      <c r="QGT160" s="53"/>
      <c r="QHA160" s="80"/>
      <c r="QHB160" s="80"/>
      <c r="QHC160" s="80"/>
      <c r="QHD160" s="80"/>
      <c r="QHE160" s="80"/>
      <c r="QHG160" s="80"/>
      <c r="QHH160" s="178"/>
      <c r="QHI160" s="80"/>
      <c r="QHJ160" s="92"/>
      <c r="QHK160" s="53"/>
      <c r="QHL160" s="53"/>
      <c r="QHM160" s="66"/>
      <c r="QHN160" s="53"/>
      <c r="QHU160" s="80"/>
      <c r="QHV160" s="80"/>
      <c r="QHW160" s="80"/>
      <c r="QHX160" s="80"/>
      <c r="QHY160" s="80"/>
      <c r="QIA160" s="80"/>
      <c r="QIB160" s="178"/>
      <c r="QIC160" s="80"/>
      <c r="QID160" s="92"/>
      <c r="QIE160" s="53"/>
      <c r="QIF160" s="53"/>
      <c r="QIG160" s="66"/>
      <c r="QIH160" s="53"/>
      <c r="QIO160" s="80"/>
      <c r="QIP160" s="80"/>
      <c r="QIQ160" s="80"/>
      <c r="QIR160" s="80"/>
      <c r="QIS160" s="80"/>
      <c r="QIU160" s="80"/>
      <c r="QIV160" s="178"/>
      <c r="QIW160" s="80"/>
      <c r="QIX160" s="92"/>
      <c r="QIY160" s="53"/>
      <c r="QIZ160" s="53"/>
      <c r="QJA160" s="66"/>
      <c r="QJB160" s="53"/>
      <c r="QJI160" s="80"/>
      <c r="QJJ160" s="80"/>
      <c r="QJK160" s="80"/>
      <c r="QJL160" s="80"/>
      <c r="QJM160" s="80"/>
      <c r="QJO160" s="80"/>
      <c r="QJP160" s="178"/>
      <c r="QJQ160" s="80"/>
      <c r="QJR160" s="92"/>
      <c r="QJS160" s="53"/>
      <c r="QJT160" s="53"/>
      <c r="QJU160" s="66"/>
      <c r="QJV160" s="53"/>
      <c r="QKC160" s="80"/>
      <c r="QKD160" s="80"/>
      <c r="QKE160" s="80"/>
      <c r="QKF160" s="80"/>
      <c r="QKG160" s="80"/>
      <c r="QKI160" s="80"/>
      <c r="QKJ160" s="178"/>
      <c r="QKK160" s="80"/>
      <c r="QKL160" s="92"/>
      <c r="QKM160" s="53"/>
      <c r="QKN160" s="53"/>
      <c r="QKO160" s="66"/>
      <c r="QKP160" s="53"/>
      <c r="QKW160" s="80"/>
      <c r="QKX160" s="80"/>
      <c r="QKY160" s="80"/>
      <c r="QKZ160" s="80"/>
      <c r="QLA160" s="80"/>
      <c r="QLC160" s="80"/>
      <c r="QLD160" s="178"/>
      <c r="QLE160" s="80"/>
      <c r="QLF160" s="92"/>
      <c r="QLG160" s="53"/>
      <c r="QLH160" s="53"/>
      <c r="QLI160" s="66"/>
      <c r="QLJ160" s="53"/>
      <c r="QLQ160" s="80"/>
      <c r="QLR160" s="80"/>
      <c r="QLS160" s="80"/>
      <c r="QLT160" s="80"/>
      <c r="QLU160" s="80"/>
      <c r="QLW160" s="80"/>
      <c r="QLX160" s="178"/>
      <c r="QLY160" s="80"/>
      <c r="QLZ160" s="92"/>
      <c r="QMA160" s="53"/>
      <c r="QMB160" s="53"/>
      <c r="QMC160" s="66"/>
      <c r="QMD160" s="53"/>
      <c r="QMK160" s="80"/>
      <c r="QML160" s="80"/>
      <c r="QMM160" s="80"/>
      <c r="QMN160" s="80"/>
      <c r="QMO160" s="80"/>
      <c r="QMQ160" s="80"/>
      <c r="QMR160" s="178"/>
      <c r="QMS160" s="80"/>
      <c r="QMT160" s="92"/>
      <c r="QMU160" s="53"/>
      <c r="QMV160" s="53"/>
      <c r="QMW160" s="66"/>
      <c r="QMX160" s="53"/>
      <c r="QNE160" s="80"/>
      <c r="QNF160" s="80"/>
      <c r="QNG160" s="80"/>
      <c r="QNH160" s="80"/>
      <c r="QNI160" s="80"/>
      <c r="QNK160" s="80"/>
      <c r="QNL160" s="178"/>
      <c r="QNM160" s="80"/>
      <c r="QNN160" s="92"/>
      <c r="QNO160" s="53"/>
      <c r="QNP160" s="53"/>
      <c r="QNQ160" s="66"/>
      <c r="QNR160" s="53"/>
      <c r="QNY160" s="80"/>
      <c r="QNZ160" s="80"/>
      <c r="QOA160" s="80"/>
      <c r="QOB160" s="80"/>
      <c r="QOC160" s="80"/>
      <c r="QOE160" s="80"/>
      <c r="QOF160" s="178"/>
      <c r="QOG160" s="80"/>
      <c r="QOH160" s="92"/>
      <c r="QOI160" s="53"/>
      <c r="QOJ160" s="53"/>
      <c r="QOK160" s="66"/>
      <c r="QOL160" s="53"/>
      <c r="QOS160" s="80"/>
      <c r="QOT160" s="80"/>
      <c r="QOU160" s="80"/>
      <c r="QOV160" s="80"/>
      <c r="QOW160" s="80"/>
      <c r="QOY160" s="80"/>
      <c r="QOZ160" s="178"/>
      <c r="QPA160" s="80"/>
      <c r="QPB160" s="92"/>
      <c r="QPC160" s="53"/>
      <c r="QPD160" s="53"/>
      <c r="QPE160" s="66"/>
      <c r="QPF160" s="53"/>
      <c r="QPM160" s="80"/>
      <c r="QPN160" s="80"/>
      <c r="QPO160" s="80"/>
      <c r="QPP160" s="80"/>
      <c r="QPQ160" s="80"/>
      <c r="QPS160" s="80"/>
      <c r="QPT160" s="178"/>
      <c r="QPU160" s="80"/>
      <c r="QPV160" s="92"/>
      <c r="QPW160" s="53"/>
      <c r="QPX160" s="53"/>
      <c r="QPY160" s="66"/>
      <c r="QPZ160" s="53"/>
      <c r="QQG160" s="80"/>
      <c r="QQH160" s="80"/>
      <c r="QQI160" s="80"/>
      <c r="QQJ160" s="80"/>
      <c r="QQK160" s="80"/>
      <c r="QQM160" s="80"/>
      <c r="QQN160" s="178"/>
      <c r="QQO160" s="80"/>
      <c r="QQP160" s="92"/>
      <c r="QQQ160" s="53"/>
      <c r="QQR160" s="53"/>
      <c r="QQS160" s="66"/>
      <c r="QQT160" s="53"/>
      <c r="QRA160" s="80"/>
      <c r="QRB160" s="80"/>
      <c r="QRC160" s="80"/>
      <c r="QRD160" s="80"/>
      <c r="QRE160" s="80"/>
      <c r="QRG160" s="80"/>
      <c r="QRH160" s="178"/>
      <c r="QRI160" s="80"/>
      <c r="QRJ160" s="92"/>
      <c r="QRK160" s="53"/>
      <c r="QRL160" s="53"/>
      <c r="QRM160" s="66"/>
      <c r="QRN160" s="53"/>
      <c r="QRU160" s="80"/>
      <c r="QRV160" s="80"/>
      <c r="QRW160" s="80"/>
      <c r="QRX160" s="80"/>
      <c r="QRY160" s="80"/>
      <c r="QSA160" s="80"/>
      <c r="QSB160" s="178"/>
      <c r="QSC160" s="80"/>
      <c r="QSD160" s="92"/>
      <c r="QSE160" s="53"/>
      <c r="QSF160" s="53"/>
      <c r="QSG160" s="66"/>
      <c r="QSH160" s="53"/>
      <c r="QSO160" s="80"/>
      <c r="QSP160" s="80"/>
      <c r="QSQ160" s="80"/>
      <c r="QSR160" s="80"/>
      <c r="QSS160" s="80"/>
      <c r="QSU160" s="80"/>
      <c r="QSV160" s="178"/>
      <c r="QSW160" s="80"/>
      <c r="QSX160" s="92"/>
      <c r="QSY160" s="53"/>
      <c r="QSZ160" s="53"/>
      <c r="QTA160" s="66"/>
      <c r="QTB160" s="53"/>
      <c r="QTI160" s="80"/>
      <c r="QTJ160" s="80"/>
      <c r="QTK160" s="80"/>
      <c r="QTL160" s="80"/>
      <c r="QTM160" s="80"/>
      <c r="QTO160" s="80"/>
      <c r="QTP160" s="178"/>
      <c r="QTQ160" s="80"/>
      <c r="QTR160" s="92"/>
      <c r="QTS160" s="53"/>
      <c r="QTT160" s="53"/>
      <c r="QTU160" s="66"/>
      <c r="QTV160" s="53"/>
      <c r="QUC160" s="80"/>
      <c r="QUD160" s="80"/>
      <c r="QUE160" s="80"/>
      <c r="QUF160" s="80"/>
      <c r="QUG160" s="80"/>
      <c r="QUI160" s="80"/>
      <c r="QUJ160" s="178"/>
      <c r="QUK160" s="80"/>
      <c r="QUL160" s="92"/>
      <c r="QUM160" s="53"/>
      <c r="QUN160" s="53"/>
      <c r="QUO160" s="66"/>
      <c r="QUP160" s="53"/>
      <c r="QUW160" s="80"/>
      <c r="QUX160" s="80"/>
      <c r="QUY160" s="80"/>
      <c r="QUZ160" s="80"/>
      <c r="QVA160" s="80"/>
      <c r="QVC160" s="80"/>
      <c r="QVD160" s="178"/>
      <c r="QVE160" s="80"/>
      <c r="QVF160" s="92"/>
      <c r="QVG160" s="53"/>
      <c r="QVH160" s="53"/>
      <c r="QVI160" s="66"/>
      <c r="QVJ160" s="53"/>
      <c r="QVQ160" s="80"/>
      <c r="QVR160" s="80"/>
      <c r="QVS160" s="80"/>
      <c r="QVT160" s="80"/>
      <c r="QVU160" s="80"/>
      <c r="QVW160" s="80"/>
      <c r="QVX160" s="178"/>
      <c r="QVY160" s="80"/>
      <c r="QVZ160" s="92"/>
      <c r="QWA160" s="53"/>
      <c r="QWB160" s="53"/>
      <c r="QWC160" s="66"/>
      <c r="QWD160" s="53"/>
      <c r="QWK160" s="80"/>
      <c r="QWL160" s="80"/>
      <c r="QWM160" s="80"/>
      <c r="QWN160" s="80"/>
      <c r="QWO160" s="80"/>
      <c r="QWQ160" s="80"/>
      <c r="QWR160" s="178"/>
      <c r="QWS160" s="80"/>
      <c r="QWT160" s="92"/>
      <c r="QWU160" s="53"/>
      <c r="QWV160" s="53"/>
      <c r="QWW160" s="66"/>
      <c r="QWX160" s="53"/>
      <c r="QXE160" s="80"/>
      <c r="QXF160" s="80"/>
      <c r="QXG160" s="80"/>
      <c r="QXH160" s="80"/>
      <c r="QXI160" s="80"/>
      <c r="QXK160" s="80"/>
      <c r="QXL160" s="178"/>
      <c r="QXM160" s="80"/>
      <c r="QXN160" s="92"/>
      <c r="QXO160" s="53"/>
      <c r="QXP160" s="53"/>
      <c r="QXQ160" s="66"/>
      <c r="QXR160" s="53"/>
      <c r="QXY160" s="80"/>
      <c r="QXZ160" s="80"/>
      <c r="QYA160" s="80"/>
      <c r="QYB160" s="80"/>
      <c r="QYC160" s="80"/>
      <c r="QYE160" s="80"/>
      <c r="QYF160" s="178"/>
      <c r="QYG160" s="80"/>
      <c r="QYH160" s="92"/>
      <c r="QYI160" s="53"/>
      <c r="QYJ160" s="53"/>
      <c r="QYK160" s="66"/>
      <c r="QYL160" s="53"/>
      <c r="QYS160" s="80"/>
      <c r="QYT160" s="80"/>
      <c r="QYU160" s="80"/>
      <c r="QYV160" s="80"/>
      <c r="QYW160" s="80"/>
      <c r="QYY160" s="80"/>
      <c r="QYZ160" s="178"/>
      <c r="QZA160" s="80"/>
      <c r="QZB160" s="92"/>
      <c r="QZC160" s="53"/>
      <c r="QZD160" s="53"/>
      <c r="QZE160" s="66"/>
      <c r="QZF160" s="53"/>
      <c r="QZM160" s="80"/>
      <c r="QZN160" s="80"/>
      <c r="QZO160" s="80"/>
      <c r="QZP160" s="80"/>
      <c r="QZQ160" s="80"/>
      <c r="QZS160" s="80"/>
      <c r="QZT160" s="178"/>
      <c r="QZU160" s="80"/>
      <c r="QZV160" s="92"/>
      <c r="QZW160" s="53"/>
      <c r="QZX160" s="53"/>
      <c r="QZY160" s="66"/>
      <c r="QZZ160" s="53"/>
      <c r="RAG160" s="80"/>
      <c r="RAH160" s="80"/>
      <c r="RAI160" s="80"/>
      <c r="RAJ160" s="80"/>
      <c r="RAK160" s="80"/>
      <c r="RAM160" s="80"/>
      <c r="RAN160" s="178"/>
      <c r="RAO160" s="80"/>
      <c r="RAP160" s="92"/>
      <c r="RAQ160" s="53"/>
      <c r="RAR160" s="53"/>
      <c r="RAS160" s="66"/>
      <c r="RAT160" s="53"/>
      <c r="RBA160" s="80"/>
      <c r="RBB160" s="80"/>
      <c r="RBC160" s="80"/>
      <c r="RBD160" s="80"/>
      <c r="RBE160" s="80"/>
      <c r="RBG160" s="80"/>
      <c r="RBH160" s="178"/>
      <c r="RBI160" s="80"/>
      <c r="RBJ160" s="92"/>
      <c r="RBK160" s="53"/>
      <c r="RBL160" s="53"/>
      <c r="RBM160" s="66"/>
      <c r="RBN160" s="53"/>
      <c r="RBU160" s="80"/>
      <c r="RBV160" s="80"/>
      <c r="RBW160" s="80"/>
      <c r="RBX160" s="80"/>
      <c r="RBY160" s="80"/>
      <c r="RCA160" s="80"/>
      <c r="RCB160" s="178"/>
      <c r="RCC160" s="80"/>
      <c r="RCD160" s="92"/>
      <c r="RCE160" s="53"/>
      <c r="RCF160" s="53"/>
      <c r="RCG160" s="66"/>
      <c r="RCH160" s="53"/>
      <c r="RCO160" s="80"/>
      <c r="RCP160" s="80"/>
      <c r="RCQ160" s="80"/>
      <c r="RCR160" s="80"/>
      <c r="RCS160" s="80"/>
      <c r="RCU160" s="80"/>
      <c r="RCV160" s="178"/>
      <c r="RCW160" s="80"/>
      <c r="RCX160" s="92"/>
      <c r="RCY160" s="53"/>
      <c r="RCZ160" s="53"/>
      <c r="RDA160" s="66"/>
      <c r="RDB160" s="53"/>
      <c r="RDI160" s="80"/>
      <c r="RDJ160" s="80"/>
      <c r="RDK160" s="80"/>
      <c r="RDL160" s="80"/>
      <c r="RDM160" s="80"/>
      <c r="RDO160" s="80"/>
      <c r="RDP160" s="178"/>
      <c r="RDQ160" s="80"/>
      <c r="RDR160" s="92"/>
      <c r="RDS160" s="53"/>
      <c r="RDT160" s="53"/>
      <c r="RDU160" s="66"/>
      <c r="RDV160" s="53"/>
      <c r="REC160" s="80"/>
      <c r="RED160" s="80"/>
      <c r="REE160" s="80"/>
      <c r="REF160" s="80"/>
      <c r="REG160" s="80"/>
      <c r="REI160" s="80"/>
      <c r="REJ160" s="178"/>
      <c r="REK160" s="80"/>
      <c r="REL160" s="92"/>
      <c r="REM160" s="53"/>
      <c r="REN160" s="53"/>
      <c r="REO160" s="66"/>
      <c r="REP160" s="53"/>
      <c r="REW160" s="80"/>
      <c r="REX160" s="80"/>
      <c r="REY160" s="80"/>
      <c r="REZ160" s="80"/>
      <c r="RFA160" s="80"/>
      <c r="RFC160" s="80"/>
      <c r="RFD160" s="178"/>
      <c r="RFE160" s="80"/>
      <c r="RFF160" s="92"/>
      <c r="RFG160" s="53"/>
      <c r="RFH160" s="53"/>
      <c r="RFI160" s="66"/>
      <c r="RFJ160" s="53"/>
      <c r="RFQ160" s="80"/>
      <c r="RFR160" s="80"/>
      <c r="RFS160" s="80"/>
      <c r="RFT160" s="80"/>
      <c r="RFU160" s="80"/>
      <c r="RFW160" s="80"/>
      <c r="RFX160" s="178"/>
      <c r="RFY160" s="80"/>
      <c r="RFZ160" s="92"/>
      <c r="RGA160" s="53"/>
      <c r="RGB160" s="53"/>
      <c r="RGC160" s="66"/>
      <c r="RGD160" s="53"/>
      <c r="RGK160" s="80"/>
      <c r="RGL160" s="80"/>
      <c r="RGM160" s="80"/>
      <c r="RGN160" s="80"/>
      <c r="RGO160" s="80"/>
      <c r="RGQ160" s="80"/>
      <c r="RGR160" s="178"/>
      <c r="RGS160" s="80"/>
      <c r="RGT160" s="92"/>
      <c r="RGU160" s="53"/>
      <c r="RGV160" s="53"/>
      <c r="RGW160" s="66"/>
      <c r="RGX160" s="53"/>
      <c r="RHE160" s="80"/>
      <c r="RHF160" s="80"/>
      <c r="RHG160" s="80"/>
      <c r="RHH160" s="80"/>
      <c r="RHI160" s="80"/>
      <c r="RHK160" s="80"/>
      <c r="RHL160" s="178"/>
      <c r="RHM160" s="80"/>
      <c r="RHN160" s="92"/>
      <c r="RHO160" s="53"/>
      <c r="RHP160" s="53"/>
      <c r="RHQ160" s="66"/>
      <c r="RHR160" s="53"/>
      <c r="RHY160" s="80"/>
      <c r="RHZ160" s="80"/>
      <c r="RIA160" s="80"/>
      <c r="RIB160" s="80"/>
      <c r="RIC160" s="80"/>
      <c r="RIE160" s="80"/>
      <c r="RIF160" s="178"/>
      <c r="RIG160" s="80"/>
      <c r="RIH160" s="92"/>
      <c r="RII160" s="53"/>
      <c r="RIJ160" s="53"/>
      <c r="RIK160" s="66"/>
      <c r="RIL160" s="53"/>
      <c r="RIS160" s="80"/>
      <c r="RIT160" s="80"/>
      <c r="RIU160" s="80"/>
      <c r="RIV160" s="80"/>
      <c r="RIW160" s="80"/>
      <c r="RIY160" s="80"/>
      <c r="RIZ160" s="178"/>
      <c r="RJA160" s="80"/>
      <c r="RJB160" s="92"/>
      <c r="RJC160" s="53"/>
      <c r="RJD160" s="53"/>
      <c r="RJE160" s="66"/>
      <c r="RJF160" s="53"/>
      <c r="RJM160" s="80"/>
      <c r="RJN160" s="80"/>
      <c r="RJO160" s="80"/>
      <c r="RJP160" s="80"/>
      <c r="RJQ160" s="80"/>
      <c r="RJS160" s="80"/>
      <c r="RJT160" s="178"/>
      <c r="RJU160" s="80"/>
      <c r="RJV160" s="92"/>
      <c r="RJW160" s="53"/>
      <c r="RJX160" s="53"/>
      <c r="RJY160" s="66"/>
      <c r="RJZ160" s="53"/>
      <c r="RKG160" s="80"/>
      <c r="RKH160" s="80"/>
      <c r="RKI160" s="80"/>
      <c r="RKJ160" s="80"/>
      <c r="RKK160" s="80"/>
      <c r="RKM160" s="80"/>
      <c r="RKN160" s="178"/>
      <c r="RKO160" s="80"/>
      <c r="RKP160" s="92"/>
      <c r="RKQ160" s="53"/>
      <c r="RKR160" s="53"/>
      <c r="RKS160" s="66"/>
      <c r="RKT160" s="53"/>
      <c r="RLA160" s="80"/>
      <c r="RLB160" s="80"/>
      <c r="RLC160" s="80"/>
      <c r="RLD160" s="80"/>
      <c r="RLE160" s="80"/>
      <c r="RLG160" s="80"/>
      <c r="RLH160" s="178"/>
      <c r="RLI160" s="80"/>
      <c r="RLJ160" s="92"/>
      <c r="RLK160" s="53"/>
      <c r="RLL160" s="53"/>
      <c r="RLM160" s="66"/>
      <c r="RLN160" s="53"/>
      <c r="RLU160" s="80"/>
      <c r="RLV160" s="80"/>
      <c r="RLW160" s="80"/>
      <c r="RLX160" s="80"/>
      <c r="RLY160" s="80"/>
      <c r="RMA160" s="80"/>
      <c r="RMB160" s="178"/>
      <c r="RMC160" s="80"/>
      <c r="RMD160" s="92"/>
      <c r="RME160" s="53"/>
      <c r="RMF160" s="53"/>
      <c r="RMG160" s="66"/>
      <c r="RMH160" s="53"/>
      <c r="RMO160" s="80"/>
      <c r="RMP160" s="80"/>
      <c r="RMQ160" s="80"/>
      <c r="RMR160" s="80"/>
      <c r="RMS160" s="80"/>
      <c r="RMU160" s="80"/>
      <c r="RMV160" s="178"/>
      <c r="RMW160" s="80"/>
      <c r="RMX160" s="92"/>
      <c r="RMY160" s="53"/>
      <c r="RMZ160" s="53"/>
      <c r="RNA160" s="66"/>
      <c r="RNB160" s="53"/>
      <c r="RNI160" s="80"/>
      <c r="RNJ160" s="80"/>
      <c r="RNK160" s="80"/>
      <c r="RNL160" s="80"/>
      <c r="RNM160" s="80"/>
      <c r="RNO160" s="80"/>
      <c r="RNP160" s="178"/>
      <c r="RNQ160" s="80"/>
      <c r="RNR160" s="92"/>
      <c r="RNS160" s="53"/>
      <c r="RNT160" s="53"/>
      <c r="RNU160" s="66"/>
      <c r="RNV160" s="53"/>
      <c r="ROC160" s="80"/>
      <c r="ROD160" s="80"/>
      <c r="ROE160" s="80"/>
      <c r="ROF160" s="80"/>
      <c r="ROG160" s="80"/>
      <c r="ROI160" s="80"/>
      <c r="ROJ160" s="178"/>
      <c r="ROK160" s="80"/>
      <c r="ROL160" s="92"/>
      <c r="ROM160" s="53"/>
      <c r="RON160" s="53"/>
      <c r="ROO160" s="66"/>
      <c r="ROP160" s="53"/>
      <c r="ROW160" s="80"/>
      <c r="ROX160" s="80"/>
      <c r="ROY160" s="80"/>
      <c r="ROZ160" s="80"/>
      <c r="RPA160" s="80"/>
      <c r="RPC160" s="80"/>
      <c r="RPD160" s="178"/>
      <c r="RPE160" s="80"/>
      <c r="RPF160" s="92"/>
      <c r="RPG160" s="53"/>
      <c r="RPH160" s="53"/>
      <c r="RPI160" s="66"/>
      <c r="RPJ160" s="53"/>
      <c r="RPQ160" s="80"/>
      <c r="RPR160" s="80"/>
      <c r="RPS160" s="80"/>
      <c r="RPT160" s="80"/>
      <c r="RPU160" s="80"/>
      <c r="RPW160" s="80"/>
      <c r="RPX160" s="178"/>
      <c r="RPY160" s="80"/>
      <c r="RPZ160" s="92"/>
      <c r="RQA160" s="53"/>
      <c r="RQB160" s="53"/>
      <c r="RQC160" s="66"/>
      <c r="RQD160" s="53"/>
      <c r="RQK160" s="80"/>
      <c r="RQL160" s="80"/>
      <c r="RQM160" s="80"/>
      <c r="RQN160" s="80"/>
      <c r="RQO160" s="80"/>
      <c r="RQQ160" s="80"/>
      <c r="RQR160" s="178"/>
      <c r="RQS160" s="80"/>
      <c r="RQT160" s="92"/>
      <c r="RQU160" s="53"/>
      <c r="RQV160" s="53"/>
      <c r="RQW160" s="66"/>
      <c r="RQX160" s="53"/>
      <c r="RRE160" s="80"/>
      <c r="RRF160" s="80"/>
      <c r="RRG160" s="80"/>
      <c r="RRH160" s="80"/>
      <c r="RRI160" s="80"/>
      <c r="RRK160" s="80"/>
      <c r="RRL160" s="178"/>
      <c r="RRM160" s="80"/>
      <c r="RRN160" s="92"/>
      <c r="RRO160" s="53"/>
      <c r="RRP160" s="53"/>
      <c r="RRQ160" s="66"/>
      <c r="RRR160" s="53"/>
      <c r="RRY160" s="80"/>
      <c r="RRZ160" s="80"/>
      <c r="RSA160" s="80"/>
      <c r="RSB160" s="80"/>
      <c r="RSC160" s="80"/>
      <c r="RSE160" s="80"/>
      <c r="RSF160" s="178"/>
      <c r="RSG160" s="80"/>
      <c r="RSH160" s="92"/>
      <c r="RSI160" s="53"/>
      <c r="RSJ160" s="53"/>
      <c r="RSK160" s="66"/>
      <c r="RSL160" s="53"/>
      <c r="RSS160" s="80"/>
      <c r="RST160" s="80"/>
      <c r="RSU160" s="80"/>
      <c r="RSV160" s="80"/>
      <c r="RSW160" s="80"/>
      <c r="RSY160" s="80"/>
      <c r="RSZ160" s="178"/>
      <c r="RTA160" s="80"/>
      <c r="RTB160" s="92"/>
      <c r="RTC160" s="53"/>
      <c r="RTD160" s="53"/>
      <c r="RTE160" s="66"/>
      <c r="RTF160" s="53"/>
      <c r="RTM160" s="80"/>
      <c r="RTN160" s="80"/>
      <c r="RTO160" s="80"/>
      <c r="RTP160" s="80"/>
      <c r="RTQ160" s="80"/>
      <c r="RTS160" s="80"/>
      <c r="RTT160" s="178"/>
      <c r="RTU160" s="80"/>
      <c r="RTV160" s="92"/>
      <c r="RTW160" s="53"/>
      <c r="RTX160" s="53"/>
      <c r="RTY160" s="66"/>
      <c r="RTZ160" s="53"/>
      <c r="RUG160" s="80"/>
      <c r="RUH160" s="80"/>
      <c r="RUI160" s="80"/>
      <c r="RUJ160" s="80"/>
      <c r="RUK160" s="80"/>
      <c r="RUM160" s="80"/>
      <c r="RUN160" s="178"/>
      <c r="RUO160" s="80"/>
      <c r="RUP160" s="92"/>
      <c r="RUQ160" s="53"/>
      <c r="RUR160" s="53"/>
      <c r="RUS160" s="66"/>
      <c r="RUT160" s="53"/>
      <c r="RVA160" s="80"/>
      <c r="RVB160" s="80"/>
      <c r="RVC160" s="80"/>
      <c r="RVD160" s="80"/>
      <c r="RVE160" s="80"/>
      <c r="RVG160" s="80"/>
      <c r="RVH160" s="178"/>
      <c r="RVI160" s="80"/>
      <c r="RVJ160" s="92"/>
      <c r="RVK160" s="53"/>
      <c r="RVL160" s="53"/>
      <c r="RVM160" s="66"/>
      <c r="RVN160" s="53"/>
      <c r="RVU160" s="80"/>
      <c r="RVV160" s="80"/>
      <c r="RVW160" s="80"/>
      <c r="RVX160" s="80"/>
      <c r="RVY160" s="80"/>
      <c r="RWA160" s="80"/>
      <c r="RWB160" s="178"/>
      <c r="RWC160" s="80"/>
      <c r="RWD160" s="92"/>
      <c r="RWE160" s="53"/>
      <c r="RWF160" s="53"/>
      <c r="RWG160" s="66"/>
      <c r="RWH160" s="53"/>
      <c r="RWO160" s="80"/>
      <c r="RWP160" s="80"/>
      <c r="RWQ160" s="80"/>
      <c r="RWR160" s="80"/>
      <c r="RWS160" s="80"/>
      <c r="RWU160" s="80"/>
      <c r="RWV160" s="178"/>
      <c r="RWW160" s="80"/>
      <c r="RWX160" s="92"/>
      <c r="RWY160" s="53"/>
      <c r="RWZ160" s="53"/>
      <c r="RXA160" s="66"/>
      <c r="RXB160" s="53"/>
      <c r="RXI160" s="80"/>
      <c r="RXJ160" s="80"/>
      <c r="RXK160" s="80"/>
      <c r="RXL160" s="80"/>
      <c r="RXM160" s="80"/>
      <c r="RXO160" s="80"/>
      <c r="RXP160" s="178"/>
      <c r="RXQ160" s="80"/>
      <c r="RXR160" s="92"/>
      <c r="RXS160" s="53"/>
      <c r="RXT160" s="53"/>
      <c r="RXU160" s="66"/>
      <c r="RXV160" s="53"/>
      <c r="RYC160" s="80"/>
      <c r="RYD160" s="80"/>
      <c r="RYE160" s="80"/>
      <c r="RYF160" s="80"/>
      <c r="RYG160" s="80"/>
      <c r="RYI160" s="80"/>
      <c r="RYJ160" s="178"/>
      <c r="RYK160" s="80"/>
      <c r="RYL160" s="92"/>
      <c r="RYM160" s="53"/>
      <c r="RYN160" s="53"/>
      <c r="RYO160" s="66"/>
      <c r="RYP160" s="53"/>
      <c r="RYW160" s="80"/>
      <c r="RYX160" s="80"/>
      <c r="RYY160" s="80"/>
      <c r="RYZ160" s="80"/>
      <c r="RZA160" s="80"/>
      <c r="RZC160" s="80"/>
      <c r="RZD160" s="178"/>
      <c r="RZE160" s="80"/>
      <c r="RZF160" s="92"/>
      <c r="RZG160" s="53"/>
      <c r="RZH160" s="53"/>
      <c r="RZI160" s="66"/>
      <c r="RZJ160" s="53"/>
      <c r="RZQ160" s="80"/>
      <c r="RZR160" s="80"/>
      <c r="RZS160" s="80"/>
      <c r="RZT160" s="80"/>
      <c r="RZU160" s="80"/>
      <c r="RZW160" s="80"/>
      <c r="RZX160" s="178"/>
      <c r="RZY160" s="80"/>
      <c r="RZZ160" s="92"/>
      <c r="SAA160" s="53"/>
      <c r="SAB160" s="53"/>
      <c r="SAC160" s="66"/>
      <c r="SAD160" s="53"/>
      <c r="SAK160" s="80"/>
      <c r="SAL160" s="80"/>
      <c r="SAM160" s="80"/>
      <c r="SAN160" s="80"/>
      <c r="SAO160" s="80"/>
      <c r="SAQ160" s="80"/>
      <c r="SAR160" s="178"/>
      <c r="SAS160" s="80"/>
      <c r="SAT160" s="92"/>
      <c r="SAU160" s="53"/>
      <c r="SAV160" s="53"/>
      <c r="SAW160" s="66"/>
      <c r="SAX160" s="53"/>
      <c r="SBE160" s="80"/>
      <c r="SBF160" s="80"/>
      <c r="SBG160" s="80"/>
      <c r="SBH160" s="80"/>
      <c r="SBI160" s="80"/>
      <c r="SBK160" s="80"/>
      <c r="SBL160" s="178"/>
      <c r="SBM160" s="80"/>
      <c r="SBN160" s="92"/>
      <c r="SBO160" s="53"/>
      <c r="SBP160" s="53"/>
      <c r="SBQ160" s="66"/>
      <c r="SBR160" s="53"/>
      <c r="SBY160" s="80"/>
      <c r="SBZ160" s="80"/>
      <c r="SCA160" s="80"/>
      <c r="SCB160" s="80"/>
      <c r="SCC160" s="80"/>
      <c r="SCE160" s="80"/>
      <c r="SCF160" s="178"/>
      <c r="SCG160" s="80"/>
      <c r="SCH160" s="92"/>
      <c r="SCI160" s="53"/>
      <c r="SCJ160" s="53"/>
      <c r="SCK160" s="66"/>
      <c r="SCL160" s="53"/>
      <c r="SCS160" s="80"/>
      <c r="SCT160" s="80"/>
      <c r="SCU160" s="80"/>
      <c r="SCV160" s="80"/>
      <c r="SCW160" s="80"/>
      <c r="SCY160" s="80"/>
      <c r="SCZ160" s="178"/>
      <c r="SDA160" s="80"/>
      <c r="SDB160" s="92"/>
      <c r="SDC160" s="53"/>
      <c r="SDD160" s="53"/>
      <c r="SDE160" s="66"/>
      <c r="SDF160" s="53"/>
      <c r="SDM160" s="80"/>
      <c r="SDN160" s="80"/>
      <c r="SDO160" s="80"/>
      <c r="SDP160" s="80"/>
      <c r="SDQ160" s="80"/>
      <c r="SDS160" s="80"/>
      <c r="SDT160" s="178"/>
      <c r="SDU160" s="80"/>
      <c r="SDV160" s="92"/>
      <c r="SDW160" s="53"/>
      <c r="SDX160" s="53"/>
      <c r="SDY160" s="66"/>
      <c r="SDZ160" s="53"/>
      <c r="SEG160" s="80"/>
      <c r="SEH160" s="80"/>
      <c r="SEI160" s="80"/>
      <c r="SEJ160" s="80"/>
      <c r="SEK160" s="80"/>
      <c r="SEM160" s="80"/>
      <c r="SEN160" s="178"/>
      <c r="SEO160" s="80"/>
      <c r="SEP160" s="92"/>
      <c r="SEQ160" s="53"/>
      <c r="SER160" s="53"/>
      <c r="SES160" s="66"/>
      <c r="SET160" s="53"/>
      <c r="SFA160" s="80"/>
      <c r="SFB160" s="80"/>
      <c r="SFC160" s="80"/>
      <c r="SFD160" s="80"/>
      <c r="SFE160" s="80"/>
      <c r="SFG160" s="80"/>
      <c r="SFH160" s="178"/>
      <c r="SFI160" s="80"/>
      <c r="SFJ160" s="92"/>
      <c r="SFK160" s="53"/>
      <c r="SFL160" s="53"/>
      <c r="SFM160" s="66"/>
      <c r="SFN160" s="53"/>
      <c r="SFU160" s="80"/>
      <c r="SFV160" s="80"/>
      <c r="SFW160" s="80"/>
      <c r="SFX160" s="80"/>
      <c r="SFY160" s="80"/>
      <c r="SGA160" s="80"/>
      <c r="SGB160" s="178"/>
      <c r="SGC160" s="80"/>
      <c r="SGD160" s="92"/>
      <c r="SGE160" s="53"/>
      <c r="SGF160" s="53"/>
      <c r="SGG160" s="66"/>
      <c r="SGH160" s="53"/>
      <c r="SGO160" s="80"/>
      <c r="SGP160" s="80"/>
      <c r="SGQ160" s="80"/>
      <c r="SGR160" s="80"/>
      <c r="SGS160" s="80"/>
      <c r="SGU160" s="80"/>
      <c r="SGV160" s="178"/>
      <c r="SGW160" s="80"/>
      <c r="SGX160" s="92"/>
      <c r="SGY160" s="53"/>
      <c r="SGZ160" s="53"/>
      <c r="SHA160" s="66"/>
      <c r="SHB160" s="53"/>
      <c r="SHI160" s="80"/>
      <c r="SHJ160" s="80"/>
      <c r="SHK160" s="80"/>
      <c r="SHL160" s="80"/>
      <c r="SHM160" s="80"/>
      <c r="SHO160" s="80"/>
      <c r="SHP160" s="178"/>
      <c r="SHQ160" s="80"/>
      <c r="SHR160" s="92"/>
      <c r="SHS160" s="53"/>
      <c r="SHT160" s="53"/>
      <c r="SHU160" s="66"/>
      <c r="SHV160" s="53"/>
      <c r="SIC160" s="80"/>
      <c r="SID160" s="80"/>
      <c r="SIE160" s="80"/>
      <c r="SIF160" s="80"/>
      <c r="SIG160" s="80"/>
      <c r="SII160" s="80"/>
      <c r="SIJ160" s="178"/>
      <c r="SIK160" s="80"/>
      <c r="SIL160" s="92"/>
      <c r="SIM160" s="53"/>
      <c r="SIN160" s="53"/>
      <c r="SIO160" s="66"/>
      <c r="SIP160" s="53"/>
      <c r="SIW160" s="80"/>
      <c r="SIX160" s="80"/>
      <c r="SIY160" s="80"/>
      <c r="SIZ160" s="80"/>
      <c r="SJA160" s="80"/>
      <c r="SJC160" s="80"/>
      <c r="SJD160" s="178"/>
      <c r="SJE160" s="80"/>
      <c r="SJF160" s="92"/>
      <c r="SJG160" s="53"/>
      <c r="SJH160" s="53"/>
      <c r="SJI160" s="66"/>
      <c r="SJJ160" s="53"/>
      <c r="SJQ160" s="80"/>
      <c r="SJR160" s="80"/>
      <c r="SJS160" s="80"/>
      <c r="SJT160" s="80"/>
      <c r="SJU160" s="80"/>
      <c r="SJW160" s="80"/>
      <c r="SJX160" s="178"/>
      <c r="SJY160" s="80"/>
      <c r="SJZ160" s="92"/>
      <c r="SKA160" s="53"/>
      <c r="SKB160" s="53"/>
      <c r="SKC160" s="66"/>
      <c r="SKD160" s="53"/>
      <c r="SKK160" s="80"/>
      <c r="SKL160" s="80"/>
      <c r="SKM160" s="80"/>
      <c r="SKN160" s="80"/>
      <c r="SKO160" s="80"/>
      <c r="SKQ160" s="80"/>
      <c r="SKR160" s="178"/>
      <c r="SKS160" s="80"/>
      <c r="SKT160" s="92"/>
      <c r="SKU160" s="53"/>
      <c r="SKV160" s="53"/>
      <c r="SKW160" s="66"/>
      <c r="SKX160" s="53"/>
      <c r="SLE160" s="80"/>
      <c r="SLF160" s="80"/>
      <c r="SLG160" s="80"/>
      <c r="SLH160" s="80"/>
      <c r="SLI160" s="80"/>
      <c r="SLK160" s="80"/>
      <c r="SLL160" s="178"/>
      <c r="SLM160" s="80"/>
      <c r="SLN160" s="92"/>
      <c r="SLO160" s="53"/>
      <c r="SLP160" s="53"/>
      <c r="SLQ160" s="66"/>
      <c r="SLR160" s="53"/>
      <c r="SLY160" s="80"/>
      <c r="SLZ160" s="80"/>
      <c r="SMA160" s="80"/>
      <c r="SMB160" s="80"/>
      <c r="SMC160" s="80"/>
      <c r="SME160" s="80"/>
      <c r="SMF160" s="178"/>
      <c r="SMG160" s="80"/>
      <c r="SMH160" s="92"/>
      <c r="SMI160" s="53"/>
      <c r="SMJ160" s="53"/>
      <c r="SMK160" s="66"/>
      <c r="SML160" s="53"/>
      <c r="SMS160" s="80"/>
      <c r="SMT160" s="80"/>
      <c r="SMU160" s="80"/>
      <c r="SMV160" s="80"/>
      <c r="SMW160" s="80"/>
      <c r="SMY160" s="80"/>
      <c r="SMZ160" s="178"/>
      <c r="SNA160" s="80"/>
      <c r="SNB160" s="92"/>
      <c r="SNC160" s="53"/>
      <c r="SND160" s="53"/>
      <c r="SNE160" s="66"/>
      <c r="SNF160" s="53"/>
      <c r="SNM160" s="80"/>
      <c r="SNN160" s="80"/>
      <c r="SNO160" s="80"/>
      <c r="SNP160" s="80"/>
      <c r="SNQ160" s="80"/>
      <c r="SNS160" s="80"/>
      <c r="SNT160" s="178"/>
      <c r="SNU160" s="80"/>
      <c r="SNV160" s="92"/>
      <c r="SNW160" s="53"/>
      <c r="SNX160" s="53"/>
      <c r="SNY160" s="66"/>
      <c r="SNZ160" s="53"/>
      <c r="SOG160" s="80"/>
      <c r="SOH160" s="80"/>
      <c r="SOI160" s="80"/>
      <c r="SOJ160" s="80"/>
      <c r="SOK160" s="80"/>
      <c r="SOM160" s="80"/>
      <c r="SON160" s="178"/>
      <c r="SOO160" s="80"/>
      <c r="SOP160" s="92"/>
      <c r="SOQ160" s="53"/>
      <c r="SOR160" s="53"/>
      <c r="SOS160" s="66"/>
      <c r="SOT160" s="53"/>
      <c r="SPA160" s="80"/>
      <c r="SPB160" s="80"/>
      <c r="SPC160" s="80"/>
      <c r="SPD160" s="80"/>
      <c r="SPE160" s="80"/>
      <c r="SPG160" s="80"/>
      <c r="SPH160" s="178"/>
      <c r="SPI160" s="80"/>
      <c r="SPJ160" s="92"/>
      <c r="SPK160" s="53"/>
      <c r="SPL160" s="53"/>
      <c r="SPM160" s="66"/>
      <c r="SPN160" s="53"/>
      <c r="SPU160" s="80"/>
      <c r="SPV160" s="80"/>
      <c r="SPW160" s="80"/>
      <c r="SPX160" s="80"/>
      <c r="SPY160" s="80"/>
      <c r="SQA160" s="80"/>
      <c r="SQB160" s="178"/>
      <c r="SQC160" s="80"/>
      <c r="SQD160" s="92"/>
      <c r="SQE160" s="53"/>
      <c r="SQF160" s="53"/>
      <c r="SQG160" s="66"/>
      <c r="SQH160" s="53"/>
      <c r="SQO160" s="80"/>
      <c r="SQP160" s="80"/>
      <c r="SQQ160" s="80"/>
      <c r="SQR160" s="80"/>
      <c r="SQS160" s="80"/>
      <c r="SQU160" s="80"/>
      <c r="SQV160" s="178"/>
      <c r="SQW160" s="80"/>
      <c r="SQX160" s="92"/>
      <c r="SQY160" s="53"/>
      <c r="SQZ160" s="53"/>
      <c r="SRA160" s="66"/>
      <c r="SRB160" s="53"/>
      <c r="SRI160" s="80"/>
      <c r="SRJ160" s="80"/>
      <c r="SRK160" s="80"/>
      <c r="SRL160" s="80"/>
      <c r="SRM160" s="80"/>
      <c r="SRO160" s="80"/>
      <c r="SRP160" s="178"/>
      <c r="SRQ160" s="80"/>
      <c r="SRR160" s="92"/>
      <c r="SRS160" s="53"/>
      <c r="SRT160" s="53"/>
      <c r="SRU160" s="66"/>
      <c r="SRV160" s="53"/>
      <c r="SSC160" s="80"/>
      <c r="SSD160" s="80"/>
      <c r="SSE160" s="80"/>
      <c r="SSF160" s="80"/>
      <c r="SSG160" s="80"/>
      <c r="SSI160" s="80"/>
      <c r="SSJ160" s="178"/>
      <c r="SSK160" s="80"/>
      <c r="SSL160" s="92"/>
      <c r="SSM160" s="53"/>
      <c r="SSN160" s="53"/>
      <c r="SSO160" s="66"/>
      <c r="SSP160" s="53"/>
      <c r="SSW160" s="80"/>
      <c r="SSX160" s="80"/>
      <c r="SSY160" s="80"/>
      <c r="SSZ160" s="80"/>
      <c r="STA160" s="80"/>
      <c r="STC160" s="80"/>
      <c r="STD160" s="178"/>
      <c r="STE160" s="80"/>
      <c r="STF160" s="92"/>
      <c r="STG160" s="53"/>
      <c r="STH160" s="53"/>
      <c r="STI160" s="66"/>
      <c r="STJ160" s="53"/>
      <c r="STQ160" s="80"/>
      <c r="STR160" s="80"/>
      <c r="STS160" s="80"/>
      <c r="STT160" s="80"/>
      <c r="STU160" s="80"/>
      <c r="STW160" s="80"/>
      <c r="STX160" s="178"/>
      <c r="STY160" s="80"/>
      <c r="STZ160" s="92"/>
      <c r="SUA160" s="53"/>
      <c r="SUB160" s="53"/>
      <c r="SUC160" s="66"/>
      <c r="SUD160" s="53"/>
      <c r="SUK160" s="80"/>
      <c r="SUL160" s="80"/>
      <c r="SUM160" s="80"/>
      <c r="SUN160" s="80"/>
      <c r="SUO160" s="80"/>
      <c r="SUQ160" s="80"/>
      <c r="SUR160" s="178"/>
      <c r="SUS160" s="80"/>
      <c r="SUT160" s="92"/>
      <c r="SUU160" s="53"/>
      <c r="SUV160" s="53"/>
      <c r="SUW160" s="66"/>
      <c r="SUX160" s="53"/>
      <c r="SVE160" s="80"/>
      <c r="SVF160" s="80"/>
      <c r="SVG160" s="80"/>
      <c r="SVH160" s="80"/>
      <c r="SVI160" s="80"/>
      <c r="SVK160" s="80"/>
      <c r="SVL160" s="178"/>
      <c r="SVM160" s="80"/>
      <c r="SVN160" s="92"/>
      <c r="SVO160" s="53"/>
      <c r="SVP160" s="53"/>
      <c r="SVQ160" s="66"/>
      <c r="SVR160" s="53"/>
      <c r="SVY160" s="80"/>
      <c r="SVZ160" s="80"/>
      <c r="SWA160" s="80"/>
      <c r="SWB160" s="80"/>
      <c r="SWC160" s="80"/>
      <c r="SWE160" s="80"/>
      <c r="SWF160" s="178"/>
      <c r="SWG160" s="80"/>
      <c r="SWH160" s="92"/>
      <c r="SWI160" s="53"/>
      <c r="SWJ160" s="53"/>
      <c r="SWK160" s="66"/>
      <c r="SWL160" s="53"/>
      <c r="SWS160" s="80"/>
      <c r="SWT160" s="80"/>
      <c r="SWU160" s="80"/>
      <c r="SWV160" s="80"/>
      <c r="SWW160" s="80"/>
      <c r="SWY160" s="80"/>
      <c r="SWZ160" s="178"/>
      <c r="SXA160" s="80"/>
      <c r="SXB160" s="92"/>
      <c r="SXC160" s="53"/>
      <c r="SXD160" s="53"/>
      <c r="SXE160" s="66"/>
      <c r="SXF160" s="53"/>
      <c r="SXM160" s="80"/>
      <c r="SXN160" s="80"/>
      <c r="SXO160" s="80"/>
      <c r="SXP160" s="80"/>
      <c r="SXQ160" s="80"/>
      <c r="SXS160" s="80"/>
      <c r="SXT160" s="178"/>
      <c r="SXU160" s="80"/>
      <c r="SXV160" s="92"/>
      <c r="SXW160" s="53"/>
      <c r="SXX160" s="53"/>
      <c r="SXY160" s="66"/>
      <c r="SXZ160" s="53"/>
      <c r="SYG160" s="80"/>
      <c r="SYH160" s="80"/>
      <c r="SYI160" s="80"/>
      <c r="SYJ160" s="80"/>
      <c r="SYK160" s="80"/>
      <c r="SYM160" s="80"/>
      <c r="SYN160" s="178"/>
      <c r="SYO160" s="80"/>
      <c r="SYP160" s="92"/>
      <c r="SYQ160" s="53"/>
      <c r="SYR160" s="53"/>
      <c r="SYS160" s="66"/>
      <c r="SYT160" s="53"/>
      <c r="SZA160" s="80"/>
      <c r="SZB160" s="80"/>
      <c r="SZC160" s="80"/>
      <c r="SZD160" s="80"/>
      <c r="SZE160" s="80"/>
      <c r="SZG160" s="80"/>
      <c r="SZH160" s="178"/>
      <c r="SZI160" s="80"/>
      <c r="SZJ160" s="92"/>
      <c r="SZK160" s="53"/>
      <c r="SZL160" s="53"/>
      <c r="SZM160" s="66"/>
      <c r="SZN160" s="53"/>
      <c r="SZU160" s="80"/>
      <c r="SZV160" s="80"/>
      <c r="SZW160" s="80"/>
      <c r="SZX160" s="80"/>
      <c r="SZY160" s="80"/>
      <c r="TAA160" s="80"/>
      <c r="TAB160" s="178"/>
      <c r="TAC160" s="80"/>
      <c r="TAD160" s="92"/>
      <c r="TAE160" s="53"/>
      <c r="TAF160" s="53"/>
      <c r="TAG160" s="66"/>
      <c r="TAH160" s="53"/>
      <c r="TAO160" s="80"/>
      <c r="TAP160" s="80"/>
      <c r="TAQ160" s="80"/>
      <c r="TAR160" s="80"/>
      <c r="TAS160" s="80"/>
      <c r="TAU160" s="80"/>
      <c r="TAV160" s="178"/>
      <c r="TAW160" s="80"/>
      <c r="TAX160" s="92"/>
      <c r="TAY160" s="53"/>
      <c r="TAZ160" s="53"/>
      <c r="TBA160" s="66"/>
      <c r="TBB160" s="53"/>
      <c r="TBI160" s="80"/>
      <c r="TBJ160" s="80"/>
      <c r="TBK160" s="80"/>
      <c r="TBL160" s="80"/>
      <c r="TBM160" s="80"/>
      <c r="TBO160" s="80"/>
      <c r="TBP160" s="178"/>
      <c r="TBQ160" s="80"/>
      <c r="TBR160" s="92"/>
      <c r="TBS160" s="53"/>
      <c r="TBT160" s="53"/>
      <c r="TBU160" s="66"/>
      <c r="TBV160" s="53"/>
      <c r="TCC160" s="80"/>
      <c r="TCD160" s="80"/>
      <c r="TCE160" s="80"/>
      <c r="TCF160" s="80"/>
      <c r="TCG160" s="80"/>
      <c r="TCI160" s="80"/>
      <c r="TCJ160" s="178"/>
      <c r="TCK160" s="80"/>
      <c r="TCL160" s="92"/>
      <c r="TCM160" s="53"/>
      <c r="TCN160" s="53"/>
      <c r="TCO160" s="66"/>
      <c r="TCP160" s="53"/>
      <c r="TCW160" s="80"/>
      <c r="TCX160" s="80"/>
      <c r="TCY160" s="80"/>
      <c r="TCZ160" s="80"/>
      <c r="TDA160" s="80"/>
      <c r="TDC160" s="80"/>
      <c r="TDD160" s="178"/>
      <c r="TDE160" s="80"/>
      <c r="TDF160" s="92"/>
      <c r="TDG160" s="53"/>
      <c r="TDH160" s="53"/>
      <c r="TDI160" s="66"/>
      <c r="TDJ160" s="53"/>
      <c r="TDQ160" s="80"/>
      <c r="TDR160" s="80"/>
      <c r="TDS160" s="80"/>
      <c r="TDT160" s="80"/>
      <c r="TDU160" s="80"/>
      <c r="TDW160" s="80"/>
      <c r="TDX160" s="178"/>
      <c r="TDY160" s="80"/>
      <c r="TDZ160" s="92"/>
      <c r="TEA160" s="53"/>
      <c r="TEB160" s="53"/>
      <c r="TEC160" s="66"/>
      <c r="TED160" s="53"/>
      <c r="TEK160" s="80"/>
      <c r="TEL160" s="80"/>
      <c r="TEM160" s="80"/>
      <c r="TEN160" s="80"/>
      <c r="TEO160" s="80"/>
      <c r="TEQ160" s="80"/>
      <c r="TER160" s="178"/>
      <c r="TES160" s="80"/>
      <c r="TET160" s="92"/>
      <c r="TEU160" s="53"/>
      <c r="TEV160" s="53"/>
      <c r="TEW160" s="66"/>
      <c r="TEX160" s="53"/>
      <c r="TFE160" s="80"/>
      <c r="TFF160" s="80"/>
      <c r="TFG160" s="80"/>
      <c r="TFH160" s="80"/>
      <c r="TFI160" s="80"/>
      <c r="TFK160" s="80"/>
      <c r="TFL160" s="178"/>
      <c r="TFM160" s="80"/>
      <c r="TFN160" s="92"/>
      <c r="TFO160" s="53"/>
      <c r="TFP160" s="53"/>
      <c r="TFQ160" s="66"/>
      <c r="TFR160" s="53"/>
      <c r="TFY160" s="80"/>
      <c r="TFZ160" s="80"/>
      <c r="TGA160" s="80"/>
      <c r="TGB160" s="80"/>
      <c r="TGC160" s="80"/>
      <c r="TGE160" s="80"/>
      <c r="TGF160" s="178"/>
      <c r="TGG160" s="80"/>
      <c r="TGH160" s="92"/>
      <c r="TGI160" s="53"/>
      <c r="TGJ160" s="53"/>
      <c r="TGK160" s="66"/>
      <c r="TGL160" s="53"/>
      <c r="TGS160" s="80"/>
      <c r="TGT160" s="80"/>
      <c r="TGU160" s="80"/>
      <c r="TGV160" s="80"/>
      <c r="TGW160" s="80"/>
      <c r="TGY160" s="80"/>
      <c r="TGZ160" s="178"/>
      <c r="THA160" s="80"/>
      <c r="THB160" s="92"/>
      <c r="THC160" s="53"/>
      <c r="THD160" s="53"/>
      <c r="THE160" s="66"/>
      <c r="THF160" s="53"/>
      <c r="THM160" s="80"/>
      <c r="THN160" s="80"/>
      <c r="THO160" s="80"/>
      <c r="THP160" s="80"/>
      <c r="THQ160" s="80"/>
      <c r="THS160" s="80"/>
      <c r="THT160" s="178"/>
      <c r="THU160" s="80"/>
      <c r="THV160" s="92"/>
      <c r="THW160" s="53"/>
      <c r="THX160" s="53"/>
      <c r="THY160" s="66"/>
      <c r="THZ160" s="53"/>
      <c r="TIG160" s="80"/>
      <c r="TIH160" s="80"/>
      <c r="TII160" s="80"/>
      <c r="TIJ160" s="80"/>
      <c r="TIK160" s="80"/>
      <c r="TIM160" s="80"/>
      <c r="TIN160" s="178"/>
      <c r="TIO160" s="80"/>
      <c r="TIP160" s="92"/>
      <c r="TIQ160" s="53"/>
      <c r="TIR160" s="53"/>
      <c r="TIS160" s="66"/>
      <c r="TIT160" s="53"/>
      <c r="TJA160" s="80"/>
      <c r="TJB160" s="80"/>
      <c r="TJC160" s="80"/>
      <c r="TJD160" s="80"/>
      <c r="TJE160" s="80"/>
      <c r="TJG160" s="80"/>
      <c r="TJH160" s="178"/>
      <c r="TJI160" s="80"/>
      <c r="TJJ160" s="92"/>
      <c r="TJK160" s="53"/>
      <c r="TJL160" s="53"/>
      <c r="TJM160" s="66"/>
      <c r="TJN160" s="53"/>
      <c r="TJU160" s="80"/>
      <c r="TJV160" s="80"/>
      <c r="TJW160" s="80"/>
      <c r="TJX160" s="80"/>
      <c r="TJY160" s="80"/>
      <c r="TKA160" s="80"/>
      <c r="TKB160" s="178"/>
      <c r="TKC160" s="80"/>
      <c r="TKD160" s="92"/>
      <c r="TKE160" s="53"/>
      <c r="TKF160" s="53"/>
      <c r="TKG160" s="66"/>
      <c r="TKH160" s="53"/>
      <c r="TKO160" s="80"/>
      <c r="TKP160" s="80"/>
      <c r="TKQ160" s="80"/>
      <c r="TKR160" s="80"/>
      <c r="TKS160" s="80"/>
      <c r="TKU160" s="80"/>
      <c r="TKV160" s="178"/>
      <c r="TKW160" s="80"/>
      <c r="TKX160" s="92"/>
      <c r="TKY160" s="53"/>
      <c r="TKZ160" s="53"/>
      <c r="TLA160" s="66"/>
      <c r="TLB160" s="53"/>
      <c r="TLI160" s="80"/>
      <c r="TLJ160" s="80"/>
      <c r="TLK160" s="80"/>
      <c r="TLL160" s="80"/>
      <c r="TLM160" s="80"/>
      <c r="TLO160" s="80"/>
      <c r="TLP160" s="178"/>
      <c r="TLQ160" s="80"/>
      <c r="TLR160" s="92"/>
      <c r="TLS160" s="53"/>
      <c r="TLT160" s="53"/>
      <c r="TLU160" s="66"/>
      <c r="TLV160" s="53"/>
      <c r="TMC160" s="80"/>
      <c r="TMD160" s="80"/>
      <c r="TME160" s="80"/>
      <c r="TMF160" s="80"/>
      <c r="TMG160" s="80"/>
      <c r="TMI160" s="80"/>
      <c r="TMJ160" s="178"/>
      <c r="TMK160" s="80"/>
      <c r="TML160" s="92"/>
      <c r="TMM160" s="53"/>
      <c r="TMN160" s="53"/>
      <c r="TMO160" s="66"/>
      <c r="TMP160" s="53"/>
      <c r="TMW160" s="80"/>
      <c r="TMX160" s="80"/>
      <c r="TMY160" s="80"/>
      <c r="TMZ160" s="80"/>
      <c r="TNA160" s="80"/>
      <c r="TNC160" s="80"/>
      <c r="TND160" s="178"/>
      <c r="TNE160" s="80"/>
      <c r="TNF160" s="92"/>
      <c r="TNG160" s="53"/>
      <c r="TNH160" s="53"/>
      <c r="TNI160" s="66"/>
      <c r="TNJ160" s="53"/>
      <c r="TNQ160" s="80"/>
      <c r="TNR160" s="80"/>
      <c r="TNS160" s="80"/>
      <c r="TNT160" s="80"/>
      <c r="TNU160" s="80"/>
      <c r="TNW160" s="80"/>
      <c r="TNX160" s="178"/>
      <c r="TNY160" s="80"/>
      <c r="TNZ160" s="92"/>
      <c r="TOA160" s="53"/>
      <c r="TOB160" s="53"/>
      <c r="TOC160" s="66"/>
      <c r="TOD160" s="53"/>
      <c r="TOK160" s="80"/>
      <c r="TOL160" s="80"/>
      <c r="TOM160" s="80"/>
      <c r="TON160" s="80"/>
      <c r="TOO160" s="80"/>
      <c r="TOQ160" s="80"/>
      <c r="TOR160" s="178"/>
      <c r="TOS160" s="80"/>
      <c r="TOT160" s="92"/>
      <c r="TOU160" s="53"/>
      <c r="TOV160" s="53"/>
      <c r="TOW160" s="66"/>
      <c r="TOX160" s="53"/>
      <c r="TPE160" s="80"/>
      <c r="TPF160" s="80"/>
      <c r="TPG160" s="80"/>
      <c r="TPH160" s="80"/>
      <c r="TPI160" s="80"/>
      <c r="TPK160" s="80"/>
      <c r="TPL160" s="178"/>
      <c r="TPM160" s="80"/>
      <c r="TPN160" s="92"/>
      <c r="TPO160" s="53"/>
      <c r="TPP160" s="53"/>
      <c r="TPQ160" s="66"/>
      <c r="TPR160" s="53"/>
      <c r="TPY160" s="80"/>
      <c r="TPZ160" s="80"/>
      <c r="TQA160" s="80"/>
      <c r="TQB160" s="80"/>
      <c r="TQC160" s="80"/>
      <c r="TQE160" s="80"/>
      <c r="TQF160" s="178"/>
      <c r="TQG160" s="80"/>
      <c r="TQH160" s="92"/>
      <c r="TQI160" s="53"/>
      <c r="TQJ160" s="53"/>
      <c r="TQK160" s="66"/>
      <c r="TQL160" s="53"/>
      <c r="TQS160" s="80"/>
      <c r="TQT160" s="80"/>
      <c r="TQU160" s="80"/>
      <c r="TQV160" s="80"/>
      <c r="TQW160" s="80"/>
      <c r="TQY160" s="80"/>
      <c r="TQZ160" s="178"/>
      <c r="TRA160" s="80"/>
      <c r="TRB160" s="92"/>
      <c r="TRC160" s="53"/>
      <c r="TRD160" s="53"/>
      <c r="TRE160" s="66"/>
      <c r="TRF160" s="53"/>
      <c r="TRM160" s="80"/>
      <c r="TRN160" s="80"/>
      <c r="TRO160" s="80"/>
      <c r="TRP160" s="80"/>
      <c r="TRQ160" s="80"/>
      <c r="TRS160" s="80"/>
      <c r="TRT160" s="178"/>
      <c r="TRU160" s="80"/>
      <c r="TRV160" s="92"/>
      <c r="TRW160" s="53"/>
      <c r="TRX160" s="53"/>
      <c r="TRY160" s="66"/>
      <c r="TRZ160" s="53"/>
      <c r="TSG160" s="80"/>
      <c r="TSH160" s="80"/>
      <c r="TSI160" s="80"/>
      <c r="TSJ160" s="80"/>
      <c r="TSK160" s="80"/>
      <c r="TSM160" s="80"/>
      <c r="TSN160" s="178"/>
      <c r="TSO160" s="80"/>
      <c r="TSP160" s="92"/>
      <c r="TSQ160" s="53"/>
      <c r="TSR160" s="53"/>
      <c r="TSS160" s="66"/>
      <c r="TST160" s="53"/>
      <c r="TTA160" s="80"/>
      <c r="TTB160" s="80"/>
      <c r="TTC160" s="80"/>
      <c r="TTD160" s="80"/>
      <c r="TTE160" s="80"/>
      <c r="TTG160" s="80"/>
      <c r="TTH160" s="178"/>
      <c r="TTI160" s="80"/>
      <c r="TTJ160" s="92"/>
      <c r="TTK160" s="53"/>
      <c r="TTL160" s="53"/>
      <c r="TTM160" s="66"/>
      <c r="TTN160" s="53"/>
      <c r="TTU160" s="80"/>
      <c r="TTV160" s="80"/>
      <c r="TTW160" s="80"/>
      <c r="TTX160" s="80"/>
      <c r="TTY160" s="80"/>
      <c r="TUA160" s="80"/>
      <c r="TUB160" s="178"/>
      <c r="TUC160" s="80"/>
      <c r="TUD160" s="92"/>
      <c r="TUE160" s="53"/>
      <c r="TUF160" s="53"/>
      <c r="TUG160" s="66"/>
      <c r="TUH160" s="53"/>
      <c r="TUO160" s="80"/>
      <c r="TUP160" s="80"/>
      <c r="TUQ160" s="80"/>
      <c r="TUR160" s="80"/>
      <c r="TUS160" s="80"/>
      <c r="TUU160" s="80"/>
      <c r="TUV160" s="178"/>
      <c r="TUW160" s="80"/>
      <c r="TUX160" s="92"/>
      <c r="TUY160" s="53"/>
      <c r="TUZ160" s="53"/>
      <c r="TVA160" s="66"/>
      <c r="TVB160" s="53"/>
      <c r="TVI160" s="80"/>
      <c r="TVJ160" s="80"/>
      <c r="TVK160" s="80"/>
      <c r="TVL160" s="80"/>
      <c r="TVM160" s="80"/>
      <c r="TVO160" s="80"/>
      <c r="TVP160" s="178"/>
      <c r="TVQ160" s="80"/>
      <c r="TVR160" s="92"/>
      <c r="TVS160" s="53"/>
      <c r="TVT160" s="53"/>
      <c r="TVU160" s="66"/>
      <c r="TVV160" s="53"/>
      <c r="TWC160" s="80"/>
      <c r="TWD160" s="80"/>
      <c r="TWE160" s="80"/>
      <c r="TWF160" s="80"/>
      <c r="TWG160" s="80"/>
      <c r="TWI160" s="80"/>
      <c r="TWJ160" s="178"/>
      <c r="TWK160" s="80"/>
      <c r="TWL160" s="92"/>
      <c r="TWM160" s="53"/>
      <c r="TWN160" s="53"/>
      <c r="TWO160" s="66"/>
      <c r="TWP160" s="53"/>
      <c r="TWW160" s="80"/>
      <c r="TWX160" s="80"/>
      <c r="TWY160" s="80"/>
      <c r="TWZ160" s="80"/>
      <c r="TXA160" s="80"/>
      <c r="TXC160" s="80"/>
      <c r="TXD160" s="178"/>
      <c r="TXE160" s="80"/>
      <c r="TXF160" s="92"/>
      <c r="TXG160" s="53"/>
      <c r="TXH160" s="53"/>
      <c r="TXI160" s="66"/>
      <c r="TXJ160" s="53"/>
      <c r="TXQ160" s="80"/>
      <c r="TXR160" s="80"/>
      <c r="TXS160" s="80"/>
      <c r="TXT160" s="80"/>
      <c r="TXU160" s="80"/>
      <c r="TXW160" s="80"/>
      <c r="TXX160" s="178"/>
      <c r="TXY160" s="80"/>
      <c r="TXZ160" s="92"/>
      <c r="TYA160" s="53"/>
      <c r="TYB160" s="53"/>
      <c r="TYC160" s="66"/>
      <c r="TYD160" s="53"/>
      <c r="TYK160" s="80"/>
      <c r="TYL160" s="80"/>
      <c r="TYM160" s="80"/>
      <c r="TYN160" s="80"/>
      <c r="TYO160" s="80"/>
      <c r="TYQ160" s="80"/>
      <c r="TYR160" s="178"/>
      <c r="TYS160" s="80"/>
      <c r="TYT160" s="92"/>
      <c r="TYU160" s="53"/>
      <c r="TYV160" s="53"/>
      <c r="TYW160" s="66"/>
      <c r="TYX160" s="53"/>
      <c r="TZE160" s="80"/>
      <c r="TZF160" s="80"/>
      <c r="TZG160" s="80"/>
      <c r="TZH160" s="80"/>
      <c r="TZI160" s="80"/>
      <c r="TZK160" s="80"/>
      <c r="TZL160" s="178"/>
      <c r="TZM160" s="80"/>
      <c r="TZN160" s="92"/>
      <c r="TZO160" s="53"/>
      <c r="TZP160" s="53"/>
      <c r="TZQ160" s="66"/>
      <c r="TZR160" s="53"/>
      <c r="TZY160" s="80"/>
      <c r="TZZ160" s="80"/>
      <c r="UAA160" s="80"/>
      <c r="UAB160" s="80"/>
      <c r="UAC160" s="80"/>
      <c r="UAE160" s="80"/>
      <c r="UAF160" s="178"/>
      <c r="UAG160" s="80"/>
      <c r="UAH160" s="92"/>
      <c r="UAI160" s="53"/>
      <c r="UAJ160" s="53"/>
      <c r="UAK160" s="66"/>
      <c r="UAL160" s="53"/>
      <c r="UAS160" s="80"/>
      <c r="UAT160" s="80"/>
      <c r="UAU160" s="80"/>
      <c r="UAV160" s="80"/>
      <c r="UAW160" s="80"/>
      <c r="UAY160" s="80"/>
      <c r="UAZ160" s="178"/>
      <c r="UBA160" s="80"/>
      <c r="UBB160" s="92"/>
      <c r="UBC160" s="53"/>
      <c r="UBD160" s="53"/>
      <c r="UBE160" s="66"/>
      <c r="UBF160" s="53"/>
      <c r="UBM160" s="80"/>
      <c r="UBN160" s="80"/>
      <c r="UBO160" s="80"/>
      <c r="UBP160" s="80"/>
      <c r="UBQ160" s="80"/>
      <c r="UBS160" s="80"/>
      <c r="UBT160" s="178"/>
      <c r="UBU160" s="80"/>
      <c r="UBV160" s="92"/>
      <c r="UBW160" s="53"/>
      <c r="UBX160" s="53"/>
      <c r="UBY160" s="66"/>
      <c r="UBZ160" s="53"/>
      <c r="UCG160" s="80"/>
      <c r="UCH160" s="80"/>
      <c r="UCI160" s="80"/>
      <c r="UCJ160" s="80"/>
      <c r="UCK160" s="80"/>
      <c r="UCM160" s="80"/>
      <c r="UCN160" s="178"/>
      <c r="UCO160" s="80"/>
      <c r="UCP160" s="92"/>
      <c r="UCQ160" s="53"/>
      <c r="UCR160" s="53"/>
      <c r="UCS160" s="66"/>
      <c r="UCT160" s="53"/>
      <c r="UDA160" s="80"/>
      <c r="UDB160" s="80"/>
      <c r="UDC160" s="80"/>
      <c r="UDD160" s="80"/>
      <c r="UDE160" s="80"/>
      <c r="UDG160" s="80"/>
      <c r="UDH160" s="178"/>
      <c r="UDI160" s="80"/>
      <c r="UDJ160" s="92"/>
      <c r="UDK160" s="53"/>
      <c r="UDL160" s="53"/>
      <c r="UDM160" s="66"/>
      <c r="UDN160" s="53"/>
      <c r="UDU160" s="80"/>
      <c r="UDV160" s="80"/>
      <c r="UDW160" s="80"/>
      <c r="UDX160" s="80"/>
      <c r="UDY160" s="80"/>
      <c r="UEA160" s="80"/>
      <c r="UEB160" s="178"/>
      <c r="UEC160" s="80"/>
      <c r="UED160" s="92"/>
      <c r="UEE160" s="53"/>
      <c r="UEF160" s="53"/>
      <c r="UEG160" s="66"/>
      <c r="UEH160" s="53"/>
      <c r="UEO160" s="80"/>
      <c r="UEP160" s="80"/>
      <c r="UEQ160" s="80"/>
      <c r="UER160" s="80"/>
      <c r="UES160" s="80"/>
      <c r="UEU160" s="80"/>
      <c r="UEV160" s="178"/>
      <c r="UEW160" s="80"/>
      <c r="UEX160" s="92"/>
      <c r="UEY160" s="53"/>
      <c r="UEZ160" s="53"/>
      <c r="UFA160" s="66"/>
      <c r="UFB160" s="53"/>
      <c r="UFI160" s="80"/>
      <c r="UFJ160" s="80"/>
      <c r="UFK160" s="80"/>
      <c r="UFL160" s="80"/>
      <c r="UFM160" s="80"/>
      <c r="UFO160" s="80"/>
      <c r="UFP160" s="178"/>
      <c r="UFQ160" s="80"/>
      <c r="UFR160" s="92"/>
      <c r="UFS160" s="53"/>
      <c r="UFT160" s="53"/>
      <c r="UFU160" s="66"/>
      <c r="UFV160" s="53"/>
      <c r="UGC160" s="80"/>
      <c r="UGD160" s="80"/>
      <c r="UGE160" s="80"/>
      <c r="UGF160" s="80"/>
      <c r="UGG160" s="80"/>
      <c r="UGI160" s="80"/>
      <c r="UGJ160" s="178"/>
      <c r="UGK160" s="80"/>
      <c r="UGL160" s="92"/>
      <c r="UGM160" s="53"/>
      <c r="UGN160" s="53"/>
      <c r="UGO160" s="66"/>
      <c r="UGP160" s="53"/>
      <c r="UGW160" s="80"/>
      <c r="UGX160" s="80"/>
      <c r="UGY160" s="80"/>
      <c r="UGZ160" s="80"/>
      <c r="UHA160" s="80"/>
      <c r="UHC160" s="80"/>
      <c r="UHD160" s="178"/>
      <c r="UHE160" s="80"/>
      <c r="UHF160" s="92"/>
      <c r="UHG160" s="53"/>
      <c r="UHH160" s="53"/>
      <c r="UHI160" s="66"/>
      <c r="UHJ160" s="53"/>
      <c r="UHQ160" s="80"/>
      <c r="UHR160" s="80"/>
      <c r="UHS160" s="80"/>
      <c r="UHT160" s="80"/>
      <c r="UHU160" s="80"/>
      <c r="UHW160" s="80"/>
      <c r="UHX160" s="178"/>
      <c r="UHY160" s="80"/>
      <c r="UHZ160" s="92"/>
      <c r="UIA160" s="53"/>
      <c r="UIB160" s="53"/>
      <c r="UIC160" s="66"/>
      <c r="UID160" s="53"/>
      <c r="UIK160" s="80"/>
      <c r="UIL160" s="80"/>
      <c r="UIM160" s="80"/>
      <c r="UIN160" s="80"/>
      <c r="UIO160" s="80"/>
      <c r="UIQ160" s="80"/>
      <c r="UIR160" s="178"/>
      <c r="UIS160" s="80"/>
      <c r="UIT160" s="92"/>
      <c r="UIU160" s="53"/>
      <c r="UIV160" s="53"/>
      <c r="UIW160" s="66"/>
      <c r="UIX160" s="53"/>
      <c r="UJE160" s="80"/>
      <c r="UJF160" s="80"/>
      <c r="UJG160" s="80"/>
      <c r="UJH160" s="80"/>
      <c r="UJI160" s="80"/>
      <c r="UJK160" s="80"/>
      <c r="UJL160" s="178"/>
      <c r="UJM160" s="80"/>
      <c r="UJN160" s="92"/>
      <c r="UJO160" s="53"/>
      <c r="UJP160" s="53"/>
      <c r="UJQ160" s="66"/>
      <c r="UJR160" s="53"/>
      <c r="UJY160" s="80"/>
      <c r="UJZ160" s="80"/>
      <c r="UKA160" s="80"/>
      <c r="UKB160" s="80"/>
      <c r="UKC160" s="80"/>
      <c r="UKE160" s="80"/>
      <c r="UKF160" s="178"/>
      <c r="UKG160" s="80"/>
      <c r="UKH160" s="92"/>
      <c r="UKI160" s="53"/>
      <c r="UKJ160" s="53"/>
      <c r="UKK160" s="66"/>
      <c r="UKL160" s="53"/>
      <c r="UKS160" s="80"/>
      <c r="UKT160" s="80"/>
      <c r="UKU160" s="80"/>
      <c r="UKV160" s="80"/>
      <c r="UKW160" s="80"/>
      <c r="UKY160" s="80"/>
      <c r="UKZ160" s="178"/>
      <c r="ULA160" s="80"/>
      <c r="ULB160" s="92"/>
      <c r="ULC160" s="53"/>
      <c r="ULD160" s="53"/>
      <c r="ULE160" s="66"/>
      <c r="ULF160" s="53"/>
      <c r="ULM160" s="80"/>
      <c r="ULN160" s="80"/>
      <c r="ULO160" s="80"/>
      <c r="ULP160" s="80"/>
      <c r="ULQ160" s="80"/>
      <c r="ULS160" s="80"/>
      <c r="ULT160" s="178"/>
      <c r="ULU160" s="80"/>
      <c r="ULV160" s="92"/>
      <c r="ULW160" s="53"/>
      <c r="ULX160" s="53"/>
      <c r="ULY160" s="66"/>
      <c r="ULZ160" s="53"/>
      <c r="UMG160" s="80"/>
      <c r="UMH160" s="80"/>
      <c r="UMI160" s="80"/>
      <c r="UMJ160" s="80"/>
      <c r="UMK160" s="80"/>
      <c r="UMM160" s="80"/>
      <c r="UMN160" s="178"/>
      <c r="UMO160" s="80"/>
      <c r="UMP160" s="92"/>
      <c r="UMQ160" s="53"/>
      <c r="UMR160" s="53"/>
      <c r="UMS160" s="66"/>
      <c r="UMT160" s="53"/>
      <c r="UNA160" s="80"/>
      <c r="UNB160" s="80"/>
      <c r="UNC160" s="80"/>
      <c r="UND160" s="80"/>
      <c r="UNE160" s="80"/>
      <c r="UNG160" s="80"/>
      <c r="UNH160" s="178"/>
      <c r="UNI160" s="80"/>
      <c r="UNJ160" s="92"/>
      <c r="UNK160" s="53"/>
      <c r="UNL160" s="53"/>
      <c r="UNM160" s="66"/>
      <c r="UNN160" s="53"/>
      <c r="UNU160" s="80"/>
      <c r="UNV160" s="80"/>
      <c r="UNW160" s="80"/>
      <c r="UNX160" s="80"/>
      <c r="UNY160" s="80"/>
      <c r="UOA160" s="80"/>
      <c r="UOB160" s="178"/>
      <c r="UOC160" s="80"/>
      <c r="UOD160" s="92"/>
      <c r="UOE160" s="53"/>
      <c r="UOF160" s="53"/>
      <c r="UOG160" s="66"/>
      <c r="UOH160" s="53"/>
      <c r="UOO160" s="80"/>
      <c r="UOP160" s="80"/>
      <c r="UOQ160" s="80"/>
      <c r="UOR160" s="80"/>
      <c r="UOS160" s="80"/>
      <c r="UOU160" s="80"/>
      <c r="UOV160" s="178"/>
      <c r="UOW160" s="80"/>
      <c r="UOX160" s="92"/>
      <c r="UOY160" s="53"/>
      <c r="UOZ160" s="53"/>
      <c r="UPA160" s="66"/>
      <c r="UPB160" s="53"/>
      <c r="UPI160" s="80"/>
      <c r="UPJ160" s="80"/>
      <c r="UPK160" s="80"/>
      <c r="UPL160" s="80"/>
      <c r="UPM160" s="80"/>
      <c r="UPO160" s="80"/>
      <c r="UPP160" s="178"/>
      <c r="UPQ160" s="80"/>
      <c r="UPR160" s="92"/>
      <c r="UPS160" s="53"/>
      <c r="UPT160" s="53"/>
      <c r="UPU160" s="66"/>
      <c r="UPV160" s="53"/>
      <c r="UQC160" s="80"/>
      <c r="UQD160" s="80"/>
      <c r="UQE160" s="80"/>
      <c r="UQF160" s="80"/>
      <c r="UQG160" s="80"/>
      <c r="UQI160" s="80"/>
      <c r="UQJ160" s="178"/>
      <c r="UQK160" s="80"/>
      <c r="UQL160" s="92"/>
      <c r="UQM160" s="53"/>
      <c r="UQN160" s="53"/>
      <c r="UQO160" s="66"/>
      <c r="UQP160" s="53"/>
      <c r="UQW160" s="80"/>
      <c r="UQX160" s="80"/>
      <c r="UQY160" s="80"/>
      <c r="UQZ160" s="80"/>
      <c r="URA160" s="80"/>
      <c r="URC160" s="80"/>
      <c r="URD160" s="178"/>
      <c r="URE160" s="80"/>
      <c r="URF160" s="92"/>
      <c r="URG160" s="53"/>
      <c r="URH160" s="53"/>
      <c r="URI160" s="66"/>
      <c r="URJ160" s="53"/>
      <c r="URQ160" s="80"/>
      <c r="URR160" s="80"/>
      <c r="URS160" s="80"/>
      <c r="URT160" s="80"/>
      <c r="URU160" s="80"/>
      <c r="URW160" s="80"/>
      <c r="URX160" s="178"/>
      <c r="URY160" s="80"/>
      <c r="URZ160" s="92"/>
      <c r="USA160" s="53"/>
      <c r="USB160" s="53"/>
      <c r="USC160" s="66"/>
      <c r="USD160" s="53"/>
      <c r="USK160" s="80"/>
      <c r="USL160" s="80"/>
      <c r="USM160" s="80"/>
      <c r="USN160" s="80"/>
      <c r="USO160" s="80"/>
      <c r="USQ160" s="80"/>
      <c r="USR160" s="178"/>
      <c r="USS160" s="80"/>
      <c r="UST160" s="92"/>
      <c r="USU160" s="53"/>
      <c r="USV160" s="53"/>
      <c r="USW160" s="66"/>
      <c r="USX160" s="53"/>
      <c r="UTE160" s="80"/>
      <c r="UTF160" s="80"/>
      <c r="UTG160" s="80"/>
      <c r="UTH160" s="80"/>
      <c r="UTI160" s="80"/>
      <c r="UTK160" s="80"/>
      <c r="UTL160" s="178"/>
      <c r="UTM160" s="80"/>
      <c r="UTN160" s="92"/>
      <c r="UTO160" s="53"/>
      <c r="UTP160" s="53"/>
      <c r="UTQ160" s="66"/>
      <c r="UTR160" s="53"/>
      <c r="UTY160" s="80"/>
      <c r="UTZ160" s="80"/>
      <c r="UUA160" s="80"/>
      <c r="UUB160" s="80"/>
      <c r="UUC160" s="80"/>
      <c r="UUE160" s="80"/>
      <c r="UUF160" s="178"/>
      <c r="UUG160" s="80"/>
      <c r="UUH160" s="92"/>
      <c r="UUI160" s="53"/>
      <c r="UUJ160" s="53"/>
      <c r="UUK160" s="66"/>
      <c r="UUL160" s="53"/>
      <c r="UUS160" s="80"/>
      <c r="UUT160" s="80"/>
      <c r="UUU160" s="80"/>
      <c r="UUV160" s="80"/>
      <c r="UUW160" s="80"/>
      <c r="UUY160" s="80"/>
      <c r="UUZ160" s="178"/>
      <c r="UVA160" s="80"/>
      <c r="UVB160" s="92"/>
      <c r="UVC160" s="53"/>
      <c r="UVD160" s="53"/>
      <c r="UVE160" s="66"/>
      <c r="UVF160" s="53"/>
      <c r="UVM160" s="80"/>
      <c r="UVN160" s="80"/>
      <c r="UVO160" s="80"/>
      <c r="UVP160" s="80"/>
      <c r="UVQ160" s="80"/>
      <c r="UVS160" s="80"/>
      <c r="UVT160" s="178"/>
      <c r="UVU160" s="80"/>
      <c r="UVV160" s="92"/>
      <c r="UVW160" s="53"/>
      <c r="UVX160" s="53"/>
      <c r="UVY160" s="66"/>
      <c r="UVZ160" s="53"/>
      <c r="UWG160" s="80"/>
      <c r="UWH160" s="80"/>
      <c r="UWI160" s="80"/>
      <c r="UWJ160" s="80"/>
      <c r="UWK160" s="80"/>
      <c r="UWM160" s="80"/>
      <c r="UWN160" s="178"/>
      <c r="UWO160" s="80"/>
      <c r="UWP160" s="92"/>
      <c r="UWQ160" s="53"/>
      <c r="UWR160" s="53"/>
      <c r="UWS160" s="66"/>
      <c r="UWT160" s="53"/>
      <c r="UXA160" s="80"/>
      <c r="UXB160" s="80"/>
      <c r="UXC160" s="80"/>
      <c r="UXD160" s="80"/>
      <c r="UXE160" s="80"/>
      <c r="UXG160" s="80"/>
      <c r="UXH160" s="178"/>
      <c r="UXI160" s="80"/>
      <c r="UXJ160" s="92"/>
      <c r="UXK160" s="53"/>
      <c r="UXL160" s="53"/>
      <c r="UXM160" s="66"/>
      <c r="UXN160" s="53"/>
      <c r="UXU160" s="80"/>
      <c r="UXV160" s="80"/>
      <c r="UXW160" s="80"/>
      <c r="UXX160" s="80"/>
      <c r="UXY160" s="80"/>
      <c r="UYA160" s="80"/>
      <c r="UYB160" s="178"/>
      <c r="UYC160" s="80"/>
      <c r="UYD160" s="92"/>
      <c r="UYE160" s="53"/>
      <c r="UYF160" s="53"/>
      <c r="UYG160" s="66"/>
      <c r="UYH160" s="53"/>
      <c r="UYO160" s="80"/>
      <c r="UYP160" s="80"/>
      <c r="UYQ160" s="80"/>
      <c r="UYR160" s="80"/>
      <c r="UYS160" s="80"/>
      <c r="UYU160" s="80"/>
      <c r="UYV160" s="178"/>
      <c r="UYW160" s="80"/>
      <c r="UYX160" s="92"/>
      <c r="UYY160" s="53"/>
      <c r="UYZ160" s="53"/>
      <c r="UZA160" s="66"/>
      <c r="UZB160" s="53"/>
      <c r="UZI160" s="80"/>
      <c r="UZJ160" s="80"/>
      <c r="UZK160" s="80"/>
      <c r="UZL160" s="80"/>
      <c r="UZM160" s="80"/>
      <c r="UZO160" s="80"/>
      <c r="UZP160" s="178"/>
      <c r="UZQ160" s="80"/>
      <c r="UZR160" s="92"/>
      <c r="UZS160" s="53"/>
      <c r="UZT160" s="53"/>
      <c r="UZU160" s="66"/>
      <c r="UZV160" s="53"/>
      <c r="VAC160" s="80"/>
      <c r="VAD160" s="80"/>
      <c r="VAE160" s="80"/>
      <c r="VAF160" s="80"/>
      <c r="VAG160" s="80"/>
      <c r="VAI160" s="80"/>
      <c r="VAJ160" s="178"/>
      <c r="VAK160" s="80"/>
      <c r="VAL160" s="92"/>
      <c r="VAM160" s="53"/>
      <c r="VAN160" s="53"/>
      <c r="VAO160" s="66"/>
      <c r="VAP160" s="53"/>
      <c r="VAW160" s="80"/>
      <c r="VAX160" s="80"/>
      <c r="VAY160" s="80"/>
      <c r="VAZ160" s="80"/>
      <c r="VBA160" s="80"/>
      <c r="VBC160" s="80"/>
      <c r="VBD160" s="178"/>
      <c r="VBE160" s="80"/>
      <c r="VBF160" s="92"/>
      <c r="VBG160" s="53"/>
      <c r="VBH160" s="53"/>
      <c r="VBI160" s="66"/>
      <c r="VBJ160" s="53"/>
      <c r="VBQ160" s="80"/>
      <c r="VBR160" s="80"/>
      <c r="VBS160" s="80"/>
      <c r="VBT160" s="80"/>
      <c r="VBU160" s="80"/>
      <c r="VBW160" s="80"/>
      <c r="VBX160" s="178"/>
      <c r="VBY160" s="80"/>
      <c r="VBZ160" s="92"/>
      <c r="VCA160" s="53"/>
      <c r="VCB160" s="53"/>
      <c r="VCC160" s="66"/>
      <c r="VCD160" s="53"/>
      <c r="VCK160" s="80"/>
      <c r="VCL160" s="80"/>
      <c r="VCM160" s="80"/>
      <c r="VCN160" s="80"/>
      <c r="VCO160" s="80"/>
      <c r="VCQ160" s="80"/>
      <c r="VCR160" s="178"/>
      <c r="VCS160" s="80"/>
      <c r="VCT160" s="92"/>
      <c r="VCU160" s="53"/>
      <c r="VCV160" s="53"/>
      <c r="VCW160" s="66"/>
      <c r="VCX160" s="53"/>
      <c r="VDE160" s="80"/>
      <c r="VDF160" s="80"/>
      <c r="VDG160" s="80"/>
      <c r="VDH160" s="80"/>
      <c r="VDI160" s="80"/>
      <c r="VDK160" s="80"/>
      <c r="VDL160" s="178"/>
      <c r="VDM160" s="80"/>
      <c r="VDN160" s="92"/>
      <c r="VDO160" s="53"/>
      <c r="VDP160" s="53"/>
      <c r="VDQ160" s="66"/>
      <c r="VDR160" s="53"/>
      <c r="VDY160" s="80"/>
      <c r="VDZ160" s="80"/>
      <c r="VEA160" s="80"/>
      <c r="VEB160" s="80"/>
      <c r="VEC160" s="80"/>
      <c r="VEE160" s="80"/>
      <c r="VEF160" s="178"/>
      <c r="VEG160" s="80"/>
      <c r="VEH160" s="92"/>
      <c r="VEI160" s="53"/>
      <c r="VEJ160" s="53"/>
      <c r="VEK160" s="66"/>
      <c r="VEL160" s="53"/>
      <c r="VES160" s="80"/>
      <c r="VET160" s="80"/>
      <c r="VEU160" s="80"/>
      <c r="VEV160" s="80"/>
      <c r="VEW160" s="80"/>
      <c r="VEY160" s="80"/>
      <c r="VEZ160" s="178"/>
      <c r="VFA160" s="80"/>
      <c r="VFB160" s="92"/>
      <c r="VFC160" s="53"/>
      <c r="VFD160" s="53"/>
      <c r="VFE160" s="66"/>
      <c r="VFF160" s="53"/>
      <c r="VFM160" s="80"/>
      <c r="VFN160" s="80"/>
      <c r="VFO160" s="80"/>
      <c r="VFP160" s="80"/>
      <c r="VFQ160" s="80"/>
      <c r="VFS160" s="80"/>
      <c r="VFT160" s="178"/>
      <c r="VFU160" s="80"/>
      <c r="VFV160" s="92"/>
      <c r="VFW160" s="53"/>
      <c r="VFX160" s="53"/>
      <c r="VFY160" s="66"/>
      <c r="VFZ160" s="53"/>
      <c r="VGG160" s="80"/>
      <c r="VGH160" s="80"/>
      <c r="VGI160" s="80"/>
      <c r="VGJ160" s="80"/>
      <c r="VGK160" s="80"/>
      <c r="VGM160" s="80"/>
      <c r="VGN160" s="178"/>
      <c r="VGO160" s="80"/>
      <c r="VGP160" s="92"/>
      <c r="VGQ160" s="53"/>
      <c r="VGR160" s="53"/>
      <c r="VGS160" s="66"/>
      <c r="VGT160" s="53"/>
      <c r="VHA160" s="80"/>
      <c r="VHB160" s="80"/>
      <c r="VHC160" s="80"/>
      <c r="VHD160" s="80"/>
      <c r="VHE160" s="80"/>
      <c r="VHG160" s="80"/>
      <c r="VHH160" s="178"/>
      <c r="VHI160" s="80"/>
      <c r="VHJ160" s="92"/>
      <c r="VHK160" s="53"/>
      <c r="VHL160" s="53"/>
      <c r="VHM160" s="66"/>
      <c r="VHN160" s="53"/>
      <c r="VHU160" s="80"/>
      <c r="VHV160" s="80"/>
      <c r="VHW160" s="80"/>
      <c r="VHX160" s="80"/>
      <c r="VHY160" s="80"/>
      <c r="VIA160" s="80"/>
      <c r="VIB160" s="178"/>
      <c r="VIC160" s="80"/>
      <c r="VID160" s="92"/>
      <c r="VIE160" s="53"/>
      <c r="VIF160" s="53"/>
      <c r="VIG160" s="66"/>
      <c r="VIH160" s="53"/>
      <c r="VIO160" s="80"/>
      <c r="VIP160" s="80"/>
      <c r="VIQ160" s="80"/>
      <c r="VIR160" s="80"/>
      <c r="VIS160" s="80"/>
      <c r="VIU160" s="80"/>
      <c r="VIV160" s="178"/>
      <c r="VIW160" s="80"/>
      <c r="VIX160" s="92"/>
      <c r="VIY160" s="53"/>
      <c r="VIZ160" s="53"/>
      <c r="VJA160" s="66"/>
      <c r="VJB160" s="53"/>
      <c r="VJI160" s="80"/>
      <c r="VJJ160" s="80"/>
      <c r="VJK160" s="80"/>
      <c r="VJL160" s="80"/>
      <c r="VJM160" s="80"/>
      <c r="VJO160" s="80"/>
      <c r="VJP160" s="178"/>
      <c r="VJQ160" s="80"/>
      <c r="VJR160" s="92"/>
      <c r="VJS160" s="53"/>
      <c r="VJT160" s="53"/>
      <c r="VJU160" s="66"/>
      <c r="VJV160" s="53"/>
      <c r="VKC160" s="80"/>
      <c r="VKD160" s="80"/>
      <c r="VKE160" s="80"/>
      <c r="VKF160" s="80"/>
      <c r="VKG160" s="80"/>
      <c r="VKI160" s="80"/>
      <c r="VKJ160" s="178"/>
      <c r="VKK160" s="80"/>
      <c r="VKL160" s="92"/>
      <c r="VKM160" s="53"/>
      <c r="VKN160" s="53"/>
      <c r="VKO160" s="66"/>
      <c r="VKP160" s="53"/>
      <c r="VKW160" s="80"/>
      <c r="VKX160" s="80"/>
      <c r="VKY160" s="80"/>
      <c r="VKZ160" s="80"/>
      <c r="VLA160" s="80"/>
      <c r="VLC160" s="80"/>
      <c r="VLD160" s="178"/>
      <c r="VLE160" s="80"/>
      <c r="VLF160" s="92"/>
      <c r="VLG160" s="53"/>
      <c r="VLH160" s="53"/>
      <c r="VLI160" s="66"/>
      <c r="VLJ160" s="53"/>
      <c r="VLQ160" s="80"/>
      <c r="VLR160" s="80"/>
      <c r="VLS160" s="80"/>
      <c r="VLT160" s="80"/>
      <c r="VLU160" s="80"/>
      <c r="VLW160" s="80"/>
      <c r="VLX160" s="178"/>
      <c r="VLY160" s="80"/>
      <c r="VLZ160" s="92"/>
      <c r="VMA160" s="53"/>
      <c r="VMB160" s="53"/>
      <c r="VMC160" s="66"/>
      <c r="VMD160" s="53"/>
      <c r="VMK160" s="80"/>
      <c r="VML160" s="80"/>
      <c r="VMM160" s="80"/>
      <c r="VMN160" s="80"/>
      <c r="VMO160" s="80"/>
      <c r="VMQ160" s="80"/>
      <c r="VMR160" s="178"/>
      <c r="VMS160" s="80"/>
      <c r="VMT160" s="92"/>
      <c r="VMU160" s="53"/>
      <c r="VMV160" s="53"/>
      <c r="VMW160" s="66"/>
      <c r="VMX160" s="53"/>
      <c r="VNE160" s="80"/>
      <c r="VNF160" s="80"/>
      <c r="VNG160" s="80"/>
      <c r="VNH160" s="80"/>
      <c r="VNI160" s="80"/>
      <c r="VNK160" s="80"/>
      <c r="VNL160" s="178"/>
      <c r="VNM160" s="80"/>
      <c r="VNN160" s="92"/>
      <c r="VNO160" s="53"/>
      <c r="VNP160" s="53"/>
      <c r="VNQ160" s="66"/>
      <c r="VNR160" s="53"/>
      <c r="VNY160" s="80"/>
      <c r="VNZ160" s="80"/>
      <c r="VOA160" s="80"/>
      <c r="VOB160" s="80"/>
      <c r="VOC160" s="80"/>
      <c r="VOE160" s="80"/>
      <c r="VOF160" s="178"/>
      <c r="VOG160" s="80"/>
      <c r="VOH160" s="92"/>
      <c r="VOI160" s="53"/>
      <c r="VOJ160" s="53"/>
      <c r="VOK160" s="66"/>
      <c r="VOL160" s="53"/>
      <c r="VOS160" s="80"/>
      <c r="VOT160" s="80"/>
      <c r="VOU160" s="80"/>
      <c r="VOV160" s="80"/>
      <c r="VOW160" s="80"/>
      <c r="VOY160" s="80"/>
      <c r="VOZ160" s="178"/>
      <c r="VPA160" s="80"/>
      <c r="VPB160" s="92"/>
      <c r="VPC160" s="53"/>
      <c r="VPD160" s="53"/>
      <c r="VPE160" s="66"/>
      <c r="VPF160" s="53"/>
      <c r="VPM160" s="80"/>
      <c r="VPN160" s="80"/>
      <c r="VPO160" s="80"/>
      <c r="VPP160" s="80"/>
      <c r="VPQ160" s="80"/>
      <c r="VPS160" s="80"/>
      <c r="VPT160" s="178"/>
      <c r="VPU160" s="80"/>
      <c r="VPV160" s="92"/>
      <c r="VPW160" s="53"/>
      <c r="VPX160" s="53"/>
      <c r="VPY160" s="66"/>
      <c r="VPZ160" s="53"/>
      <c r="VQG160" s="80"/>
      <c r="VQH160" s="80"/>
      <c r="VQI160" s="80"/>
      <c r="VQJ160" s="80"/>
      <c r="VQK160" s="80"/>
      <c r="VQM160" s="80"/>
      <c r="VQN160" s="178"/>
      <c r="VQO160" s="80"/>
      <c r="VQP160" s="92"/>
      <c r="VQQ160" s="53"/>
      <c r="VQR160" s="53"/>
      <c r="VQS160" s="66"/>
      <c r="VQT160" s="53"/>
      <c r="VRA160" s="80"/>
      <c r="VRB160" s="80"/>
      <c r="VRC160" s="80"/>
      <c r="VRD160" s="80"/>
      <c r="VRE160" s="80"/>
      <c r="VRG160" s="80"/>
      <c r="VRH160" s="178"/>
      <c r="VRI160" s="80"/>
      <c r="VRJ160" s="92"/>
      <c r="VRK160" s="53"/>
      <c r="VRL160" s="53"/>
      <c r="VRM160" s="66"/>
      <c r="VRN160" s="53"/>
      <c r="VRU160" s="80"/>
      <c r="VRV160" s="80"/>
      <c r="VRW160" s="80"/>
      <c r="VRX160" s="80"/>
      <c r="VRY160" s="80"/>
      <c r="VSA160" s="80"/>
      <c r="VSB160" s="178"/>
      <c r="VSC160" s="80"/>
      <c r="VSD160" s="92"/>
      <c r="VSE160" s="53"/>
      <c r="VSF160" s="53"/>
      <c r="VSG160" s="66"/>
      <c r="VSH160" s="53"/>
      <c r="VSO160" s="80"/>
      <c r="VSP160" s="80"/>
      <c r="VSQ160" s="80"/>
      <c r="VSR160" s="80"/>
      <c r="VSS160" s="80"/>
      <c r="VSU160" s="80"/>
      <c r="VSV160" s="178"/>
      <c r="VSW160" s="80"/>
      <c r="VSX160" s="92"/>
      <c r="VSY160" s="53"/>
      <c r="VSZ160" s="53"/>
      <c r="VTA160" s="66"/>
      <c r="VTB160" s="53"/>
      <c r="VTI160" s="80"/>
      <c r="VTJ160" s="80"/>
      <c r="VTK160" s="80"/>
      <c r="VTL160" s="80"/>
      <c r="VTM160" s="80"/>
      <c r="VTO160" s="80"/>
      <c r="VTP160" s="178"/>
      <c r="VTQ160" s="80"/>
      <c r="VTR160" s="92"/>
      <c r="VTS160" s="53"/>
      <c r="VTT160" s="53"/>
      <c r="VTU160" s="66"/>
      <c r="VTV160" s="53"/>
      <c r="VUC160" s="80"/>
      <c r="VUD160" s="80"/>
      <c r="VUE160" s="80"/>
      <c r="VUF160" s="80"/>
      <c r="VUG160" s="80"/>
      <c r="VUI160" s="80"/>
      <c r="VUJ160" s="178"/>
      <c r="VUK160" s="80"/>
      <c r="VUL160" s="92"/>
      <c r="VUM160" s="53"/>
      <c r="VUN160" s="53"/>
      <c r="VUO160" s="66"/>
      <c r="VUP160" s="53"/>
      <c r="VUW160" s="80"/>
      <c r="VUX160" s="80"/>
      <c r="VUY160" s="80"/>
      <c r="VUZ160" s="80"/>
      <c r="VVA160" s="80"/>
      <c r="VVC160" s="80"/>
      <c r="VVD160" s="178"/>
      <c r="VVE160" s="80"/>
      <c r="VVF160" s="92"/>
      <c r="VVG160" s="53"/>
      <c r="VVH160" s="53"/>
      <c r="VVI160" s="66"/>
      <c r="VVJ160" s="53"/>
      <c r="VVQ160" s="80"/>
      <c r="VVR160" s="80"/>
      <c r="VVS160" s="80"/>
      <c r="VVT160" s="80"/>
      <c r="VVU160" s="80"/>
      <c r="VVW160" s="80"/>
      <c r="VVX160" s="178"/>
      <c r="VVY160" s="80"/>
      <c r="VVZ160" s="92"/>
      <c r="VWA160" s="53"/>
      <c r="VWB160" s="53"/>
      <c r="VWC160" s="66"/>
      <c r="VWD160" s="53"/>
      <c r="VWK160" s="80"/>
      <c r="VWL160" s="80"/>
      <c r="VWM160" s="80"/>
      <c r="VWN160" s="80"/>
      <c r="VWO160" s="80"/>
      <c r="VWQ160" s="80"/>
      <c r="VWR160" s="178"/>
      <c r="VWS160" s="80"/>
      <c r="VWT160" s="92"/>
      <c r="VWU160" s="53"/>
      <c r="VWV160" s="53"/>
      <c r="VWW160" s="66"/>
      <c r="VWX160" s="53"/>
      <c r="VXE160" s="80"/>
      <c r="VXF160" s="80"/>
      <c r="VXG160" s="80"/>
      <c r="VXH160" s="80"/>
      <c r="VXI160" s="80"/>
      <c r="VXK160" s="80"/>
      <c r="VXL160" s="178"/>
      <c r="VXM160" s="80"/>
      <c r="VXN160" s="92"/>
      <c r="VXO160" s="53"/>
      <c r="VXP160" s="53"/>
      <c r="VXQ160" s="66"/>
      <c r="VXR160" s="53"/>
      <c r="VXY160" s="80"/>
      <c r="VXZ160" s="80"/>
      <c r="VYA160" s="80"/>
      <c r="VYB160" s="80"/>
      <c r="VYC160" s="80"/>
      <c r="VYE160" s="80"/>
      <c r="VYF160" s="178"/>
      <c r="VYG160" s="80"/>
      <c r="VYH160" s="92"/>
      <c r="VYI160" s="53"/>
      <c r="VYJ160" s="53"/>
      <c r="VYK160" s="66"/>
      <c r="VYL160" s="53"/>
      <c r="VYS160" s="80"/>
      <c r="VYT160" s="80"/>
      <c r="VYU160" s="80"/>
      <c r="VYV160" s="80"/>
      <c r="VYW160" s="80"/>
      <c r="VYY160" s="80"/>
      <c r="VYZ160" s="178"/>
      <c r="VZA160" s="80"/>
      <c r="VZB160" s="92"/>
      <c r="VZC160" s="53"/>
      <c r="VZD160" s="53"/>
      <c r="VZE160" s="66"/>
      <c r="VZF160" s="53"/>
      <c r="VZM160" s="80"/>
      <c r="VZN160" s="80"/>
      <c r="VZO160" s="80"/>
      <c r="VZP160" s="80"/>
      <c r="VZQ160" s="80"/>
      <c r="VZS160" s="80"/>
      <c r="VZT160" s="178"/>
      <c r="VZU160" s="80"/>
      <c r="VZV160" s="92"/>
      <c r="VZW160" s="53"/>
      <c r="VZX160" s="53"/>
      <c r="VZY160" s="66"/>
      <c r="VZZ160" s="53"/>
      <c r="WAG160" s="80"/>
      <c r="WAH160" s="80"/>
      <c r="WAI160" s="80"/>
      <c r="WAJ160" s="80"/>
      <c r="WAK160" s="80"/>
      <c r="WAM160" s="80"/>
      <c r="WAN160" s="178"/>
      <c r="WAO160" s="80"/>
      <c r="WAP160" s="92"/>
      <c r="WAQ160" s="53"/>
      <c r="WAR160" s="53"/>
      <c r="WAS160" s="66"/>
      <c r="WAT160" s="53"/>
      <c r="WBA160" s="80"/>
      <c r="WBB160" s="80"/>
      <c r="WBC160" s="80"/>
      <c r="WBD160" s="80"/>
      <c r="WBE160" s="80"/>
      <c r="WBG160" s="80"/>
      <c r="WBH160" s="178"/>
      <c r="WBI160" s="80"/>
      <c r="WBJ160" s="92"/>
      <c r="WBK160" s="53"/>
      <c r="WBL160" s="53"/>
      <c r="WBM160" s="66"/>
      <c r="WBN160" s="53"/>
      <c r="WBU160" s="80"/>
      <c r="WBV160" s="80"/>
      <c r="WBW160" s="80"/>
      <c r="WBX160" s="80"/>
      <c r="WBY160" s="80"/>
      <c r="WCA160" s="80"/>
      <c r="WCB160" s="178"/>
      <c r="WCC160" s="80"/>
      <c r="WCD160" s="92"/>
      <c r="WCE160" s="53"/>
      <c r="WCF160" s="53"/>
      <c r="WCG160" s="66"/>
      <c r="WCH160" s="53"/>
      <c r="WCO160" s="80"/>
      <c r="WCP160" s="80"/>
      <c r="WCQ160" s="80"/>
      <c r="WCR160" s="80"/>
      <c r="WCS160" s="80"/>
      <c r="WCU160" s="80"/>
      <c r="WCV160" s="178"/>
      <c r="WCW160" s="80"/>
      <c r="WCX160" s="92"/>
      <c r="WCY160" s="53"/>
      <c r="WCZ160" s="53"/>
      <c r="WDA160" s="66"/>
      <c r="WDB160" s="53"/>
      <c r="WDI160" s="80"/>
      <c r="WDJ160" s="80"/>
      <c r="WDK160" s="80"/>
      <c r="WDL160" s="80"/>
      <c r="WDM160" s="80"/>
      <c r="WDO160" s="80"/>
      <c r="WDP160" s="178"/>
      <c r="WDQ160" s="80"/>
      <c r="WDR160" s="92"/>
      <c r="WDS160" s="53"/>
      <c r="WDT160" s="53"/>
      <c r="WDU160" s="66"/>
      <c r="WDV160" s="53"/>
      <c r="WEC160" s="80"/>
      <c r="WED160" s="80"/>
      <c r="WEE160" s="80"/>
      <c r="WEF160" s="80"/>
      <c r="WEG160" s="80"/>
      <c r="WEI160" s="80"/>
      <c r="WEJ160" s="178"/>
      <c r="WEK160" s="80"/>
      <c r="WEL160" s="92"/>
      <c r="WEM160" s="53"/>
      <c r="WEN160" s="53"/>
      <c r="WEO160" s="66"/>
      <c r="WEP160" s="53"/>
      <c r="WEW160" s="80"/>
      <c r="WEX160" s="80"/>
      <c r="WEY160" s="80"/>
      <c r="WEZ160" s="80"/>
      <c r="WFA160" s="80"/>
      <c r="WFC160" s="80"/>
      <c r="WFD160" s="178"/>
      <c r="WFE160" s="80"/>
      <c r="WFF160" s="92"/>
      <c r="WFG160" s="53"/>
      <c r="WFH160" s="53"/>
      <c r="WFI160" s="66"/>
      <c r="WFJ160" s="53"/>
      <c r="WFQ160" s="80"/>
      <c r="WFR160" s="80"/>
      <c r="WFS160" s="80"/>
      <c r="WFT160" s="80"/>
      <c r="WFU160" s="80"/>
      <c r="WFW160" s="80"/>
      <c r="WFX160" s="178"/>
      <c r="WFY160" s="80"/>
      <c r="WFZ160" s="92"/>
      <c r="WGA160" s="53"/>
      <c r="WGB160" s="53"/>
      <c r="WGC160" s="66"/>
      <c r="WGD160" s="53"/>
      <c r="WGK160" s="80"/>
      <c r="WGL160" s="80"/>
      <c r="WGM160" s="80"/>
      <c r="WGN160" s="80"/>
      <c r="WGO160" s="80"/>
      <c r="WGQ160" s="80"/>
      <c r="WGR160" s="178"/>
      <c r="WGS160" s="80"/>
      <c r="WGT160" s="92"/>
      <c r="WGU160" s="53"/>
      <c r="WGV160" s="53"/>
      <c r="WGW160" s="66"/>
      <c r="WGX160" s="53"/>
      <c r="WHE160" s="80"/>
      <c r="WHF160" s="80"/>
      <c r="WHG160" s="80"/>
      <c r="WHH160" s="80"/>
      <c r="WHI160" s="80"/>
      <c r="WHK160" s="80"/>
      <c r="WHL160" s="178"/>
      <c r="WHM160" s="80"/>
      <c r="WHN160" s="92"/>
      <c r="WHO160" s="53"/>
      <c r="WHP160" s="53"/>
      <c r="WHQ160" s="66"/>
      <c r="WHR160" s="53"/>
      <c r="WHY160" s="80"/>
      <c r="WHZ160" s="80"/>
      <c r="WIA160" s="80"/>
      <c r="WIB160" s="80"/>
      <c r="WIC160" s="80"/>
      <c r="WIE160" s="80"/>
      <c r="WIF160" s="178"/>
      <c r="WIG160" s="80"/>
      <c r="WIH160" s="92"/>
      <c r="WII160" s="53"/>
      <c r="WIJ160" s="53"/>
      <c r="WIK160" s="66"/>
      <c r="WIL160" s="53"/>
      <c r="WIS160" s="80"/>
      <c r="WIT160" s="80"/>
      <c r="WIU160" s="80"/>
      <c r="WIV160" s="80"/>
      <c r="WIW160" s="80"/>
      <c r="WIY160" s="80"/>
      <c r="WIZ160" s="178"/>
      <c r="WJA160" s="80"/>
      <c r="WJB160" s="92"/>
      <c r="WJC160" s="53"/>
      <c r="WJD160" s="53"/>
      <c r="WJE160" s="66"/>
      <c r="WJF160" s="53"/>
      <c r="WJM160" s="80"/>
      <c r="WJN160" s="80"/>
      <c r="WJO160" s="80"/>
      <c r="WJP160" s="80"/>
      <c r="WJQ160" s="80"/>
      <c r="WJS160" s="80"/>
      <c r="WJT160" s="178"/>
      <c r="WJU160" s="80"/>
      <c r="WJV160" s="92"/>
      <c r="WJW160" s="53"/>
      <c r="WJX160" s="53"/>
      <c r="WJY160" s="66"/>
      <c r="WJZ160" s="53"/>
      <c r="WKG160" s="80"/>
      <c r="WKH160" s="80"/>
      <c r="WKI160" s="80"/>
      <c r="WKJ160" s="80"/>
      <c r="WKK160" s="80"/>
      <c r="WKM160" s="80"/>
      <c r="WKN160" s="178"/>
      <c r="WKO160" s="80"/>
      <c r="WKP160" s="92"/>
      <c r="WKQ160" s="53"/>
      <c r="WKR160" s="53"/>
      <c r="WKS160" s="66"/>
      <c r="WKT160" s="53"/>
      <c r="WLA160" s="80"/>
      <c r="WLB160" s="80"/>
      <c r="WLC160" s="80"/>
      <c r="WLD160" s="80"/>
      <c r="WLE160" s="80"/>
      <c r="WLG160" s="80"/>
      <c r="WLH160" s="178"/>
      <c r="WLI160" s="80"/>
      <c r="WLJ160" s="92"/>
      <c r="WLK160" s="53"/>
      <c r="WLL160" s="53"/>
      <c r="WLM160" s="66"/>
      <c r="WLN160" s="53"/>
      <c r="WLU160" s="80"/>
      <c r="WLV160" s="80"/>
      <c r="WLW160" s="80"/>
      <c r="WLX160" s="80"/>
      <c r="WLY160" s="80"/>
      <c r="WMA160" s="80"/>
      <c r="WMB160" s="178"/>
      <c r="WMC160" s="80"/>
      <c r="WMD160" s="92"/>
      <c r="WME160" s="53"/>
      <c r="WMF160" s="53"/>
      <c r="WMG160" s="66"/>
      <c r="WMH160" s="53"/>
      <c r="WMO160" s="80"/>
      <c r="WMP160" s="80"/>
      <c r="WMQ160" s="80"/>
      <c r="WMR160" s="80"/>
      <c r="WMS160" s="80"/>
      <c r="WMU160" s="80"/>
      <c r="WMV160" s="178"/>
      <c r="WMW160" s="80"/>
      <c r="WMX160" s="92"/>
      <c r="WMY160" s="53"/>
      <c r="WMZ160" s="53"/>
      <c r="WNA160" s="66"/>
      <c r="WNB160" s="53"/>
      <c r="WNI160" s="80"/>
      <c r="WNJ160" s="80"/>
      <c r="WNK160" s="80"/>
      <c r="WNL160" s="80"/>
      <c r="WNM160" s="80"/>
      <c r="WNO160" s="80"/>
      <c r="WNP160" s="178"/>
      <c r="WNQ160" s="80"/>
      <c r="WNR160" s="92"/>
      <c r="WNS160" s="53"/>
      <c r="WNT160" s="53"/>
      <c r="WNU160" s="66"/>
      <c r="WNV160" s="53"/>
      <c r="WOC160" s="80"/>
      <c r="WOD160" s="80"/>
      <c r="WOE160" s="80"/>
      <c r="WOF160" s="80"/>
      <c r="WOG160" s="80"/>
      <c r="WOI160" s="80"/>
      <c r="WOJ160" s="178"/>
      <c r="WOK160" s="80"/>
      <c r="WOL160" s="92"/>
      <c r="WOM160" s="53"/>
      <c r="WON160" s="53"/>
      <c r="WOO160" s="66"/>
      <c r="WOP160" s="53"/>
      <c r="WOW160" s="80"/>
      <c r="WOX160" s="80"/>
      <c r="WOY160" s="80"/>
      <c r="WOZ160" s="80"/>
      <c r="WPA160" s="80"/>
      <c r="WPC160" s="80"/>
      <c r="WPD160" s="178"/>
      <c r="WPE160" s="80"/>
      <c r="WPF160" s="92"/>
      <c r="WPG160" s="53"/>
      <c r="WPH160" s="53"/>
      <c r="WPI160" s="66"/>
      <c r="WPJ160" s="53"/>
      <c r="WPQ160" s="80"/>
      <c r="WPR160" s="80"/>
      <c r="WPS160" s="80"/>
      <c r="WPT160" s="80"/>
      <c r="WPU160" s="80"/>
      <c r="WPW160" s="80"/>
      <c r="WPX160" s="178"/>
      <c r="WPY160" s="80"/>
      <c r="WPZ160" s="92"/>
      <c r="WQA160" s="53"/>
      <c r="WQB160" s="53"/>
      <c r="WQC160" s="66"/>
      <c r="WQD160" s="53"/>
      <c r="WQK160" s="80"/>
      <c r="WQL160" s="80"/>
      <c r="WQM160" s="80"/>
      <c r="WQN160" s="80"/>
      <c r="WQO160" s="80"/>
      <c r="WQQ160" s="80"/>
      <c r="WQR160" s="178"/>
      <c r="WQS160" s="80"/>
      <c r="WQT160" s="92"/>
      <c r="WQU160" s="53"/>
      <c r="WQV160" s="53"/>
      <c r="WQW160" s="66"/>
      <c r="WQX160" s="53"/>
      <c r="WRE160" s="80"/>
      <c r="WRF160" s="80"/>
      <c r="WRG160" s="80"/>
      <c r="WRH160" s="80"/>
      <c r="WRI160" s="80"/>
      <c r="WRK160" s="80"/>
      <c r="WRL160" s="178"/>
      <c r="WRM160" s="80"/>
      <c r="WRN160" s="92"/>
      <c r="WRO160" s="53"/>
      <c r="WRP160" s="53"/>
      <c r="WRQ160" s="66"/>
      <c r="WRR160" s="53"/>
      <c r="WRY160" s="80"/>
      <c r="WRZ160" s="80"/>
      <c r="WSA160" s="80"/>
      <c r="WSB160" s="80"/>
      <c r="WSC160" s="80"/>
      <c r="WSE160" s="80"/>
      <c r="WSF160" s="178"/>
      <c r="WSG160" s="80"/>
      <c r="WSH160" s="92"/>
      <c r="WSI160" s="53"/>
      <c r="WSJ160" s="53"/>
      <c r="WSK160" s="66"/>
      <c r="WSL160" s="53"/>
      <c r="WSS160" s="80"/>
      <c r="WST160" s="80"/>
      <c r="WSU160" s="80"/>
      <c r="WSV160" s="80"/>
      <c r="WSW160" s="80"/>
      <c r="WSY160" s="80"/>
      <c r="WSZ160" s="178"/>
      <c r="WTA160" s="80"/>
      <c r="WTB160" s="92"/>
      <c r="WTC160" s="53"/>
      <c r="WTD160" s="53"/>
      <c r="WTE160" s="66"/>
      <c r="WTF160" s="53"/>
      <c r="WTM160" s="80"/>
      <c r="WTN160" s="80"/>
      <c r="WTO160" s="80"/>
      <c r="WTP160" s="80"/>
      <c r="WTQ160" s="80"/>
      <c r="WTS160" s="80"/>
      <c r="WTT160" s="178"/>
      <c r="WTU160" s="80"/>
      <c r="WTV160" s="92"/>
      <c r="WTW160" s="53"/>
      <c r="WTX160" s="53"/>
      <c r="WTY160" s="66"/>
      <c r="WTZ160" s="53"/>
      <c r="WUG160" s="80"/>
      <c r="WUH160" s="80"/>
      <c r="WUI160" s="80"/>
      <c r="WUJ160" s="80"/>
      <c r="WUK160" s="80"/>
      <c r="WUM160" s="80"/>
      <c r="WUN160" s="178"/>
      <c r="WUO160" s="80"/>
      <c r="WUP160" s="92"/>
      <c r="WUQ160" s="53"/>
      <c r="WUR160" s="53"/>
      <c r="WUS160" s="66"/>
      <c r="WUT160" s="53"/>
      <c r="WVA160" s="80"/>
      <c r="WVB160" s="80"/>
      <c r="WVC160" s="80"/>
      <c r="WVD160" s="80"/>
      <c r="WVE160" s="80"/>
      <c r="WVG160" s="80"/>
      <c r="WVH160" s="178"/>
      <c r="WVI160" s="80"/>
      <c r="WVJ160" s="92"/>
      <c r="WVK160" s="53"/>
      <c r="WVL160" s="53"/>
      <c r="WVM160" s="66"/>
      <c r="WVN160" s="53"/>
      <c r="WVU160" s="80"/>
      <c r="WVV160" s="80"/>
      <c r="WVW160" s="80"/>
      <c r="WVX160" s="80"/>
      <c r="WVY160" s="80"/>
      <c r="WWA160" s="80"/>
      <c r="WWB160" s="178"/>
      <c r="WWC160" s="80"/>
      <c r="WWD160" s="92"/>
      <c r="WWE160" s="53"/>
      <c r="WWF160" s="53"/>
      <c r="WWG160" s="66"/>
      <c r="WWH160" s="53"/>
      <c r="WWO160" s="80"/>
      <c r="WWP160" s="80"/>
      <c r="WWQ160" s="80"/>
      <c r="WWR160" s="80"/>
      <c r="WWS160" s="80"/>
      <c r="WWU160" s="80"/>
      <c r="WWV160" s="178"/>
      <c r="WWW160" s="80"/>
      <c r="WWX160" s="92"/>
      <c r="WWY160" s="53"/>
      <c r="WWZ160" s="53"/>
      <c r="WXA160" s="66"/>
      <c r="WXB160" s="53"/>
      <c r="WXI160" s="80"/>
      <c r="WXJ160" s="80"/>
      <c r="WXK160" s="80"/>
      <c r="WXL160" s="80"/>
      <c r="WXM160" s="80"/>
      <c r="WXO160" s="80"/>
      <c r="WXP160" s="178"/>
      <c r="WXQ160" s="80"/>
      <c r="WXR160" s="92"/>
      <c r="WXS160" s="53"/>
      <c r="WXT160" s="53"/>
      <c r="WXU160" s="66"/>
      <c r="WXV160" s="53"/>
      <c r="WYC160" s="80"/>
      <c r="WYD160" s="80"/>
      <c r="WYE160" s="80"/>
      <c r="WYF160" s="80"/>
      <c r="WYG160" s="80"/>
      <c r="WYI160" s="80"/>
      <c r="WYJ160" s="178"/>
      <c r="WYK160" s="80"/>
      <c r="WYL160" s="92"/>
      <c r="WYM160" s="53"/>
      <c r="WYN160" s="53"/>
      <c r="WYO160" s="66"/>
      <c r="WYP160" s="53"/>
      <c r="WYW160" s="80"/>
      <c r="WYX160" s="80"/>
      <c r="WYY160" s="80"/>
      <c r="WYZ160" s="80"/>
      <c r="WZA160" s="80"/>
      <c r="WZC160" s="80"/>
      <c r="WZD160" s="178"/>
      <c r="WZE160" s="80"/>
      <c r="WZF160" s="92"/>
      <c r="WZG160" s="53"/>
      <c r="WZH160" s="53"/>
      <c r="WZI160" s="66"/>
      <c r="WZJ160" s="53"/>
      <c r="WZQ160" s="80"/>
      <c r="WZR160" s="80"/>
      <c r="WZS160" s="80"/>
      <c r="WZT160" s="80"/>
      <c r="WZU160" s="80"/>
      <c r="WZW160" s="80"/>
      <c r="WZX160" s="178"/>
      <c r="WZY160" s="80"/>
      <c r="WZZ160" s="92"/>
      <c r="XAA160" s="53"/>
      <c r="XAB160" s="53"/>
      <c r="XAC160" s="66"/>
      <c r="XAD160" s="53"/>
      <c r="XAK160" s="80"/>
      <c r="XAL160" s="80"/>
      <c r="XAM160" s="80"/>
      <c r="XAN160" s="80"/>
      <c r="XAO160" s="80"/>
      <c r="XAQ160" s="80"/>
      <c r="XAR160" s="178"/>
      <c r="XAS160" s="80"/>
      <c r="XAT160" s="92"/>
      <c r="XAU160" s="53"/>
      <c r="XAV160" s="53"/>
      <c r="XAW160" s="66"/>
      <c r="XAX160" s="53"/>
      <c r="XBE160" s="80"/>
      <c r="XBF160" s="80"/>
      <c r="XBG160" s="80"/>
      <c r="XBH160" s="80"/>
      <c r="XBI160" s="80"/>
      <c r="XBK160" s="80"/>
      <c r="XBL160" s="178"/>
      <c r="XBM160" s="80"/>
      <c r="XBN160" s="92"/>
      <c r="XBO160" s="53"/>
      <c r="XBP160" s="53"/>
      <c r="XBQ160" s="66"/>
      <c r="XBR160" s="53"/>
      <c r="XBY160" s="80"/>
      <c r="XBZ160" s="80"/>
      <c r="XCA160" s="80"/>
      <c r="XCB160" s="80"/>
      <c r="XCC160" s="80"/>
      <c r="XCE160" s="80"/>
      <c r="XCF160" s="178"/>
      <c r="XCG160" s="80"/>
      <c r="XCH160" s="92"/>
      <c r="XCI160" s="53"/>
      <c r="XCJ160" s="53"/>
      <c r="XCK160" s="66"/>
      <c r="XCL160" s="53"/>
      <c r="XCS160" s="80"/>
      <c r="XCT160" s="80"/>
      <c r="XCU160" s="80"/>
      <c r="XCV160" s="80"/>
      <c r="XCW160" s="80"/>
      <c r="XCY160" s="80"/>
      <c r="XCZ160" s="178"/>
      <c r="XDA160" s="80"/>
      <c r="XDB160" s="92"/>
      <c r="XDC160" s="53"/>
      <c r="XDD160" s="53"/>
      <c r="XDE160" s="66"/>
      <c r="XDF160" s="53"/>
      <c r="XDM160" s="80"/>
      <c r="XDN160" s="80"/>
      <c r="XDO160" s="80"/>
      <c r="XDP160" s="80"/>
      <c r="XDQ160" s="80"/>
      <c r="XDS160" s="80"/>
      <c r="XDT160" s="178"/>
      <c r="XDU160" s="80"/>
      <c r="XDV160" s="92"/>
      <c r="XDW160" s="53"/>
      <c r="XDX160" s="53"/>
      <c r="XDY160" s="66"/>
      <c r="XDZ160" s="53"/>
      <c r="XEG160" s="80"/>
      <c r="XEH160" s="80"/>
      <c r="XEI160" s="80"/>
      <c r="XEJ160" s="80"/>
      <c r="XEK160" s="80"/>
      <c r="XEM160" s="80"/>
      <c r="XEN160" s="178"/>
      <c r="XEO160" s="80"/>
      <c r="XEP160" s="92"/>
      <c r="XEQ160" s="53"/>
      <c r="XER160" s="53"/>
      <c r="XES160" s="66"/>
      <c r="XET160" s="53"/>
      <c r="XFA160" s="80"/>
      <c r="XFB160" s="80"/>
      <c r="XFC160" s="80"/>
      <c r="XFD160" s="80"/>
    </row>
    <row r="161" spans="1:21" ht="23.25" customHeight="1">
      <c r="A161" s="85">
        <v>184</v>
      </c>
      <c r="B161" s="85" t="s">
        <v>558</v>
      </c>
      <c r="C161" s="85">
        <v>400</v>
      </c>
      <c r="D161" s="85">
        <v>500</v>
      </c>
      <c r="E161" s="85" t="s">
        <v>559</v>
      </c>
      <c r="F161" s="85" t="s">
        <v>125</v>
      </c>
      <c r="G161" s="85">
        <v>3</v>
      </c>
      <c r="H161" s="93" t="s">
        <v>20</v>
      </c>
      <c r="I161" s="93" t="s">
        <v>175</v>
      </c>
      <c r="J161" s="78">
        <v>46203</v>
      </c>
      <c r="K161" s="85"/>
      <c r="L161" s="264" t="s">
        <v>133</v>
      </c>
      <c r="M161" s="63"/>
      <c r="N161" s="85"/>
      <c r="O161" s="85"/>
      <c r="P161" s="85"/>
      <c r="Q161" s="85"/>
      <c r="R161" s="85"/>
      <c r="S161" s="85"/>
      <c r="T161" s="85"/>
      <c r="U161" s="85"/>
    </row>
    <row r="162" spans="1:21" ht="36" customHeight="1">
      <c r="A162" s="43">
        <v>14</v>
      </c>
      <c r="B162" s="43">
        <v>813135</v>
      </c>
      <c r="C162" s="43">
        <v>200</v>
      </c>
      <c r="D162" s="43">
        <v>230</v>
      </c>
      <c r="E162" s="93" t="s">
        <v>189</v>
      </c>
      <c r="F162" s="93" t="s">
        <v>7</v>
      </c>
      <c r="G162" s="43">
        <v>1</v>
      </c>
      <c r="H162" s="93" t="s">
        <v>8</v>
      </c>
      <c r="I162" s="93" t="s">
        <v>55</v>
      </c>
      <c r="J162" s="44">
        <v>46205</v>
      </c>
      <c r="K162" s="134"/>
      <c r="L162" s="204" t="s">
        <v>138</v>
      </c>
      <c r="M162" s="63"/>
      <c r="N162" s="49"/>
      <c r="O162" s="93"/>
      <c r="P162" s="93"/>
      <c r="Q162" s="93"/>
      <c r="R162" s="93"/>
      <c r="S162" s="93"/>
      <c r="T162" s="93"/>
      <c r="U162" s="93"/>
    </row>
    <row r="163" spans="1:21" ht="34.5" customHeight="1">
      <c r="A163" s="43">
        <v>179</v>
      </c>
      <c r="B163" s="43">
        <v>813387</v>
      </c>
      <c r="C163" s="43">
        <v>200</v>
      </c>
      <c r="D163" s="43">
        <v>220</v>
      </c>
      <c r="E163" s="43" t="s">
        <v>588</v>
      </c>
      <c r="F163" s="93" t="s">
        <v>7</v>
      </c>
      <c r="G163" s="43">
        <v>1</v>
      </c>
      <c r="H163" s="93" t="s">
        <v>18</v>
      </c>
      <c r="I163" s="93" t="s">
        <v>42</v>
      </c>
      <c r="J163" s="44">
        <v>46208</v>
      </c>
      <c r="K163" s="43"/>
      <c r="L163" s="204" t="s">
        <v>133</v>
      </c>
      <c r="M163" s="63"/>
      <c r="N163" s="43"/>
      <c r="O163" s="43"/>
      <c r="P163" s="43"/>
      <c r="Q163" s="43"/>
      <c r="R163" s="43"/>
      <c r="S163" s="43"/>
      <c r="T163" s="43"/>
      <c r="U163" s="43"/>
    </row>
    <row r="164" spans="1:21" ht="23.25" customHeight="1">
      <c r="A164" s="43">
        <v>165</v>
      </c>
      <c r="B164" s="43" t="s">
        <v>499</v>
      </c>
      <c r="C164" s="43">
        <v>150</v>
      </c>
      <c r="D164" s="43">
        <v>275</v>
      </c>
      <c r="E164" s="43" t="s">
        <v>500</v>
      </c>
      <c r="F164" s="93" t="s">
        <v>7</v>
      </c>
      <c r="G164" s="43">
        <v>2</v>
      </c>
      <c r="H164" s="93" t="s">
        <v>10</v>
      </c>
      <c r="I164" s="93" t="s">
        <v>42</v>
      </c>
      <c r="J164" s="44">
        <v>46213</v>
      </c>
      <c r="K164" s="43"/>
      <c r="L164" s="204" t="s">
        <v>133</v>
      </c>
      <c r="M164" s="63"/>
      <c r="N164" s="43"/>
      <c r="O164" s="43"/>
      <c r="P164" s="43"/>
      <c r="Q164" s="43"/>
      <c r="R164" s="43"/>
      <c r="S164" s="43"/>
      <c r="T164" s="43"/>
      <c r="U164" s="43"/>
    </row>
    <row r="165" spans="1:21" ht="32.65" customHeight="1">
      <c r="A165" s="43">
        <v>187</v>
      </c>
      <c r="B165" s="43">
        <v>813391</v>
      </c>
      <c r="C165" s="43">
        <v>400</v>
      </c>
      <c r="D165" s="43">
        <v>400</v>
      </c>
      <c r="E165" s="43" t="s">
        <v>599</v>
      </c>
      <c r="F165" s="43" t="s">
        <v>7</v>
      </c>
      <c r="G165" s="43">
        <v>1</v>
      </c>
      <c r="H165" s="93" t="s">
        <v>9</v>
      </c>
      <c r="I165" s="93" t="s">
        <v>55</v>
      </c>
      <c r="J165" s="44">
        <v>46213</v>
      </c>
      <c r="K165" s="49"/>
      <c r="L165" s="204"/>
      <c r="M165" s="63"/>
      <c r="N165" s="49"/>
      <c r="O165" s="93"/>
      <c r="P165" s="93"/>
      <c r="Q165" s="93"/>
      <c r="R165" s="93"/>
      <c r="S165" s="93"/>
      <c r="T165" s="49" t="s">
        <v>617</v>
      </c>
      <c r="U165" s="93"/>
    </row>
    <row r="166" spans="1:21" ht="37.5" customHeight="1">
      <c r="A166" s="43">
        <v>175</v>
      </c>
      <c r="B166" s="43">
        <v>813361</v>
      </c>
      <c r="C166" s="43">
        <v>125</v>
      </c>
      <c r="D166" s="43">
        <v>400</v>
      </c>
      <c r="E166" s="43" t="s">
        <v>529</v>
      </c>
      <c r="F166" s="93" t="s">
        <v>7</v>
      </c>
      <c r="G166" s="43">
        <v>1</v>
      </c>
      <c r="H166" s="93" t="s">
        <v>6</v>
      </c>
      <c r="I166" s="93" t="s">
        <v>42</v>
      </c>
      <c r="J166" s="44">
        <v>46218</v>
      </c>
      <c r="K166" s="43"/>
      <c r="L166" s="204"/>
      <c r="M166" s="94"/>
      <c r="N166" s="43"/>
      <c r="O166" s="43"/>
      <c r="P166" s="43"/>
      <c r="Q166" s="43"/>
      <c r="R166" s="43"/>
      <c r="S166" s="43"/>
      <c r="T166" s="43" t="s">
        <v>530</v>
      </c>
      <c r="U166" s="43"/>
    </row>
    <row r="167" spans="1:21" ht="39" customHeight="1">
      <c r="A167" s="43">
        <v>180</v>
      </c>
      <c r="B167" s="43">
        <v>813390</v>
      </c>
      <c r="C167" s="43">
        <v>400</v>
      </c>
      <c r="D167" s="43">
        <v>400</v>
      </c>
      <c r="E167" s="43" t="s">
        <v>570</v>
      </c>
      <c r="F167" s="93" t="s">
        <v>7</v>
      </c>
      <c r="G167" s="43">
        <v>1</v>
      </c>
      <c r="H167" s="93" t="s">
        <v>9</v>
      </c>
      <c r="I167" s="93" t="s">
        <v>55</v>
      </c>
      <c r="J167" s="44">
        <v>46218</v>
      </c>
      <c r="K167" s="43"/>
      <c r="L167" s="204" t="s">
        <v>138</v>
      </c>
      <c r="M167" s="94"/>
      <c r="N167" s="43"/>
      <c r="O167" s="43"/>
      <c r="P167" s="43"/>
      <c r="Q167" s="43"/>
      <c r="R167" s="43"/>
      <c r="S167" s="43"/>
      <c r="T167" s="43" t="s">
        <v>571</v>
      </c>
      <c r="U167" s="43" t="s">
        <v>572</v>
      </c>
    </row>
    <row r="168" spans="1:21" ht="23.25" customHeight="1">
      <c r="A168" s="43">
        <v>181</v>
      </c>
      <c r="B168" s="43" t="s">
        <v>590</v>
      </c>
      <c r="C168" s="43">
        <v>200</v>
      </c>
      <c r="D168" s="43">
        <v>220</v>
      </c>
      <c r="E168" s="43" t="s">
        <v>570</v>
      </c>
      <c r="F168" s="93" t="s">
        <v>7</v>
      </c>
      <c r="G168" s="43">
        <v>2</v>
      </c>
      <c r="H168" s="93" t="s">
        <v>18</v>
      </c>
      <c r="I168" s="93" t="s">
        <v>42</v>
      </c>
      <c r="J168" s="44">
        <v>46218</v>
      </c>
      <c r="K168" s="43"/>
      <c r="L168" s="204" t="s">
        <v>133</v>
      </c>
      <c r="M168" s="166"/>
      <c r="N168" s="43"/>
      <c r="O168" s="43"/>
      <c r="P168" s="43"/>
      <c r="Q168" s="43"/>
      <c r="R168" s="43"/>
      <c r="S168" s="43"/>
      <c r="T168" s="43" t="s">
        <v>569</v>
      </c>
      <c r="U168" s="43"/>
    </row>
    <row r="169" spans="1:21" ht="23.25" customHeight="1">
      <c r="A169" s="43">
        <v>186</v>
      </c>
      <c r="B169" s="43">
        <v>813393</v>
      </c>
      <c r="C169" s="43">
        <v>350</v>
      </c>
      <c r="D169" s="43">
        <v>230</v>
      </c>
      <c r="E169" s="43" t="s">
        <v>593</v>
      </c>
      <c r="F169" s="93" t="s">
        <v>7</v>
      </c>
      <c r="G169" s="43">
        <v>1</v>
      </c>
      <c r="H169" s="93" t="s">
        <v>129</v>
      </c>
      <c r="I169" s="93" t="s">
        <v>175</v>
      </c>
      <c r="J169" s="44">
        <v>46218</v>
      </c>
      <c r="K169" s="49"/>
      <c r="L169" s="204" t="s">
        <v>133</v>
      </c>
      <c r="M169" s="166"/>
      <c r="N169" s="49"/>
      <c r="O169" s="93"/>
      <c r="P169" s="93"/>
      <c r="Q169" s="93"/>
      <c r="R169" s="93"/>
      <c r="S169" s="93"/>
      <c r="T169" s="93" t="s">
        <v>594</v>
      </c>
      <c r="U169" s="93"/>
    </row>
    <row r="170" spans="1:21" ht="34.5" customHeight="1">
      <c r="A170" s="43">
        <v>185</v>
      </c>
      <c r="B170" s="43">
        <v>850816</v>
      </c>
      <c r="C170" s="43">
        <v>150</v>
      </c>
      <c r="D170" s="43">
        <v>220</v>
      </c>
      <c r="E170" s="43" t="s">
        <v>641</v>
      </c>
      <c r="F170" s="43" t="s">
        <v>125</v>
      </c>
      <c r="G170" s="43">
        <v>1</v>
      </c>
      <c r="H170" s="93" t="s">
        <v>48</v>
      </c>
      <c r="I170" s="93" t="s">
        <v>175</v>
      </c>
      <c r="J170" s="44">
        <v>46218</v>
      </c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</row>
    <row r="171" spans="1:21" ht="23.25" customHeight="1">
      <c r="A171" s="43">
        <v>22</v>
      </c>
      <c r="B171" s="54">
        <v>813140</v>
      </c>
      <c r="C171" s="54">
        <v>50</v>
      </c>
      <c r="D171" s="54">
        <v>230</v>
      </c>
      <c r="E171" s="54" t="s">
        <v>189</v>
      </c>
      <c r="F171" s="174" t="s">
        <v>7</v>
      </c>
      <c r="G171" s="54">
        <v>1</v>
      </c>
      <c r="H171" s="93" t="s">
        <v>8</v>
      </c>
      <c r="I171" s="93" t="s">
        <v>55</v>
      </c>
      <c r="J171" s="44">
        <v>46228</v>
      </c>
      <c r="K171" s="52"/>
      <c r="L171" s="43"/>
      <c r="M171" s="43"/>
      <c r="N171" s="49"/>
      <c r="O171" s="93"/>
      <c r="P171" s="93"/>
      <c r="Q171" s="93"/>
      <c r="R171" s="93"/>
      <c r="S171" s="93"/>
      <c r="T171" s="93"/>
      <c r="U171" s="93"/>
    </row>
    <row r="172" spans="1:21" ht="23.25" customHeight="1">
      <c r="A172" s="43">
        <v>20</v>
      </c>
      <c r="B172" s="43">
        <v>813142</v>
      </c>
      <c r="C172" s="43">
        <v>80</v>
      </c>
      <c r="D172" s="43">
        <v>230</v>
      </c>
      <c r="E172" s="93" t="s">
        <v>189</v>
      </c>
      <c r="F172" s="93" t="s">
        <v>7</v>
      </c>
      <c r="G172" s="43">
        <v>1</v>
      </c>
      <c r="H172" s="93" t="s">
        <v>8</v>
      </c>
      <c r="I172" s="93" t="s">
        <v>55</v>
      </c>
      <c r="J172" s="44">
        <v>46233</v>
      </c>
      <c r="K172" s="52"/>
      <c r="L172" s="43"/>
      <c r="M172" s="43"/>
      <c r="N172" s="49"/>
      <c r="O172" s="93"/>
      <c r="P172" s="93"/>
      <c r="Q172" s="93"/>
      <c r="R172" s="93"/>
      <c r="S172" s="93"/>
      <c r="T172" s="93"/>
      <c r="U172" s="93"/>
    </row>
    <row r="173" spans="1:21" ht="37.5" customHeight="1">
      <c r="A173" s="43">
        <v>198</v>
      </c>
      <c r="B173" s="43">
        <v>850858</v>
      </c>
      <c r="C173" s="43">
        <v>240</v>
      </c>
      <c r="D173" s="43">
        <v>220</v>
      </c>
      <c r="E173" s="43" t="s">
        <v>642</v>
      </c>
      <c r="F173" s="43" t="s">
        <v>125</v>
      </c>
      <c r="G173" s="43">
        <v>1</v>
      </c>
      <c r="H173" s="93" t="s">
        <v>48</v>
      </c>
      <c r="I173" s="43" t="s">
        <v>42</v>
      </c>
      <c r="J173" s="44">
        <v>46241</v>
      </c>
      <c r="K173" s="43"/>
      <c r="L173" s="204" t="s">
        <v>138</v>
      </c>
      <c r="M173" s="166"/>
      <c r="N173" s="43"/>
      <c r="O173" s="43"/>
      <c r="P173" s="43"/>
      <c r="Q173" s="43"/>
      <c r="R173" s="43"/>
      <c r="S173" s="43"/>
      <c r="T173" s="43"/>
      <c r="U173" s="43" t="s">
        <v>646</v>
      </c>
    </row>
    <row r="174" spans="1:21" ht="23.25" customHeight="1">
      <c r="A174" s="43">
        <v>191</v>
      </c>
      <c r="B174" s="43" t="s">
        <v>630</v>
      </c>
      <c r="C174" s="43">
        <v>60</v>
      </c>
      <c r="D174" s="43">
        <v>380</v>
      </c>
      <c r="E174" s="43" t="s">
        <v>631</v>
      </c>
      <c r="F174" s="43" t="s">
        <v>7</v>
      </c>
      <c r="G174" s="43">
        <v>2</v>
      </c>
      <c r="H174" s="93" t="s">
        <v>9</v>
      </c>
      <c r="I174" s="93" t="s">
        <v>55</v>
      </c>
      <c r="J174" s="44">
        <v>46242</v>
      </c>
      <c r="K174" s="247"/>
      <c r="L174" s="43"/>
      <c r="M174" s="43"/>
      <c r="N174" s="43"/>
      <c r="O174" s="43"/>
      <c r="P174" s="43"/>
      <c r="Q174" s="43"/>
      <c r="R174" s="43"/>
      <c r="S174" s="43"/>
      <c r="T174" s="43"/>
      <c r="U174" s="43"/>
    </row>
    <row r="175" spans="1:21" ht="35.25" customHeight="1">
      <c r="A175" s="43">
        <v>183</v>
      </c>
      <c r="B175" s="43" t="s">
        <v>574</v>
      </c>
      <c r="C175" s="43">
        <v>286</v>
      </c>
      <c r="D175" s="43">
        <v>410</v>
      </c>
      <c r="E175" s="43" t="s">
        <v>575</v>
      </c>
      <c r="F175" s="43" t="s">
        <v>7</v>
      </c>
      <c r="G175" s="43">
        <v>4</v>
      </c>
      <c r="H175" s="93" t="s">
        <v>10</v>
      </c>
      <c r="I175" s="93" t="s">
        <v>42</v>
      </c>
      <c r="J175" s="44">
        <v>46248</v>
      </c>
      <c r="K175" s="43"/>
      <c r="L175" s="49"/>
      <c r="M175" s="65"/>
      <c r="N175" s="43"/>
      <c r="O175" s="43"/>
      <c r="P175" s="43"/>
      <c r="Q175" s="43"/>
      <c r="R175" s="43"/>
      <c r="S175" s="43"/>
      <c r="T175" s="43"/>
      <c r="U175" s="43" t="s">
        <v>157</v>
      </c>
    </row>
    <row r="176" spans="1:21" ht="40.5" customHeight="1">
      <c r="A176" s="43">
        <v>172</v>
      </c>
      <c r="B176" s="43" t="s">
        <v>516</v>
      </c>
      <c r="C176" s="43">
        <v>400</v>
      </c>
      <c r="D176" s="43">
        <v>400</v>
      </c>
      <c r="E176" s="43" t="s">
        <v>518</v>
      </c>
      <c r="F176" s="93" t="s">
        <v>7</v>
      </c>
      <c r="G176" s="43">
        <v>3</v>
      </c>
      <c r="H176" s="93" t="s">
        <v>20</v>
      </c>
      <c r="I176" s="93" t="s">
        <v>175</v>
      </c>
      <c r="J176" s="44">
        <v>46249</v>
      </c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</row>
    <row r="177" spans="1:21" ht="40.5" customHeight="1">
      <c r="A177" s="43">
        <v>189</v>
      </c>
      <c r="B177" s="43" t="s">
        <v>606</v>
      </c>
      <c r="C177" s="43">
        <v>400</v>
      </c>
      <c r="D177" s="43">
        <v>415</v>
      </c>
      <c r="E177" s="43" t="s">
        <v>607</v>
      </c>
      <c r="F177" s="43" t="s">
        <v>7</v>
      </c>
      <c r="G177" s="43">
        <v>3</v>
      </c>
      <c r="H177" s="93" t="s">
        <v>129</v>
      </c>
      <c r="I177" s="93" t="s">
        <v>175</v>
      </c>
      <c r="J177" s="44">
        <v>46249</v>
      </c>
      <c r="K177" s="49"/>
      <c r="L177" s="49"/>
      <c r="M177" s="65"/>
      <c r="N177" s="49"/>
      <c r="O177" s="93"/>
      <c r="P177" s="93"/>
      <c r="Q177" s="93"/>
      <c r="R177" s="93"/>
      <c r="S177" s="93"/>
      <c r="T177" s="49"/>
      <c r="U177" s="93"/>
    </row>
    <row r="178" spans="1:21" ht="40.5" customHeight="1">
      <c r="A178" s="43">
        <v>182</v>
      </c>
      <c r="B178" s="43" t="s">
        <v>563</v>
      </c>
      <c r="C178" s="43">
        <v>240</v>
      </c>
      <c r="D178" s="43">
        <v>400</v>
      </c>
      <c r="E178" s="43" t="s">
        <v>564</v>
      </c>
      <c r="F178" s="93" t="s">
        <v>7</v>
      </c>
      <c r="G178" s="43">
        <v>2</v>
      </c>
      <c r="H178" s="93" t="s">
        <v>9</v>
      </c>
      <c r="I178" s="93" t="s">
        <v>42</v>
      </c>
      <c r="J178" s="44">
        <v>46264</v>
      </c>
      <c r="K178" s="43"/>
      <c r="L178" s="247" t="s">
        <v>133</v>
      </c>
      <c r="M178" s="166"/>
      <c r="N178" s="43"/>
      <c r="O178" s="43"/>
      <c r="P178" s="43"/>
      <c r="Q178" s="43"/>
      <c r="R178" s="43"/>
      <c r="S178" s="43"/>
      <c r="T178" s="43"/>
      <c r="U178" s="43"/>
    </row>
    <row r="179" spans="1:21" ht="15">
      <c r="A179" s="43">
        <v>157</v>
      </c>
      <c r="B179" s="43">
        <v>813325</v>
      </c>
      <c r="C179" s="43">
        <v>320</v>
      </c>
      <c r="D179" s="43">
        <v>275</v>
      </c>
      <c r="E179" s="43" t="s">
        <v>469</v>
      </c>
      <c r="F179" s="93" t="s">
        <v>7</v>
      </c>
      <c r="G179" s="43">
        <v>1</v>
      </c>
      <c r="H179" s="93" t="s">
        <v>10</v>
      </c>
      <c r="I179" s="93" t="s">
        <v>42</v>
      </c>
      <c r="J179" s="44">
        <v>46264</v>
      </c>
      <c r="K179" s="49"/>
      <c r="L179" s="43"/>
      <c r="M179" s="43"/>
      <c r="N179" s="49"/>
      <c r="O179" s="93"/>
      <c r="P179" s="93"/>
      <c r="Q179" s="93"/>
      <c r="R179" s="93"/>
      <c r="S179" s="93"/>
      <c r="T179" s="93"/>
      <c r="U179" s="43"/>
    </row>
    <row r="180" spans="1:21" ht="38.65" customHeight="1">
      <c r="A180" s="43">
        <v>195</v>
      </c>
      <c r="B180" s="43" t="s">
        <v>612</v>
      </c>
      <c r="C180" s="43">
        <v>280</v>
      </c>
      <c r="D180" s="43">
        <v>400</v>
      </c>
      <c r="E180" s="43" t="s">
        <v>613</v>
      </c>
      <c r="F180" s="43" t="s">
        <v>7</v>
      </c>
      <c r="G180" s="43">
        <v>4</v>
      </c>
      <c r="H180" s="93" t="s">
        <v>6</v>
      </c>
      <c r="I180" s="93" t="s">
        <v>42</v>
      </c>
      <c r="J180" s="44">
        <v>46265</v>
      </c>
      <c r="K180" s="49"/>
      <c r="L180" s="43"/>
      <c r="M180" s="43"/>
      <c r="N180" s="49"/>
      <c r="O180" s="93"/>
      <c r="P180" s="93"/>
      <c r="Q180" s="93"/>
      <c r="R180" s="93"/>
      <c r="S180" s="93"/>
      <c r="T180" s="93" t="s">
        <v>614</v>
      </c>
      <c r="U180" s="93"/>
    </row>
    <row r="181" spans="1:21" ht="34.5" customHeight="1">
      <c r="A181" s="43">
        <v>193</v>
      </c>
      <c r="B181" s="43" t="s">
        <v>622</v>
      </c>
      <c r="C181" s="43">
        <v>315</v>
      </c>
      <c r="D181" s="43">
        <v>330</v>
      </c>
      <c r="E181" s="43" t="s">
        <v>621</v>
      </c>
      <c r="F181" s="93" t="s">
        <v>7</v>
      </c>
      <c r="G181" s="43">
        <v>2</v>
      </c>
      <c r="H181" s="93" t="s">
        <v>18</v>
      </c>
      <c r="I181" s="93" t="s">
        <v>55</v>
      </c>
      <c r="J181" s="44">
        <v>46270</v>
      </c>
      <c r="K181" s="49"/>
      <c r="L181" s="204" t="s">
        <v>133</v>
      </c>
      <c r="M181" s="43"/>
      <c r="N181" s="49"/>
      <c r="O181" s="93"/>
      <c r="P181" s="93"/>
      <c r="Q181" s="93"/>
      <c r="R181" s="93"/>
      <c r="S181" s="93"/>
      <c r="T181" s="93"/>
      <c r="U181" s="93"/>
    </row>
    <row r="182" spans="1:21" ht="36" customHeight="1">
      <c r="A182" s="43">
        <v>156</v>
      </c>
      <c r="B182" s="43" t="s">
        <v>438</v>
      </c>
      <c r="C182" s="43">
        <v>250</v>
      </c>
      <c r="D182" s="43">
        <v>500</v>
      </c>
      <c r="E182" s="43" t="s">
        <v>439</v>
      </c>
      <c r="F182" s="93" t="s">
        <v>7</v>
      </c>
      <c r="G182" s="43">
        <v>4</v>
      </c>
      <c r="H182" s="93" t="s">
        <v>8</v>
      </c>
      <c r="I182" s="93" t="s">
        <v>175</v>
      </c>
      <c r="J182" s="44">
        <v>46280</v>
      </c>
      <c r="K182" s="49"/>
      <c r="L182" s="49"/>
      <c r="M182" s="65"/>
      <c r="N182" s="49"/>
      <c r="O182" s="93"/>
      <c r="P182" s="93"/>
      <c r="Q182" s="93"/>
      <c r="R182" s="93"/>
      <c r="S182" s="93"/>
      <c r="T182" s="93"/>
      <c r="U182" s="93"/>
    </row>
    <row r="183" spans="1:21" ht="34.15" customHeight="1">
      <c r="A183" s="43">
        <v>176</v>
      </c>
      <c r="B183" s="43" t="s">
        <v>543</v>
      </c>
      <c r="C183" s="43">
        <v>300</v>
      </c>
      <c r="D183" s="43">
        <v>275</v>
      </c>
      <c r="E183" s="43" t="s">
        <v>542</v>
      </c>
      <c r="F183" s="93" t="s">
        <v>7</v>
      </c>
      <c r="G183" s="43">
        <v>2</v>
      </c>
      <c r="H183" s="93" t="s">
        <v>8</v>
      </c>
      <c r="I183" s="93" t="s">
        <v>55</v>
      </c>
      <c r="J183" s="44">
        <v>46280</v>
      </c>
      <c r="K183" s="43"/>
      <c r="L183" s="204" t="s">
        <v>138</v>
      </c>
      <c r="M183" s="65"/>
      <c r="N183" s="43"/>
      <c r="O183" s="43"/>
      <c r="P183" s="43"/>
      <c r="Q183" s="43" t="s">
        <v>550</v>
      </c>
      <c r="R183" s="43"/>
      <c r="S183" s="43"/>
      <c r="T183" s="43"/>
      <c r="U183" s="43"/>
    </row>
    <row r="184" spans="1:21" ht="32.65" customHeight="1">
      <c r="A184" s="43">
        <v>194</v>
      </c>
      <c r="B184" s="43" t="s">
        <v>625</v>
      </c>
      <c r="C184" s="43">
        <v>176</v>
      </c>
      <c r="D184" s="43">
        <v>138</v>
      </c>
      <c r="E184" s="43" t="s">
        <v>626</v>
      </c>
      <c r="F184" s="43" t="s">
        <v>7</v>
      </c>
      <c r="G184" s="43">
        <v>10</v>
      </c>
      <c r="H184" s="93" t="s">
        <v>9</v>
      </c>
      <c r="I184" s="93" t="s">
        <v>55</v>
      </c>
      <c r="J184" s="44">
        <v>46285</v>
      </c>
      <c r="K184" s="49"/>
      <c r="L184" s="49"/>
      <c r="M184" s="65"/>
      <c r="N184" s="49"/>
      <c r="O184" s="93"/>
      <c r="P184" s="93"/>
      <c r="Q184" s="93"/>
      <c r="R184" s="93"/>
      <c r="S184" s="93"/>
      <c r="T184" s="93"/>
      <c r="U184" s="93"/>
    </row>
    <row r="185" spans="1:21" ht="32.25" customHeight="1">
      <c r="A185" s="43">
        <v>196</v>
      </c>
      <c r="B185" s="43" t="s">
        <v>623</v>
      </c>
      <c r="C185" s="43">
        <v>180</v>
      </c>
      <c r="D185" s="43">
        <v>400</v>
      </c>
      <c r="E185" s="43" t="s">
        <v>624</v>
      </c>
      <c r="F185" s="43" t="s">
        <v>7</v>
      </c>
      <c r="G185" s="43">
        <v>2</v>
      </c>
      <c r="H185" s="93" t="s">
        <v>6</v>
      </c>
      <c r="I185" s="93" t="s">
        <v>42</v>
      </c>
      <c r="J185" s="44">
        <v>46285</v>
      </c>
      <c r="K185" s="49"/>
      <c r="L185" s="247" t="s">
        <v>133</v>
      </c>
      <c r="M185" s="65"/>
      <c r="N185" s="49"/>
      <c r="O185" s="93"/>
      <c r="P185" s="93"/>
      <c r="Q185" s="93"/>
      <c r="R185" s="93"/>
      <c r="S185" s="93"/>
      <c r="T185" s="93"/>
      <c r="U185" s="93"/>
    </row>
    <row r="186" spans="1:21" ht="39" customHeight="1">
      <c r="A186" s="43">
        <v>197</v>
      </c>
      <c r="B186" s="43" t="s">
        <v>640</v>
      </c>
      <c r="C186" s="43">
        <v>300</v>
      </c>
      <c r="D186" s="43">
        <v>275</v>
      </c>
      <c r="E186" s="43" t="s">
        <v>621</v>
      </c>
      <c r="F186" s="43" t="s">
        <v>7</v>
      </c>
      <c r="G186" s="43">
        <v>3</v>
      </c>
      <c r="H186" s="93" t="s">
        <v>8</v>
      </c>
      <c r="I186" s="93" t="s">
        <v>55</v>
      </c>
      <c r="J186" s="44">
        <v>46295</v>
      </c>
      <c r="K186" s="43"/>
      <c r="L186" s="49"/>
      <c r="M186" s="65"/>
      <c r="N186" s="43"/>
      <c r="O186" s="43"/>
      <c r="P186" s="43"/>
      <c r="Q186" s="93" t="s">
        <v>550</v>
      </c>
      <c r="R186" s="93"/>
      <c r="S186" s="93"/>
      <c r="T186" s="93" t="s">
        <v>643</v>
      </c>
      <c r="U186" s="43"/>
    </row>
    <row r="187" spans="1:21" ht="15.75">
      <c r="A187" s="43">
        <v>193</v>
      </c>
      <c r="B187" s="43">
        <v>813423</v>
      </c>
      <c r="C187" s="43">
        <v>91</v>
      </c>
      <c r="D187" s="43">
        <v>500</v>
      </c>
      <c r="E187" s="43" t="s">
        <v>647</v>
      </c>
      <c r="F187" s="43" t="s">
        <v>7</v>
      </c>
      <c r="G187" s="43">
        <v>1</v>
      </c>
      <c r="H187" s="93" t="s">
        <v>9</v>
      </c>
      <c r="I187" s="93" t="s">
        <v>55</v>
      </c>
      <c r="J187" s="44">
        <v>46295</v>
      </c>
      <c r="K187" s="43"/>
      <c r="L187" s="247" t="s">
        <v>133</v>
      </c>
      <c r="M187" s="65"/>
      <c r="N187" s="49"/>
      <c r="O187" s="93"/>
      <c r="P187" s="93"/>
      <c r="Q187" s="93"/>
      <c r="R187" s="93"/>
      <c r="S187" s="93"/>
      <c r="T187" s="93"/>
      <c r="U187" s="93"/>
    </row>
    <row r="188" spans="1:21" ht="21.75" customHeight="1">
      <c r="A188" s="43">
        <v>192</v>
      </c>
      <c r="B188" s="43">
        <v>813428</v>
      </c>
      <c r="C188" s="43">
        <v>255</v>
      </c>
      <c r="D188" s="43">
        <v>155</v>
      </c>
      <c r="E188" s="43" t="s">
        <v>636</v>
      </c>
      <c r="F188" s="43" t="s">
        <v>7</v>
      </c>
      <c r="G188" s="43">
        <v>1</v>
      </c>
      <c r="H188" s="93" t="s">
        <v>8</v>
      </c>
      <c r="I188" s="93" t="s">
        <v>55</v>
      </c>
      <c r="J188" s="44">
        <v>46295</v>
      </c>
      <c r="K188" s="43"/>
      <c r="L188" s="43"/>
      <c r="M188" s="43"/>
      <c r="N188" s="43"/>
      <c r="O188" s="43"/>
      <c r="P188" s="43"/>
      <c r="Q188" s="43"/>
      <c r="R188" s="43"/>
      <c r="S188" s="43"/>
      <c r="T188" s="93" t="s">
        <v>637</v>
      </c>
      <c r="U188" s="43"/>
    </row>
    <row r="189" spans="1:21" ht="21.75" customHeight="1">
      <c r="A189" s="43"/>
      <c r="B189" s="43" t="s">
        <v>649</v>
      </c>
      <c r="C189" s="43">
        <v>400</v>
      </c>
      <c r="D189" s="43">
        <v>500</v>
      </c>
      <c r="E189" s="43" t="s">
        <v>650</v>
      </c>
      <c r="F189" s="43" t="s">
        <v>125</v>
      </c>
      <c r="G189" s="43">
        <v>6</v>
      </c>
      <c r="H189" s="93" t="s">
        <v>6</v>
      </c>
      <c r="I189" s="93" t="s">
        <v>42</v>
      </c>
      <c r="J189" s="44">
        <v>46295</v>
      </c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</row>
    <row r="190" spans="1:21" ht="21.75" customHeight="1">
      <c r="A190" s="43">
        <v>40</v>
      </c>
      <c r="B190" s="244" t="s">
        <v>535</v>
      </c>
      <c r="C190" s="244">
        <v>180</v>
      </c>
      <c r="D190" s="244">
        <v>230</v>
      </c>
      <c r="E190" s="244" t="s">
        <v>532</v>
      </c>
      <c r="F190" s="245" t="s">
        <v>7</v>
      </c>
      <c r="G190" s="244">
        <v>2</v>
      </c>
      <c r="H190" s="93" t="s">
        <v>9</v>
      </c>
      <c r="I190" s="93" t="s">
        <v>42</v>
      </c>
      <c r="J190" s="146">
        <v>46310</v>
      </c>
      <c r="K190" s="246"/>
      <c r="L190" s="247" t="s">
        <v>133</v>
      </c>
      <c r="M190" s="166"/>
      <c r="N190" s="246"/>
      <c r="O190" s="245"/>
      <c r="P190" s="245"/>
      <c r="Q190" s="245"/>
      <c r="R190" s="245"/>
      <c r="S190" s="245"/>
      <c r="T190" s="245"/>
      <c r="U190" s="245"/>
    </row>
    <row r="191" spans="1:21" ht="21.75" customHeight="1">
      <c r="A191" s="43">
        <v>26</v>
      </c>
      <c r="B191" s="43" t="s">
        <v>76</v>
      </c>
      <c r="C191" s="43">
        <v>150</v>
      </c>
      <c r="D191" s="43">
        <v>400</v>
      </c>
      <c r="E191" s="166" t="s">
        <v>77</v>
      </c>
      <c r="F191" s="43" t="s">
        <v>7</v>
      </c>
      <c r="G191" s="43">
        <v>2</v>
      </c>
      <c r="H191" s="93" t="s">
        <v>9</v>
      </c>
      <c r="I191" s="93" t="s">
        <v>55</v>
      </c>
      <c r="J191" s="44">
        <v>46325</v>
      </c>
      <c r="K191" s="44"/>
      <c r="L191" s="204" t="s">
        <v>133</v>
      </c>
      <c r="M191" s="63"/>
      <c r="N191" s="44"/>
      <c r="O191" s="168"/>
      <c r="P191" s="168"/>
      <c r="Q191" s="168"/>
      <c r="R191" s="167"/>
      <c r="S191" s="168"/>
      <c r="T191" s="93"/>
      <c r="U191" s="173"/>
    </row>
    <row r="192" spans="1:21" ht="21.75" customHeight="1">
      <c r="A192" s="43">
        <v>190</v>
      </c>
      <c r="B192" s="43" t="s">
        <v>627</v>
      </c>
      <c r="C192" s="43">
        <v>80</v>
      </c>
      <c r="D192" s="43">
        <v>150</v>
      </c>
      <c r="E192" s="43" t="s">
        <v>628</v>
      </c>
      <c r="F192" s="43" t="s">
        <v>7</v>
      </c>
      <c r="G192" s="43">
        <v>3</v>
      </c>
      <c r="H192" s="93" t="s">
        <v>18</v>
      </c>
      <c r="I192" s="93" t="s">
        <v>55</v>
      </c>
      <c r="J192" s="43" t="s">
        <v>648</v>
      </c>
      <c r="K192" s="49"/>
      <c r="L192" s="49"/>
      <c r="M192" s="65"/>
      <c r="N192" s="49"/>
      <c r="O192" s="93"/>
      <c r="P192" s="93"/>
      <c r="Q192" s="93"/>
      <c r="R192" s="93"/>
      <c r="S192" s="93"/>
      <c r="T192" s="93" t="s">
        <v>629</v>
      </c>
      <c r="U192" s="93"/>
    </row>
    <row r="193" spans="1:21" ht="28.15" customHeight="1">
      <c r="A193" s="43">
        <v>42</v>
      </c>
      <c r="B193" s="43">
        <v>813149</v>
      </c>
      <c r="C193" s="43">
        <v>130</v>
      </c>
      <c r="D193" s="43">
        <v>132</v>
      </c>
      <c r="E193" s="43" t="s">
        <v>190</v>
      </c>
      <c r="F193" s="93" t="s">
        <v>7</v>
      </c>
      <c r="G193" s="43">
        <v>1</v>
      </c>
      <c r="H193" s="93" t="s">
        <v>192</v>
      </c>
      <c r="I193" s="93"/>
      <c r="J193" s="44"/>
      <c r="K193" s="52"/>
      <c r="L193" s="52"/>
      <c r="M193" s="63"/>
      <c r="N193" s="49"/>
      <c r="O193" s="93"/>
      <c r="P193" s="93"/>
      <c r="Q193" s="93"/>
      <c r="R193" s="93"/>
      <c r="S193" s="93"/>
      <c r="T193" s="93"/>
      <c r="U193" s="93"/>
    </row>
    <row r="194" spans="1:21" ht="21.75" customHeight="1">
      <c r="A194" s="43">
        <v>43</v>
      </c>
      <c r="B194" s="43">
        <v>813150</v>
      </c>
      <c r="C194" s="43">
        <v>150</v>
      </c>
      <c r="D194" s="43">
        <v>400</v>
      </c>
      <c r="E194" s="93" t="s">
        <v>191</v>
      </c>
      <c r="F194" s="93" t="s">
        <v>7</v>
      </c>
      <c r="G194" s="43">
        <v>1</v>
      </c>
      <c r="H194" s="93" t="s">
        <v>192</v>
      </c>
      <c r="I194" s="93"/>
      <c r="J194" s="44"/>
      <c r="K194" s="52"/>
      <c r="L194" s="52"/>
      <c r="M194" s="63"/>
      <c r="N194" s="49"/>
      <c r="O194" s="93"/>
      <c r="P194" s="93"/>
      <c r="Q194" s="93"/>
      <c r="R194" s="93"/>
      <c r="S194" s="93"/>
      <c r="T194" s="93"/>
      <c r="U194" s="93"/>
    </row>
    <row r="195" spans="1:21" ht="21.75" customHeight="1">
      <c r="A195" s="43">
        <v>54</v>
      </c>
      <c r="B195" s="43" t="s">
        <v>253</v>
      </c>
      <c r="C195" s="43">
        <v>220</v>
      </c>
      <c r="D195" s="43">
        <v>220</v>
      </c>
      <c r="E195" s="43" t="s">
        <v>254</v>
      </c>
      <c r="F195" s="93" t="s">
        <v>7</v>
      </c>
      <c r="G195" s="43">
        <v>1</v>
      </c>
      <c r="H195" s="93" t="s">
        <v>573</v>
      </c>
      <c r="I195" s="93"/>
      <c r="J195" s="44"/>
      <c r="K195" s="49"/>
      <c r="L195" s="204"/>
      <c r="M195" s="44"/>
      <c r="N195" s="49"/>
      <c r="O195" s="93"/>
      <c r="P195" s="93"/>
      <c r="Q195" s="93"/>
      <c r="R195" s="93"/>
      <c r="S195" s="93"/>
      <c r="T195" s="93"/>
      <c r="U195" s="93"/>
    </row>
    <row r="196" spans="1:21" ht="21.75" customHeight="1">
      <c r="A196" s="43">
        <v>188</v>
      </c>
      <c r="B196" s="43">
        <v>813392</v>
      </c>
      <c r="C196" s="43">
        <v>400</v>
      </c>
      <c r="D196" s="43">
        <v>400</v>
      </c>
      <c r="E196" s="43" t="s">
        <v>597</v>
      </c>
      <c r="F196" s="43" t="s">
        <v>7</v>
      </c>
      <c r="G196" s="43">
        <v>1</v>
      </c>
      <c r="H196" s="93" t="s">
        <v>20</v>
      </c>
      <c r="I196" s="93" t="s">
        <v>175</v>
      </c>
      <c r="J196" s="43"/>
      <c r="K196" s="49"/>
      <c r="L196" s="49"/>
      <c r="M196" s="65"/>
      <c r="N196" s="49"/>
      <c r="O196" s="93"/>
      <c r="P196" s="93"/>
      <c r="Q196" s="93"/>
      <c r="R196" s="93"/>
      <c r="S196" s="93"/>
      <c r="T196" s="93" t="s">
        <v>598</v>
      </c>
      <c r="U196" s="93"/>
    </row>
    <row r="197" spans="1:21" ht="21.75" customHeight="1">
      <c r="A197" s="43"/>
      <c r="B197" s="43">
        <v>813441</v>
      </c>
      <c r="C197" s="43">
        <v>125</v>
      </c>
      <c r="D197" s="43">
        <v>400</v>
      </c>
      <c r="E197" s="43" t="s">
        <v>529</v>
      </c>
      <c r="F197" s="93" t="s">
        <v>7</v>
      </c>
      <c r="G197" s="43">
        <v>1</v>
      </c>
      <c r="H197" s="93" t="s">
        <v>6</v>
      </c>
      <c r="I197" s="93" t="s">
        <v>42</v>
      </c>
      <c r="J197" s="166">
        <v>46249</v>
      </c>
      <c r="K197" s="43"/>
      <c r="L197" s="43"/>
      <c r="M197" s="43"/>
      <c r="N197" s="43"/>
      <c r="O197" s="43"/>
      <c r="P197" s="43"/>
      <c r="Q197" s="43"/>
      <c r="R197" s="43"/>
      <c r="S197" s="43"/>
      <c r="T197" s="93" t="s">
        <v>654</v>
      </c>
      <c r="U197" s="43"/>
    </row>
    <row r="198" spans="1:21" ht="21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</row>
    <row r="199" spans="1:21" ht="21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</row>
    <row r="200" spans="1:21" ht="21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</row>
    <row r="201" spans="1:21" ht="21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</row>
    <row r="202" spans="1:21" ht="21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</row>
  </sheetData>
  <autoFilter ref="A2:U195" xr:uid="{E4E47A35-8DDF-4291-AA26-334CDC753B18}">
    <sortState xmlns:xlrd2="http://schemas.microsoft.com/office/spreadsheetml/2017/richdata2" ref="A3:U184">
      <sortCondition ref="A2:A181"/>
    </sortState>
  </autoFilter>
  <sortState xmlns:xlrd2="http://schemas.microsoft.com/office/spreadsheetml/2017/richdata2" ref="A3:V202">
    <sortCondition ref="J37:J202"/>
  </sortState>
  <phoneticPr fontId="1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F729-A0C3-4662-974E-482C3068A3C4}">
  <sheetPr filterMode="1"/>
  <dimension ref="B3:N106"/>
  <sheetViews>
    <sheetView tabSelected="1" zoomScale="70" zoomScaleNormal="70" workbookViewId="0">
      <pane ySplit="3" topLeftCell="A33" activePane="bottomLeft" state="frozen"/>
      <selection pane="bottomLeft" activeCell="N112" sqref="N112"/>
    </sheetView>
  </sheetViews>
  <sheetFormatPr defaultColWidth="8.86328125" defaultRowHeight="14.25"/>
  <cols>
    <col min="1" max="1" width="8.86328125" style="187"/>
    <col min="2" max="2" width="11.265625" style="187" customWidth="1"/>
    <col min="3" max="3" width="5.265625" style="187" bestFit="1" customWidth="1"/>
    <col min="4" max="4" width="14.265625" style="188" customWidth="1"/>
    <col min="5" max="5" width="17.59765625" style="190" customWidth="1"/>
    <col min="6" max="6" width="38" style="187" customWidth="1"/>
    <col min="7" max="7" width="95.265625" style="187" customWidth="1"/>
    <col min="8" max="8" width="12.59765625" style="187" customWidth="1"/>
    <col min="9" max="9" width="9.86328125" style="187" bestFit="1" customWidth="1"/>
    <col min="10" max="10" width="16.73046875" style="187" customWidth="1"/>
    <col min="11" max="12" width="14.59765625" style="189" customWidth="1"/>
    <col min="13" max="14" width="9.86328125" style="187" bestFit="1" customWidth="1"/>
    <col min="15" max="16384" width="8.86328125" style="187"/>
  </cols>
  <sheetData>
    <row r="3" spans="2:14" ht="28.5">
      <c r="B3" s="240" t="s">
        <v>341</v>
      </c>
      <c r="C3" s="240">
        <v>2</v>
      </c>
      <c r="D3" s="241" t="s">
        <v>440</v>
      </c>
      <c r="E3" s="242" t="s">
        <v>280</v>
      </c>
      <c r="F3" s="240" t="s">
        <v>281</v>
      </c>
      <c r="G3" s="240" t="s">
        <v>298</v>
      </c>
      <c r="H3" s="240" t="s">
        <v>311</v>
      </c>
      <c r="I3" s="240" t="s">
        <v>312</v>
      </c>
      <c r="J3" s="240" t="s">
        <v>299</v>
      </c>
      <c r="K3" s="243" t="s">
        <v>457</v>
      </c>
      <c r="L3" s="243" t="s">
        <v>456</v>
      </c>
      <c r="M3" s="240" t="s">
        <v>300</v>
      </c>
      <c r="N3" s="240" t="s">
        <v>294</v>
      </c>
    </row>
    <row r="4" spans="2:14" hidden="1">
      <c r="B4" s="180"/>
      <c r="C4" s="180">
        <v>13</v>
      </c>
      <c r="D4" s="186"/>
      <c r="E4" s="191"/>
      <c r="F4" s="180"/>
      <c r="G4" s="180"/>
      <c r="H4" s="180"/>
      <c r="I4" s="180"/>
      <c r="J4" s="180"/>
      <c r="K4" s="184"/>
      <c r="L4" s="184"/>
      <c r="M4" s="180"/>
      <c r="N4" s="180"/>
    </row>
    <row r="5" spans="2:14" ht="14.65" hidden="1">
      <c r="B5" s="180" t="s">
        <v>317</v>
      </c>
      <c r="C5" s="180">
        <v>1</v>
      </c>
      <c r="D5" s="180">
        <v>45976</v>
      </c>
      <c r="E5" s="180">
        <v>812645</v>
      </c>
      <c r="F5" s="180" t="s">
        <v>296</v>
      </c>
      <c r="G5" s="180" t="s">
        <v>301</v>
      </c>
      <c r="H5" s="180"/>
      <c r="I5" s="180"/>
      <c r="J5" s="180"/>
      <c r="K5" s="180"/>
      <c r="L5" s="180"/>
      <c r="M5" s="180" t="s">
        <v>321</v>
      </c>
      <c r="N5" s="180">
        <v>8</v>
      </c>
    </row>
    <row r="6" spans="2:14" ht="15" hidden="1">
      <c r="B6" s="195" t="s">
        <v>342</v>
      </c>
      <c r="C6" s="195">
        <v>14</v>
      </c>
      <c r="D6" s="196">
        <v>45977</v>
      </c>
      <c r="E6" s="197">
        <v>813016</v>
      </c>
      <c r="F6" s="195" t="s">
        <v>282</v>
      </c>
      <c r="G6" s="195" t="s">
        <v>379</v>
      </c>
      <c r="H6" s="195"/>
      <c r="I6" s="195"/>
      <c r="J6" s="195"/>
      <c r="K6" s="195"/>
      <c r="L6" s="195"/>
      <c r="M6" s="195" t="s">
        <v>321</v>
      </c>
      <c r="N6" s="195">
        <v>2</v>
      </c>
    </row>
    <row r="7" spans="2:14" hidden="1">
      <c r="B7" s="180" t="s">
        <v>317</v>
      </c>
      <c r="C7" s="180">
        <v>4</v>
      </c>
      <c r="D7" s="186">
        <v>45978</v>
      </c>
      <c r="E7" s="180">
        <v>850620</v>
      </c>
      <c r="F7" s="180" t="s">
        <v>302</v>
      </c>
      <c r="G7" s="180" t="s">
        <v>303</v>
      </c>
      <c r="H7" s="180"/>
      <c r="I7" s="180"/>
      <c r="J7" s="180"/>
      <c r="K7" s="180"/>
      <c r="L7" s="180"/>
      <c r="M7" s="180" t="s">
        <v>321</v>
      </c>
      <c r="N7" s="180">
        <v>67.5</v>
      </c>
    </row>
    <row r="8" spans="2:14" ht="27.75" hidden="1">
      <c r="B8" s="180" t="s">
        <v>317</v>
      </c>
      <c r="C8" s="180">
        <v>5</v>
      </c>
      <c r="D8" s="186">
        <v>45978</v>
      </c>
      <c r="E8" s="180">
        <v>813069</v>
      </c>
      <c r="F8" s="180" t="s">
        <v>283</v>
      </c>
      <c r="G8" s="180"/>
      <c r="H8" s="180"/>
      <c r="I8" s="180"/>
      <c r="J8" s="180"/>
      <c r="K8" s="180"/>
      <c r="L8" s="180"/>
      <c r="M8" s="180" t="s">
        <v>321</v>
      </c>
      <c r="N8" s="180"/>
    </row>
    <row r="9" spans="2:14" ht="27.75" hidden="1">
      <c r="B9" s="180" t="s">
        <v>317</v>
      </c>
      <c r="C9" s="180">
        <v>6</v>
      </c>
      <c r="D9" s="186">
        <v>45978</v>
      </c>
      <c r="E9" s="180">
        <v>813175</v>
      </c>
      <c r="F9" s="180" t="s">
        <v>284</v>
      </c>
      <c r="G9" s="180"/>
      <c r="H9" s="180"/>
      <c r="I9" s="180"/>
      <c r="J9" s="180"/>
      <c r="K9" s="180"/>
      <c r="L9" s="180"/>
      <c r="M9" s="180" t="s">
        <v>321</v>
      </c>
      <c r="N9" s="180">
        <v>8</v>
      </c>
    </row>
    <row r="10" spans="2:14" hidden="1">
      <c r="B10" s="180" t="s">
        <v>317</v>
      </c>
      <c r="C10" s="180">
        <v>7</v>
      </c>
      <c r="D10" s="186">
        <v>45978</v>
      </c>
      <c r="E10" s="180">
        <v>813115</v>
      </c>
      <c r="F10" s="180" t="s">
        <v>297</v>
      </c>
      <c r="G10" s="180"/>
      <c r="H10" s="180"/>
      <c r="I10" s="180"/>
      <c r="J10" s="180"/>
      <c r="K10" s="180"/>
      <c r="L10" s="180"/>
      <c r="M10" s="180" t="s">
        <v>321</v>
      </c>
      <c r="N10" s="180"/>
    </row>
    <row r="11" spans="2:14" ht="27.75" hidden="1">
      <c r="B11" s="180" t="s">
        <v>317</v>
      </c>
      <c r="C11" s="180">
        <v>8</v>
      </c>
      <c r="D11" s="186">
        <v>45979</v>
      </c>
      <c r="E11" s="180">
        <v>813016</v>
      </c>
      <c r="F11" s="180" t="s">
        <v>285</v>
      </c>
      <c r="G11" s="180"/>
      <c r="H11" s="180"/>
      <c r="I11" s="180"/>
      <c r="J11" s="180"/>
      <c r="K11" s="180"/>
      <c r="L11" s="180"/>
      <c r="M11" s="180" t="s">
        <v>321</v>
      </c>
      <c r="N11" s="180">
        <v>6</v>
      </c>
    </row>
    <row r="12" spans="2:14" ht="28.15" hidden="1">
      <c r="B12" s="180" t="s">
        <v>317</v>
      </c>
      <c r="C12" s="180">
        <v>9</v>
      </c>
      <c r="D12" s="186">
        <v>45980</v>
      </c>
      <c r="E12" s="180">
        <v>812855</v>
      </c>
      <c r="F12" s="180" t="s">
        <v>286</v>
      </c>
      <c r="G12" s="180"/>
      <c r="H12" s="180"/>
      <c r="I12" s="180"/>
      <c r="J12" s="180"/>
      <c r="K12" s="180"/>
      <c r="L12" s="180"/>
      <c r="M12" s="180" t="s">
        <v>321</v>
      </c>
      <c r="N12" s="180">
        <v>3</v>
      </c>
    </row>
    <row r="13" spans="2:14" ht="27" hidden="1">
      <c r="B13" s="180" t="s">
        <v>317</v>
      </c>
      <c r="C13" s="180">
        <v>10</v>
      </c>
      <c r="D13" s="186">
        <v>45981</v>
      </c>
      <c r="E13" s="180" t="s">
        <v>287</v>
      </c>
      <c r="F13" s="180" t="s">
        <v>295</v>
      </c>
      <c r="G13" s="180"/>
      <c r="H13" s="180"/>
      <c r="I13" s="180"/>
      <c r="J13" s="180"/>
      <c r="K13" s="180"/>
      <c r="L13" s="180"/>
      <c r="M13" s="180" t="s">
        <v>321</v>
      </c>
      <c r="N13" s="180">
        <v>8</v>
      </c>
    </row>
    <row r="14" spans="2:14" ht="44.25" hidden="1">
      <c r="B14" s="180" t="s">
        <v>317</v>
      </c>
      <c r="C14" s="180">
        <v>11</v>
      </c>
      <c r="D14" s="186">
        <v>45980</v>
      </c>
      <c r="E14" s="180" t="s">
        <v>240</v>
      </c>
      <c r="F14" s="180" t="s">
        <v>307</v>
      </c>
      <c r="G14" s="180" t="s">
        <v>319</v>
      </c>
      <c r="H14" s="180" t="s">
        <v>310</v>
      </c>
      <c r="I14" s="180" t="s">
        <v>55</v>
      </c>
      <c r="J14" s="180" t="s">
        <v>320</v>
      </c>
      <c r="K14" s="180" t="s">
        <v>306</v>
      </c>
      <c r="L14" s="180"/>
      <c r="M14" s="180" t="s">
        <v>321</v>
      </c>
      <c r="N14" s="180">
        <v>8</v>
      </c>
    </row>
    <row r="15" spans="2:14" ht="84.75" hidden="1">
      <c r="B15" s="195" t="s">
        <v>343</v>
      </c>
      <c r="C15" s="195">
        <v>15</v>
      </c>
      <c r="D15" s="196">
        <v>45982</v>
      </c>
      <c r="E15" s="197">
        <v>813081</v>
      </c>
      <c r="F15" s="195" t="s">
        <v>344</v>
      </c>
      <c r="G15" s="198" t="s">
        <v>410</v>
      </c>
      <c r="H15" s="195" t="s">
        <v>310</v>
      </c>
      <c r="I15" s="195" t="s">
        <v>314</v>
      </c>
      <c r="J15" s="195" t="s">
        <v>304</v>
      </c>
      <c r="K15" s="201">
        <v>45989</v>
      </c>
      <c r="L15" s="201">
        <v>45992</v>
      </c>
      <c r="M15" s="195" t="s">
        <v>321</v>
      </c>
      <c r="N15" s="195"/>
    </row>
    <row r="16" spans="2:14" ht="72.75" hidden="1">
      <c r="B16" s="180" t="s">
        <v>318</v>
      </c>
      <c r="C16" s="180">
        <v>16</v>
      </c>
      <c r="D16" s="186">
        <v>45982</v>
      </c>
      <c r="E16" s="191">
        <v>813037</v>
      </c>
      <c r="F16" s="180" t="s">
        <v>316</v>
      </c>
      <c r="G16" s="180" t="s">
        <v>386</v>
      </c>
      <c r="H16" s="180" t="s">
        <v>309</v>
      </c>
      <c r="I16" s="180" t="s">
        <v>323</v>
      </c>
      <c r="J16" s="180" t="s">
        <v>315</v>
      </c>
      <c r="K16" s="201">
        <v>45989</v>
      </c>
      <c r="L16" s="185">
        <v>46000</v>
      </c>
      <c r="M16" s="180" t="s">
        <v>321</v>
      </c>
      <c r="N16" s="180">
        <v>8</v>
      </c>
    </row>
    <row r="17" spans="2:14" ht="58.5" hidden="1">
      <c r="B17" s="180" t="s">
        <v>318</v>
      </c>
      <c r="C17" s="180">
        <v>17</v>
      </c>
      <c r="D17" s="186">
        <v>45980</v>
      </c>
      <c r="E17" s="191" t="s">
        <v>289</v>
      </c>
      <c r="F17" s="180" t="s">
        <v>288</v>
      </c>
      <c r="G17" s="180" t="s">
        <v>337</v>
      </c>
      <c r="H17" s="180" t="s">
        <v>309</v>
      </c>
      <c r="I17" s="180" t="s">
        <v>335</v>
      </c>
      <c r="J17" s="180" t="s">
        <v>310</v>
      </c>
      <c r="K17" s="185">
        <v>46022</v>
      </c>
      <c r="L17" s="185">
        <v>46019</v>
      </c>
      <c r="M17" s="180" t="s">
        <v>321</v>
      </c>
      <c r="N17" s="180">
        <v>8</v>
      </c>
    </row>
    <row r="18" spans="2:14" ht="42.75" hidden="1">
      <c r="B18" s="180" t="s">
        <v>318</v>
      </c>
      <c r="C18" s="180">
        <v>18</v>
      </c>
      <c r="D18" s="186">
        <v>45982</v>
      </c>
      <c r="E18" s="191" t="s">
        <v>290</v>
      </c>
      <c r="F18" s="180" t="s">
        <v>291</v>
      </c>
      <c r="G18" s="180" t="s">
        <v>338</v>
      </c>
      <c r="H18" s="180" t="s">
        <v>309</v>
      </c>
      <c r="I18" s="180" t="s">
        <v>314</v>
      </c>
      <c r="J18" s="180" t="s">
        <v>308</v>
      </c>
      <c r="K18" s="185">
        <v>45986</v>
      </c>
      <c r="L18" s="185">
        <v>45992</v>
      </c>
      <c r="M18" s="180" t="s">
        <v>339</v>
      </c>
      <c r="N18" s="180"/>
    </row>
    <row r="19" spans="2:14" ht="118.5" hidden="1">
      <c r="B19" s="180" t="s">
        <v>318</v>
      </c>
      <c r="C19" s="180">
        <v>19</v>
      </c>
      <c r="D19" s="186">
        <v>45985</v>
      </c>
      <c r="E19" s="191" t="s">
        <v>340</v>
      </c>
      <c r="F19" s="180" t="s">
        <v>376</v>
      </c>
      <c r="G19" s="182" t="s">
        <v>411</v>
      </c>
      <c r="H19" s="180" t="s">
        <v>310</v>
      </c>
      <c r="I19" s="180" t="s">
        <v>313</v>
      </c>
      <c r="J19" s="180" t="s">
        <v>305</v>
      </c>
      <c r="K19" s="185">
        <v>46006</v>
      </c>
      <c r="L19" s="185">
        <v>46006</v>
      </c>
      <c r="M19" s="180" t="s">
        <v>321</v>
      </c>
      <c r="N19" s="180">
        <v>16</v>
      </c>
    </row>
    <row r="20" spans="2:14" ht="147" hidden="1">
      <c r="B20" s="180" t="s">
        <v>318</v>
      </c>
      <c r="C20" s="180">
        <v>20</v>
      </c>
      <c r="D20" s="186">
        <v>45985</v>
      </c>
      <c r="E20" s="191">
        <v>813143</v>
      </c>
      <c r="F20" s="180" t="s">
        <v>375</v>
      </c>
      <c r="G20" s="202" t="s">
        <v>576</v>
      </c>
      <c r="H20" s="180" t="s">
        <v>310</v>
      </c>
      <c r="I20" s="180" t="s">
        <v>313</v>
      </c>
      <c r="J20" s="193" t="s">
        <v>398</v>
      </c>
      <c r="K20" s="185">
        <v>45980</v>
      </c>
      <c r="L20" s="184"/>
      <c r="M20" s="180" t="s">
        <v>321</v>
      </c>
      <c r="N20" s="180"/>
    </row>
    <row r="21" spans="2:14" ht="75.75" hidden="1">
      <c r="B21" s="180" t="s">
        <v>318</v>
      </c>
      <c r="C21" s="180">
        <v>21</v>
      </c>
      <c r="D21" s="186">
        <v>45985</v>
      </c>
      <c r="E21" s="191">
        <v>813115</v>
      </c>
      <c r="F21" s="180" t="s">
        <v>329</v>
      </c>
      <c r="G21" s="202" t="s">
        <v>577</v>
      </c>
      <c r="H21" s="180" t="s">
        <v>309</v>
      </c>
      <c r="I21" s="180" t="s">
        <v>323</v>
      </c>
      <c r="J21" s="180" t="s">
        <v>330</v>
      </c>
      <c r="K21" s="185">
        <v>45995</v>
      </c>
      <c r="L21" s="184"/>
      <c r="M21" s="180" t="s">
        <v>339</v>
      </c>
      <c r="N21" s="180"/>
    </row>
    <row r="22" spans="2:14" ht="29.65" hidden="1">
      <c r="B22" s="180" t="s">
        <v>318</v>
      </c>
      <c r="C22" s="180">
        <v>22</v>
      </c>
      <c r="D22" s="186">
        <v>45985</v>
      </c>
      <c r="E22" s="191">
        <v>822947</v>
      </c>
      <c r="F22" s="180" t="s">
        <v>332</v>
      </c>
      <c r="G22" s="180" t="s">
        <v>336</v>
      </c>
      <c r="H22" s="180" t="s">
        <v>309</v>
      </c>
      <c r="I22" s="180" t="s">
        <v>323</v>
      </c>
      <c r="J22" s="180" t="s">
        <v>331</v>
      </c>
      <c r="K22" s="185">
        <v>45994</v>
      </c>
      <c r="L22" s="185">
        <v>45994</v>
      </c>
      <c r="M22" s="180" t="s">
        <v>339</v>
      </c>
      <c r="N22" s="180"/>
    </row>
    <row r="23" spans="2:14" ht="29.25" hidden="1">
      <c r="B23" s="180" t="s">
        <v>318</v>
      </c>
      <c r="C23" s="180">
        <v>23</v>
      </c>
      <c r="D23" s="186">
        <v>45992</v>
      </c>
      <c r="E23" s="180">
        <v>813197</v>
      </c>
      <c r="F23" s="180" t="s">
        <v>378</v>
      </c>
      <c r="G23" s="180" t="s">
        <v>384</v>
      </c>
      <c r="H23" s="180" t="s">
        <v>335</v>
      </c>
      <c r="I23" s="180" t="s">
        <v>333</v>
      </c>
      <c r="J23" s="180" t="s">
        <v>334</v>
      </c>
      <c r="K23" s="185">
        <v>45996</v>
      </c>
      <c r="L23" s="185">
        <v>45996</v>
      </c>
      <c r="M23" s="180" t="s">
        <v>339</v>
      </c>
      <c r="N23" s="180"/>
    </row>
    <row r="24" spans="2:14" ht="72" hidden="1">
      <c r="B24" s="180" t="s">
        <v>345</v>
      </c>
      <c r="C24" s="180">
        <v>24</v>
      </c>
      <c r="D24" s="186">
        <v>45992</v>
      </c>
      <c r="E24" s="191">
        <v>813245</v>
      </c>
      <c r="F24" s="180" t="s">
        <v>401</v>
      </c>
      <c r="G24" s="202" t="s">
        <v>561</v>
      </c>
      <c r="H24" s="180" t="s">
        <v>346</v>
      </c>
      <c r="I24" s="180" t="s">
        <v>347</v>
      </c>
      <c r="J24" s="181" t="s">
        <v>320</v>
      </c>
      <c r="K24" s="185">
        <v>46006</v>
      </c>
      <c r="L24" s="185">
        <v>46006</v>
      </c>
      <c r="M24" s="180" t="s">
        <v>560</v>
      </c>
      <c r="N24" s="180"/>
    </row>
    <row r="25" spans="2:14" ht="14.65" hidden="1">
      <c r="B25" s="180" t="s">
        <v>318</v>
      </c>
      <c r="C25" s="180">
        <v>25</v>
      </c>
      <c r="D25" s="186">
        <v>45992</v>
      </c>
      <c r="E25" s="191">
        <v>813242</v>
      </c>
      <c r="F25" s="180" t="s">
        <v>348</v>
      </c>
      <c r="G25" s="180" t="s">
        <v>349</v>
      </c>
      <c r="H25" s="181" t="s">
        <v>350</v>
      </c>
      <c r="I25" s="181" t="s">
        <v>333</v>
      </c>
      <c r="J25" s="181" t="s">
        <v>351</v>
      </c>
      <c r="K25" s="185">
        <v>46006</v>
      </c>
      <c r="L25" s="185">
        <v>46006</v>
      </c>
      <c r="M25" s="180" t="s">
        <v>321</v>
      </c>
      <c r="N25" s="180"/>
    </row>
    <row r="26" spans="2:14" ht="14.65" hidden="1">
      <c r="B26" s="180" t="s">
        <v>318</v>
      </c>
      <c r="C26" s="180">
        <v>26</v>
      </c>
      <c r="D26" s="186">
        <v>45992</v>
      </c>
      <c r="E26" s="191" t="s">
        <v>355</v>
      </c>
      <c r="F26" s="180" t="s">
        <v>352</v>
      </c>
      <c r="G26" s="180" t="s">
        <v>354</v>
      </c>
      <c r="H26" s="181" t="s">
        <v>353</v>
      </c>
      <c r="I26" s="181" t="s">
        <v>333</v>
      </c>
      <c r="J26" s="181" t="s">
        <v>356</v>
      </c>
      <c r="K26" s="185">
        <v>45992</v>
      </c>
      <c r="L26" s="185">
        <v>45992</v>
      </c>
      <c r="M26" s="180" t="s">
        <v>339</v>
      </c>
      <c r="N26" s="180"/>
    </row>
    <row r="27" spans="2:14" ht="28.9" hidden="1">
      <c r="B27" s="180" t="s">
        <v>318</v>
      </c>
      <c r="C27" s="180">
        <v>27</v>
      </c>
      <c r="D27" s="186">
        <v>45992</v>
      </c>
      <c r="E27" s="191">
        <v>813025</v>
      </c>
      <c r="F27" s="180" t="s">
        <v>357</v>
      </c>
      <c r="G27" s="180" t="s">
        <v>389</v>
      </c>
      <c r="H27" s="181" t="s">
        <v>353</v>
      </c>
      <c r="I27" s="181" t="s">
        <v>358</v>
      </c>
      <c r="J27" s="181" t="s">
        <v>359</v>
      </c>
      <c r="K27" s="185">
        <v>46006</v>
      </c>
      <c r="L27" s="185">
        <v>46006</v>
      </c>
      <c r="M27" s="180" t="s">
        <v>321</v>
      </c>
      <c r="N27" s="180"/>
    </row>
    <row r="28" spans="2:14" ht="28.5" hidden="1">
      <c r="B28" s="180" t="s">
        <v>318</v>
      </c>
      <c r="C28" s="180">
        <v>28</v>
      </c>
      <c r="D28" s="186">
        <v>45992</v>
      </c>
      <c r="E28" s="191">
        <v>813028</v>
      </c>
      <c r="F28" s="180" t="s">
        <v>357</v>
      </c>
      <c r="G28" s="180" t="s">
        <v>388</v>
      </c>
      <c r="H28" s="181" t="s">
        <v>353</v>
      </c>
      <c r="I28" s="181" t="s">
        <v>358</v>
      </c>
      <c r="J28" s="181" t="s">
        <v>359</v>
      </c>
      <c r="K28" s="185">
        <v>46006</v>
      </c>
      <c r="L28" s="185">
        <v>46006</v>
      </c>
      <c r="M28" s="180" t="s">
        <v>321</v>
      </c>
      <c r="N28" s="180"/>
    </row>
    <row r="29" spans="2:14" ht="14.65" hidden="1">
      <c r="B29" s="180" t="s">
        <v>318</v>
      </c>
      <c r="C29" s="180">
        <v>29</v>
      </c>
      <c r="D29" s="186">
        <v>45992</v>
      </c>
      <c r="E29" s="191">
        <v>813201</v>
      </c>
      <c r="F29" s="180" t="s">
        <v>362</v>
      </c>
      <c r="G29" s="180" t="s">
        <v>387</v>
      </c>
      <c r="H29" s="181" t="s">
        <v>360</v>
      </c>
      <c r="I29" s="181" t="s">
        <v>333</v>
      </c>
      <c r="J29" s="181" t="s">
        <v>361</v>
      </c>
      <c r="K29" s="185">
        <v>46006</v>
      </c>
      <c r="L29" s="185">
        <v>46006</v>
      </c>
      <c r="M29" s="180" t="s">
        <v>321</v>
      </c>
      <c r="N29" s="180"/>
    </row>
    <row r="30" spans="2:14" hidden="1">
      <c r="B30" s="180" t="s">
        <v>318</v>
      </c>
      <c r="C30" s="180">
        <v>30</v>
      </c>
      <c r="D30" s="186">
        <v>45999</v>
      </c>
      <c r="E30" s="191">
        <v>813060</v>
      </c>
      <c r="F30" s="180" t="s">
        <v>382</v>
      </c>
      <c r="G30" s="180" t="s">
        <v>380</v>
      </c>
      <c r="H30" s="181" t="s">
        <v>10</v>
      </c>
      <c r="I30" s="181" t="s">
        <v>55</v>
      </c>
      <c r="J30" s="181" t="s">
        <v>381</v>
      </c>
      <c r="K30" s="185">
        <v>46006</v>
      </c>
      <c r="L30" s="185">
        <v>46006</v>
      </c>
      <c r="M30" s="180" t="s">
        <v>321</v>
      </c>
      <c r="N30" s="180"/>
    </row>
    <row r="31" spans="2:14" ht="185.25" hidden="1">
      <c r="B31" s="180" t="s">
        <v>318</v>
      </c>
      <c r="C31" s="180">
        <v>31</v>
      </c>
      <c r="D31" s="186">
        <v>45999</v>
      </c>
      <c r="E31" s="191">
        <v>813170</v>
      </c>
      <c r="F31" s="180" t="s">
        <v>383</v>
      </c>
      <c r="G31" s="202" t="s">
        <v>578</v>
      </c>
      <c r="H31" s="181" t="s">
        <v>9</v>
      </c>
      <c r="I31" s="181" t="s">
        <v>55</v>
      </c>
      <c r="J31" s="181" t="s">
        <v>385</v>
      </c>
      <c r="K31" s="185">
        <v>46006</v>
      </c>
      <c r="L31" s="185"/>
      <c r="M31" s="180" t="s">
        <v>321</v>
      </c>
      <c r="N31" s="180"/>
    </row>
    <row r="32" spans="2:14" ht="45.75" hidden="1">
      <c r="B32" s="180" t="s">
        <v>318</v>
      </c>
      <c r="C32" s="180">
        <v>32</v>
      </c>
      <c r="D32" s="186">
        <v>46002</v>
      </c>
      <c r="E32" s="191">
        <v>813101</v>
      </c>
      <c r="F32" s="180" t="s">
        <v>390</v>
      </c>
      <c r="G32" s="194" t="s">
        <v>450</v>
      </c>
      <c r="H32" s="181" t="s">
        <v>6</v>
      </c>
      <c r="I32" s="181" t="s">
        <v>323</v>
      </c>
      <c r="J32" s="181" t="s">
        <v>391</v>
      </c>
      <c r="K32" s="185">
        <v>46006</v>
      </c>
      <c r="L32" s="185">
        <v>46035</v>
      </c>
      <c r="M32" s="180" t="s">
        <v>321</v>
      </c>
      <c r="N32" s="180"/>
    </row>
    <row r="33" spans="2:14" ht="409.6" customHeight="1">
      <c r="B33" s="180" t="s">
        <v>318</v>
      </c>
      <c r="C33" s="180">
        <v>33</v>
      </c>
      <c r="D33" s="186">
        <v>46006</v>
      </c>
      <c r="E33" s="191">
        <v>813193</v>
      </c>
      <c r="F33" s="180" t="s">
        <v>392</v>
      </c>
      <c r="G33" s="202" t="s">
        <v>655</v>
      </c>
      <c r="H33" s="181" t="s">
        <v>8</v>
      </c>
      <c r="I33" s="181" t="s">
        <v>175</v>
      </c>
      <c r="J33" s="181" t="s">
        <v>320</v>
      </c>
      <c r="K33" s="185">
        <v>46021</v>
      </c>
      <c r="L33" s="185"/>
      <c r="M33" s="180" t="s">
        <v>322</v>
      </c>
      <c r="N33" s="180"/>
    </row>
    <row r="34" spans="2:14" ht="114" hidden="1">
      <c r="B34" s="180" t="s">
        <v>318</v>
      </c>
      <c r="C34" s="180">
        <v>39</v>
      </c>
      <c r="D34" s="186">
        <v>46034</v>
      </c>
      <c r="E34" s="180">
        <v>812925</v>
      </c>
      <c r="F34" s="180" t="s">
        <v>429</v>
      </c>
      <c r="G34" s="202" t="s">
        <v>481</v>
      </c>
      <c r="H34" s="180" t="s">
        <v>9</v>
      </c>
      <c r="I34" s="180" t="s">
        <v>323</v>
      </c>
      <c r="J34" s="180" t="s">
        <v>395</v>
      </c>
      <c r="K34" s="254" t="s">
        <v>581</v>
      </c>
      <c r="L34" s="185">
        <v>46040</v>
      </c>
      <c r="M34" s="180" t="s">
        <v>321</v>
      </c>
      <c r="N34" s="180"/>
    </row>
    <row r="35" spans="2:14" ht="42.75" hidden="1">
      <c r="B35" s="180" t="s">
        <v>318</v>
      </c>
      <c r="C35" s="180">
        <v>35</v>
      </c>
      <c r="D35" s="186">
        <v>46006</v>
      </c>
      <c r="E35" s="191">
        <v>813225</v>
      </c>
      <c r="F35" s="180" t="s">
        <v>396</v>
      </c>
      <c r="G35" s="180" t="s">
        <v>412</v>
      </c>
      <c r="H35" s="181" t="s">
        <v>323</v>
      </c>
      <c r="I35" s="181" t="s">
        <v>55</v>
      </c>
      <c r="J35" s="181" t="s">
        <v>397</v>
      </c>
      <c r="K35" s="185">
        <v>46021</v>
      </c>
      <c r="L35" s="185">
        <v>46021</v>
      </c>
      <c r="M35" s="180" t="s">
        <v>321</v>
      </c>
      <c r="N35" s="180"/>
    </row>
    <row r="36" spans="2:14" ht="28.5" hidden="1">
      <c r="B36" s="180" t="s">
        <v>318</v>
      </c>
      <c r="C36" s="180">
        <v>36</v>
      </c>
      <c r="D36" s="186">
        <v>46013</v>
      </c>
      <c r="E36" s="180">
        <v>850620</v>
      </c>
      <c r="F36" s="180" t="s">
        <v>400</v>
      </c>
      <c r="G36" s="180" t="s">
        <v>413</v>
      </c>
      <c r="H36" s="181" t="s">
        <v>323</v>
      </c>
      <c r="I36" s="180" t="s">
        <v>175</v>
      </c>
      <c r="J36" s="180" t="s">
        <v>398</v>
      </c>
      <c r="K36" s="185">
        <v>46021</v>
      </c>
      <c r="L36" s="185">
        <v>46021</v>
      </c>
      <c r="M36" s="180" t="s">
        <v>321</v>
      </c>
      <c r="N36" s="180"/>
    </row>
    <row r="37" spans="2:14" ht="28.5" hidden="1">
      <c r="B37" s="180" t="s">
        <v>318</v>
      </c>
      <c r="C37" s="180">
        <v>35</v>
      </c>
      <c r="D37" s="186">
        <v>46027</v>
      </c>
      <c r="E37" s="191" t="s">
        <v>441</v>
      </c>
      <c r="F37" s="180" t="s">
        <v>429</v>
      </c>
      <c r="G37" s="180" t="s">
        <v>442</v>
      </c>
      <c r="H37" s="180" t="s">
        <v>8</v>
      </c>
      <c r="I37" s="180" t="s">
        <v>323</v>
      </c>
      <c r="J37" s="180" t="s">
        <v>330</v>
      </c>
      <c r="K37" s="185">
        <v>46028</v>
      </c>
      <c r="L37" s="185">
        <v>46038</v>
      </c>
      <c r="M37" s="180" t="s">
        <v>321</v>
      </c>
      <c r="N37" s="180"/>
    </row>
    <row r="38" spans="2:14" ht="128.25" hidden="1">
      <c r="B38" s="180" t="s">
        <v>318</v>
      </c>
      <c r="C38" s="180">
        <v>36</v>
      </c>
      <c r="D38" s="186">
        <v>46027</v>
      </c>
      <c r="E38" s="191" t="s">
        <v>433</v>
      </c>
      <c r="F38" s="180" t="s">
        <v>452</v>
      </c>
      <c r="G38" s="202" t="s">
        <v>479</v>
      </c>
      <c r="H38" s="180" t="s">
        <v>6</v>
      </c>
      <c r="I38" s="180" t="s">
        <v>323</v>
      </c>
      <c r="J38" s="180" t="s">
        <v>451</v>
      </c>
      <c r="K38" s="185">
        <v>46034</v>
      </c>
      <c r="L38" s="185"/>
      <c r="M38" s="180" t="s">
        <v>321</v>
      </c>
      <c r="N38" s="180"/>
    </row>
    <row r="39" spans="2:14" ht="57" hidden="1">
      <c r="B39" s="180" t="s">
        <v>318</v>
      </c>
      <c r="C39" s="180">
        <v>37</v>
      </c>
      <c r="D39" s="186">
        <v>46027</v>
      </c>
      <c r="E39" s="191" t="s">
        <v>430</v>
      </c>
      <c r="F39" s="180" t="s">
        <v>431</v>
      </c>
      <c r="G39" s="180" t="s">
        <v>445</v>
      </c>
      <c r="H39" s="180" t="s">
        <v>9</v>
      </c>
      <c r="I39" s="180" t="s">
        <v>55</v>
      </c>
      <c r="J39" s="180" t="s">
        <v>432</v>
      </c>
      <c r="K39" s="185">
        <v>46034</v>
      </c>
      <c r="L39" s="185">
        <v>46040</v>
      </c>
      <c r="M39" s="180" t="s">
        <v>321</v>
      </c>
      <c r="N39" s="180"/>
    </row>
    <row r="40" spans="2:14" hidden="1">
      <c r="B40" s="180" t="s">
        <v>318</v>
      </c>
      <c r="C40" s="180">
        <v>38</v>
      </c>
      <c r="D40" s="186">
        <v>46027</v>
      </c>
      <c r="E40" s="191" t="s">
        <v>402</v>
      </c>
      <c r="F40" s="180" t="s">
        <v>434</v>
      </c>
      <c r="G40" s="180" t="s">
        <v>446</v>
      </c>
      <c r="H40" s="180" t="s">
        <v>8</v>
      </c>
      <c r="I40" s="180" t="s">
        <v>42</v>
      </c>
      <c r="J40" s="180" t="s">
        <v>395</v>
      </c>
      <c r="K40" s="185">
        <v>46036</v>
      </c>
      <c r="L40" s="185">
        <v>46040</v>
      </c>
      <c r="M40" s="180" t="s">
        <v>321</v>
      </c>
      <c r="N40" s="180"/>
    </row>
    <row r="41" spans="2:14" ht="57" hidden="1">
      <c r="B41" s="180" t="s">
        <v>318</v>
      </c>
      <c r="C41" s="180">
        <v>40</v>
      </c>
      <c r="D41" s="186">
        <v>46034</v>
      </c>
      <c r="E41" s="191">
        <v>813208</v>
      </c>
      <c r="F41" s="180" t="s">
        <v>443</v>
      </c>
      <c r="G41" s="180" t="s">
        <v>537</v>
      </c>
      <c r="H41" s="180" t="s">
        <v>20</v>
      </c>
      <c r="I41" s="180" t="s">
        <v>175</v>
      </c>
      <c r="J41" s="180" t="s">
        <v>398</v>
      </c>
      <c r="K41" s="185">
        <v>46052</v>
      </c>
      <c r="L41" s="185"/>
      <c r="M41" s="180" t="s">
        <v>321</v>
      </c>
      <c r="N41" s="180"/>
    </row>
    <row r="42" spans="2:14" ht="142.5" hidden="1">
      <c r="B42" s="180" t="s">
        <v>318</v>
      </c>
      <c r="C42" s="180">
        <v>41</v>
      </c>
      <c r="D42" s="186">
        <v>46034</v>
      </c>
      <c r="E42" s="191">
        <v>813211</v>
      </c>
      <c r="F42" s="180" t="s">
        <v>443</v>
      </c>
      <c r="G42" s="202" t="s">
        <v>579</v>
      </c>
      <c r="H42" s="180" t="s">
        <v>20</v>
      </c>
      <c r="I42" s="180" t="s">
        <v>175</v>
      </c>
      <c r="J42" s="180" t="s">
        <v>331</v>
      </c>
      <c r="K42" s="185">
        <v>46052</v>
      </c>
      <c r="L42" s="185"/>
      <c r="M42" s="180" t="s">
        <v>321</v>
      </c>
      <c r="N42" s="180"/>
    </row>
    <row r="43" spans="2:14" ht="85.5" hidden="1">
      <c r="B43" s="180" t="s">
        <v>318</v>
      </c>
      <c r="C43" s="180">
        <v>42</v>
      </c>
      <c r="D43" s="186">
        <v>46034</v>
      </c>
      <c r="E43" s="191">
        <v>813258</v>
      </c>
      <c r="F43" s="180" t="s">
        <v>443</v>
      </c>
      <c r="G43" s="202" t="s">
        <v>485</v>
      </c>
      <c r="H43" s="180" t="s">
        <v>20</v>
      </c>
      <c r="I43" s="180" t="s">
        <v>42</v>
      </c>
      <c r="J43" s="180" t="s">
        <v>330</v>
      </c>
      <c r="K43" s="185">
        <v>46052</v>
      </c>
      <c r="L43" s="185"/>
      <c r="M43" s="180" t="s">
        <v>321</v>
      </c>
      <c r="N43" s="180"/>
    </row>
    <row r="44" spans="2:14" ht="71.25" hidden="1">
      <c r="B44" s="180" t="s">
        <v>318</v>
      </c>
      <c r="C44" s="180">
        <v>44</v>
      </c>
      <c r="D44" s="186">
        <v>46040</v>
      </c>
      <c r="E44" s="191">
        <v>813220</v>
      </c>
      <c r="F44" s="180" t="s">
        <v>448</v>
      </c>
      <c r="G44" s="202" t="s">
        <v>473</v>
      </c>
      <c r="H44" s="180" t="s">
        <v>10</v>
      </c>
      <c r="I44" s="180" t="s">
        <v>55</v>
      </c>
      <c r="J44" s="180" t="s">
        <v>330</v>
      </c>
      <c r="K44" s="185">
        <v>46044</v>
      </c>
      <c r="L44" s="185"/>
      <c r="M44" s="180" t="s">
        <v>321</v>
      </c>
      <c r="N44" s="180"/>
    </row>
    <row r="45" spans="2:14" ht="42.75" hidden="1">
      <c r="B45" s="180" t="s">
        <v>318</v>
      </c>
      <c r="C45" s="180">
        <v>52</v>
      </c>
      <c r="D45" s="186">
        <v>46083</v>
      </c>
      <c r="E45" s="191">
        <v>813267</v>
      </c>
      <c r="F45" s="180" t="s">
        <v>470</v>
      </c>
      <c r="G45" s="202" t="s">
        <v>484</v>
      </c>
      <c r="H45" s="180" t="s">
        <v>20</v>
      </c>
      <c r="I45" s="180" t="s">
        <v>175</v>
      </c>
      <c r="J45" s="180" t="s">
        <v>320</v>
      </c>
      <c r="K45" s="185">
        <v>46090</v>
      </c>
      <c r="L45" s="184"/>
      <c r="M45" s="180" t="s">
        <v>321</v>
      </c>
      <c r="N45" s="180"/>
    </row>
    <row r="46" spans="2:14" ht="57" hidden="1">
      <c r="B46" s="180" t="s">
        <v>318</v>
      </c>
      <c r="C46" s="180">
        <v>53</v>
      </c>
      <c r="D46" s="186">
        <v>46083</v>
      </c>
      <c r="E46" s="191" t="s">
        <v>471</v>
      </c>
      <c r="F46" s="180" t="s">
        <v>472</v>
      </c>
      <c r="G46" s="180" t="s">
        <v>487</v>
      </c>
      <c r="H46" s="180" t="s">
        <v>18</v>
      </c>
      <c r="I46" s="180" t="s">
        <v>42</v>
      </c>
      <c r="J46" s="180" t="s">
        <v>331</v>
      </c>
      <c r="K46" s="185">
        <v>46086</v>
      </c>
      <c r="L46" s="184"/>
      <c r="M46" s="180" t="s">
        <v>321</v>
      </c>
      <c r="N46" s="180"/>
    </row>
    <row r="47" spans="2:14" ht="42.75" hidden="1">
      <c r="B47" s="180" t="s">
        <v>318</v>
      </c>
      <c r="C47" s="180">
        <v>45</v>
      </c>
      <c r="D47" s="186">
        <v>46040</v>
      </c>
      <c r="E47" s="191">
        <v>813028</v>
      </c>
      <c r="F47" s="180" t="s">
        <v>449</v>
      </c>
      <c r="G47" s="180" t="s">
        <v>458</v>
      </c>
      <c r="H47" s="180" t="s">
        <v>6</v>
      </c>
      <c r="I47" s="180" t="s">
        <v>55</v>
      </c>
      <c r="J47" s="180" t="s">
        <v>395</v>
      </c>
      <c r="K47" s="185">
        <v>46040</v>
      </c>
      <c r="L47" s="185"/>
      <c r="M47" s="180" t="s">
        <v>321</v>
      </c>
      <c r="N47" s="180"/>
    </row>
    <row r="48" spans="2:14" ht="57" hidden="1">
      <c r="B48" s="180" t="s">
        <v>318</v>
      </c>
      <c r="C48" s="180">
        <v>46</v>
      </c>
      <c r="D48" s="186">
        <v>46040</v>
      </c>
      <c r="E48" s="191">
        <v>813115</v>
      </c>
      <c r="F48" s="180" t="s">
        <v>453</v>
      </c>
      <c r="G48" s="180" t="s">
        <v>460</v>
      </c>
      <c r="H48" s="180" t="s">
        <v>9</v>
      </c>
      <c r="I48" s="180" t="s">
        <v>323</v>
      </c>
      <c r="J48" s="180" t="s">
        <v>330</v>
      </c>
      <c r="K48" s="185">
        <v>46045</v>
      </c>
      <c r="L48" s="185"/>
      <c r="M48" s="180" t="s">
        <v>321</v>
      </c>
      <c r="N48" s="180"/>
    </row>
    <row r="49" spans="2:14" ht="28.5" hidden="1">
      <c r="B49" s="180" t="s">
        <v>318</v>
      </c>
      <c r="C49" s="180">
        <v>47</v>
      </c>
      <c r="D49" s="186">
        <v>46040</v>
      </c>
      <c r="E49" s="191">
        <v>813219</v>
      </c>
      <c r="F49" s="180" t="s">
        <v>454</v>
      </c>
      <c r="G49" s="180" t="s">
        <v>455</v>
      </c>
      <c r="H49" s="180" t="s">
        <v>8</v>
      </c>
      <c r="I49" s="180" t="s">
        <v>175</v>
      </c>
      <c r="J49" s="180" t="s">
        <v>391</v>
      </c>
      <c r="K49" s="185">
        <v>46045</v>
      </c>
      <c r="L49" s="185">
        <v>46040</v>
      </c>
      <c r="M49" s="180" t="s">
        <v>321</v>
      </c>
      <c r="N49" s="180"/>
    </row>
    <row r="50" spans="2:14" ht="42.75" hidden="1">
      <c r="B50" s="180" t="s">
        <v>318</v>
      </c>
      <c r="C50" s="180">
        <v>48</v>
      </c>
      <c r="D50" s="186">
        <v>46048</v>
      </c>
      <c r="E50" s="191">
        <v>813301</v>
      </c>
      <c r="F50" s="180" t="s">
        <v>459</v>
      </c>
      <c r="G50" s="180" t="s">
        <v>461</v>
      </c>
      <c r="H50" s="180" t="s">
        <v>8</v>
      </c>
      <c r="I50" s="180"/>
      <c r="J50" s="180" t="s">
        <v>397</v>
      </c>
      <c r="K50" s="185">
        <v>46053</v>
      </c>
      <c r="L50" s="185"/>
      <c r="M50" s="180" t="s">
        <v>321</v>
      </c>
      <c r="N50" s="180"/>
    </row>
    <row r="51" spans="2:14" ht="28.5" hidden="1">
      <c r="B51" s="180" t="s">
        <v>318</v>
      </c>
      <c r="C51" s="180">
        <v>49</v>
      </c>
      <c r="D51" s="186">
        <v>46048</v>
      </c>
      <c r="E51" s="191">
        <v>850621</v>
      </c>
      <c r="F51" s="180" t="s">
        <v>443</v>
      </c>
      <c r="G51" s="180" t="s">
        <v>462</v>
      </c>
      <c r="H51" s="180" t="s">
        <v>20</v>
      </c>
      <c r="I51" s="180"/>
      <c r="J51" s="180" t="s">
        <v>398</v>
      </c>
      <c r="K51" s="185">
        <v>46053</v>
      </c>
      <c r="L51" s="185"/>
      <c r="M51" s="180" t="s">
        <v>321</v>
      </c>
      <c r="N51" s="180"/>
    </row>
    <row r="52" spans="2:14" ht="28.5" hidden="1">
      <c r="B52" s="180" t="s">
        <v>318</v>
      </c>
      <c r="C52" s="180">
        <v>50</v>
      </c>
      <c r="D52" s="186">
        <v>46055</v>
      </c>
      <c r="E52" s="191">
        <v>813275</v>
      </c>
      <c r="F52" s="180" t="s">
        <v>463</v>
      </c>
      <c r="G52" s="180" t="s">
        <v>464</v>
      </c>
      <c r="H52" s="180" t="s">
        <v>129</v>
      </c>
      <c r="I52" s="180" t="s">
        <v>42</v>
      </c>
      <c r="J52" s="180" t="s">
        <v>330</v>
      </c>
      <c r="K52" s="185">
        <v>46058</v>
      </c>
      <c r="L52" s="184"/>
      <c r="M52" s="180" t="s">
        <v>321</v>
      </c>
      <c r="N52" s="180"/>
    </row>
    <row r="53" spans="2:14" ht="42.75" hidden="1">
      <c r="B53" s="180" t="s">
        <v>318</v>
      </c>
      <c r="C53" s="180">
        <v>51</v>
      </c>
      <c r="D53" s="186">
        <v>46062</v>
      </c>
      <c r="E53" s="191">
        <v>813219</v>
      </c>
      <c r="F53" s="180" t="s">
        <v>465</v>
      </c>
      <c r="G53" s="180" t="s">
        <v>466</v>
      </c>
      <c r="H53" s="180" t="s">
        <v>323</v>
      </c>
      <c r="I53" s="180" t="s">
        <v>175</v>
      </c>
      <c r="J53" s="180" t="s">
        <v>391</v>
      </c>
      <c r="K53" s="185">
        <v>46062</v>
      </c>
      <c r="L53" s="184"/>
      <c r="M53" s="180" t="s">
        <v>321</v>
      </c>
      <c r="N53" s="180"/>
    </row>
    <row r="54" spans="2:14" ht="185.25" hidden="1">
      <c r="B54" s="180" t="s">
        <v>318</v>
      </c>
      <c r="C54" s="180">
        <v>34</v>
      </c>
      <c r="D54" s="186">
        <v>46006</v>
      </c>
      <c r="E54" s="191" t="s">
        <v>393</v>
      </c>
      <c r="F54" s="239" t="s">
        <v>394</v>
      </c>
      <c r="G54" s="202" t="s">
        <v>552</v>
      </c>
      <c r="H54" s="181" t="s">
        <v>8</v>
      </c>
      <c r="I54" s="181" t="s">
        <v>323</v>
      </c>
      <c r="J54" s="181" t="s">
        <v>545</v>
      </c>
      <c r="K54" s="185">
        <v>46021</v>
      </c>
      <c r="L54" s="185" t="s">
        <v>157</v>
      </c>
      <c r="M54" s="184" t="s">
        <v>321</v>
      </c>
      <c r="N54" s="180"/>
    </row>
    <row r="55" spans="2:14" ht="142.5" hidden="1">
      <c r="B55" s="180" t="s">
        <v>318</v>
      </c>
      <c r="C55" s="180">
        <v>43</v>
      </c>
      <c r="D55" s="186">
        <v>46034</v>
      </c>
      <c r="E55" s="191">
        <v>813218</v>
      </c>
      <c r="F55" s="180" t="s">
        <v>444</v>
      </c>
      <c r="G55" s="202" t="s">
        <v>507</v>
      </c>
      <c r="H55" s="180" t="s">
        <v>9</v>
      </c>
      <c r="I55" s="180" t="s">
        <v>55</v>
      </c>
      <c r="J55" s="180" t="s">
        <v>320</v>
      </c>
      <c r="K55" s="185">
        <v>46041</v>
      </c>
      <c r="L55" s="185"/>
      <c r="M55" s="180" t="s">
        <v>321</v>
      </c>
      <c r="N55" s="180"/>
    </row>
    <row r="56" spans="2:14" ht="99.75" hidden="1">
      <c r="B56" s="180" t="s">
        <v>318</v>
      </c>
      <c r="C56" s="180">
        <v>54</v>
      </c>
      <c r="D56" s="186">
        <v>46090</v>
      </c>
      <c r="E56" s="191" t="s">
        <v>477</v>
      </c>
      <c r="F56" s="180" t="s">
        <v>478</v>
      </c>
      <c r="G56" s="192" t="s">
        <v>538</v>
      </c>
      <c r="H56" s="180" t="s">
        <v>6</v>
      </c>
      <c r="I56" s="180" t="s">
        <v>55</v>
      </c>
      <c r="J56" s="180" t="s">
        <v>397</v>
      </c>
      <c r="K56" s="185">
        <v>46094</v>
      </c>
      <c r="L56" s="184"/>
      <c r="M56" s="180" t="s">
        <v>321</v>
      </c>
      <c r="N56" s="180"/>
    </row>
    <row r="57" spans="2:14" ht="71.25" hidden="1">
      <c r="B57" s="180" t="s">
        <v>318</v>
      </c>
      <c r="C57" s="180">
        <v>55</v>
      </c>
      <c r="D57" s="186">
        <v>46090</v>
      </c>
      <c r="E57" s="191" t="s">
        <v>482</v>
      </c>
      <c r="F57" s="180" t="s">
        <v>483</v>
      </c>
      <c r="G57" s="202" t="s">
        <v>580</v>
      </c>
      <c r="H57" s="180" t="s">
        <v>8</v>
      </c>
      <c r="I57" s="180" t="s">
        <v>175</v>
      </c>
      <c r="J57" s="203" t="s">
        <v>398</v>
      </c>
      <c r="K57" s="185">
        <v>46101</v>
      </c>
      <c r="L57" s="184"/>
      <c r="M57" s="184" t="s">
        <v>321</v>
      </c>
      <c r="N57" s="184"/>
    </row>
    <row r="58" spans="2:14" ht="42.75" hidden="1">
      <c r="B58" s="180" t="s">
        <v>318</v>
      </c>
      <c r="C58" s="180">
        <v>56</v>
      </c>
      <c r="D58" s="186">
        <v>46097</v>
      </c>
      <c r="E58" s="191">
        <v>813321</v>
      </c>
      <c r="F58" s="180" t="s">
        <v>486</v>
      </c>
      <c r="G58" s="202" t="s">
        <v>490</v>
      </c>
      <c r="H58" s="180" t="s">
        <v>10</v>
      </c>
      <c r="I58" s="180" t="s">
        <v>42</v>
      </c>
      <c r="J58" s="184" t="s">
        <v>331</v>
      </c>
      <c r="K58" s="185">
        <v>46100</v>
      </c>
      <c r="L58" s="185">
        <v>46104</v>
      </c>
      <c r="M58" s="184" t="s">
        <v>321</v>
      </c>
      <c r="N58" s="184"/>
    </row>
    <row r="59" spans="2:14" ht="42.75" hidden="1">
      <c r="B59" s="180" t="s">
        <v>318</v>
      </c>
      <c r="C59" s="180">
        <v>57</v>
      </c>
      <c r="D59" s="186">
        <v>46104</v>
      </c>
      <c r="E59" s="191">
        <v>823028</v>
      </c>
      <c r="F59" s="180" t="s">
        <v>488</v>
      </c>
      <c r="G59" s="202" t="s">
        <v>513</v>
      </c>
      <c r="H59" s="180" t="s">
        <v>129</v>
      </c>
      <c r="I59" s="180" t="s">
        <v>55</v>
      </c>
      <c r="J59" s="180" t="s">
        <v>395</v>
      </c>
      <c r="K59" s="185">
        <v>46106</v>
      </c>
      <c r="L59" s="184"/>
      <c r="M59" s="184" t="s">
        <v>321</v>
      </c>
      <c r="N59" s="180"/>
    </row>
    <row r="60" spans="2:14" hidden="1">
      <c r="B60" s="180" t="s">
        <v>318</v>
      </c>
      <c r="C60" s="180">
        <v>58</v>
      </c>
      <c r="D60" s="186">
        <v>46104</v>
      </c>
      <c r="E60" s="191">
        <v>813205</v>
      </c>
      <c r="F60" s="180" t="s">
        <v>489</v>
      </c>
      <c r="G60" s="202" t="s">
        <v>491</v>
      </c>
      <c r="H60" s="180" t="s">
        <v>6</v>
      </c>
      <c r="I60" s="180" t="s">
        <v>55</v>
      </c>
      <c r="J60" s="180" t="s">
        <v>320</v>
      </c>
      <c r="K60" s="185">
        <v>46106</v>
      </c>
      <c r="L60" s="185">
        <v>46104</v>
      </c>
      <c r="M60" s="184" t="s">
        <v>321</v>
      </c>
      <c r="N60" s="180"/>
    </row>
    <row r="61" spans="2:14" ht="141.75" hidden="1" customHeight="1">
      <c r="B61" s="180" t="s">
        <v>318</v>
      </c>
      <c r="C61" s="180">
        <v>60</v>
      </c>
      <c r="D61" s="186">
        <v>46111</v>
      </c>
      <c r="E61" s="191">
        <v>813295</v>
      </c>
      <c r="F61" s="180" t="s">
        <v>503</v>
      </c>
      <c r="G61" s="180" t="s">
        <v>595</v>
      </c>
      <c r="H61" s="180" t="s">
        <v>6</v>
      </c>
      <c r="I61" s="180" t="s">
        <v>55</v>
      </c>
      <c r="J61" s="180" t="s">
        <v>397</v>
      </c>
      <c r="K61" s="185">
        <v>46150</v>
      </c>
      <c r="L61" s="185">
        <v>46176</v>
      </c>
      <c r="M61" s="184" t="s">
        <v>321</v>
      </c>
      <c r="N61" s="180"/>
    </row>
    <row r="62" spans="2:14" ht="71.25" hidden="1">
      <c r="B62" s="180" t="s">
        <v>318</v>
      </c>
      <c r="C62" s="180">
        <v>61</v>
      </c>
      <c r="D62" s="186">
        <v>46111</v>
      </c>
      <c r="E62" s="191">
        <v>813255</v>
      </c>
      <c r="F62" s="180" t="s">
        <v>508</v>
      </c>
      <c r="G62" s="202" t="s">
        <v>554</v>
      </c>
      <c r="H62" s="180" t="s">
        <v>6</v>
      </c>
      <c r="I62" s="180" t="s">
        <v>42</v>
      </c>
      <c r="J62" s="180" t="s">
        <v>320</v>
      </c>
      <c r="K62" s="185">
        <v>46119</v>
      </c>
      <c r="L62" s="184"/>
      <c r="M62" s="184" t="s">
        <v>321</v>
      </c>
      <c r="N62" s="180"/>
    </row>
    <row r="63" spans="2:14" ht="163.5" hidden="1" customHeight="1">
      <c r="B63" s="180" t="s">
        <v>318</v>
      </c>
      <c r="C63" s="180">
        <v>62</v>
      </c>
      <c r="D63" s="186">
        <v>46111</v>
      </c>
      <c r="E63" s="191" t="s">
        <v>504</v>
      </c>
      <c r="F63" s="180" t="s">
        <v>503</v>
      </c>
      <c r="G63" s="192" t="s">
        <v>618</v>
      </c>
      <c r="H63" s="180" t="s">
        <v>80</v>
      </c>
      <c r="I63" s="180" t="s">
        <v>175</v>
      </c>
      <c r="J63" s="180" t="s">
        <v>397</v>
      </c>
      <c r="K63" s="185">
        <v>46184</v>
      </c>
      <c r="L63" s="185">
        <v>46209</v>
      </c>
      <c r="M63" s="184" t="s">
        <v>321</v>
      </c>
      <c r="N63" s="180"/>
    </row>
    <row r="64" spans="2:14" ht="57" hidden="1">
      <c r="B64" s="180" t="s">
        <v>318</v>
      </c>
      <c r="C64" s="180">
        <v>63</v>
      </c>
      <c r="D64" s="186">
        <v>46111</v>
      </c>
      <c r="E64" s="191">
        <v>813275</v>
      </c>
      <c r="F64" s="180" t="s">
        <v>512</v>
      </c>
      <c r="G64" s="192" t="s">
        <v>541</v>
      </c>
      <c r="H64" s="180" t="s">
        <v>129</v>
      </c>
      <c r="I64" s="180" t="s">
        <v>42</v>
      </c>
      <c r="J64" s="180" t="s">
        <v>330</v>
      </c>
      <c r="K64" s="185">
        <v>46120</v>
      </c>
      <c r="L64" s="184"/>
      <c r="M64" s="184" t="s">
        <v>321</v>
      </c>
      <c r="N64" s="180"/>
    </row>
    <row r="65" spans="2:14" ht="90" hidden="1" customHeight="1">
      <c r="B65" s="180" t="s">
        <v>318</v>
      </c>
      <c r="C65" s="180">
        <v>64</v>
      </c>
      <c r="D65" s="186">
        <v>46111</v>
      </c>
      <c r="E65" s="191" t="s">
        <v>505</v>
      </c>
      <c r="F65" s="180" t="s">
        <v>506</v>
      </c>
      <c r="G65" s="202" t="s">
        <v>583</v>
      </c>
      <c r="H65" s="180" t="s">
        <v>20</v>
      </c>
      <c r="I65" s="180" t="s">
        <v>175</v>
      </c>
      <c r="J65" s="180" t="s">
        <v>331</v>
      </c>
      <c r="K65" s="185">
        <v>46117</v>
      </c>
      <c r="L65" s="184"/>
      <c r="M65" s="184" t="s">
        <v>321</v>
      </c>
      <c r="N65" s="180"/>
    </row>
    <row r="66" spans="2:14" ht="114" hidden="1">
      <c r="B66" s="180" t="s">
        <v>318</v>
      </c>
      <c r="C66" s="180">
        <v>65</v>
      </c>
      <c r="D66" s="186">
        <v>46111</v>
      </c>
      <c r="E66" s="191" t="s">
        <v>546</v>
      </c>
      <c r="F66" s="180" t="s">
        <v>509</v>
      </c>
      <c r="G66" s="202" t="s">
        <v>582</v>
      </c>
      <c r="H66" s="180" t="s">
        <v>8</v>
      </c>
      <c r="I66" s="180" t="s">
        <v>55</v>
      </c>
      <c r="J66" s="180" t="s">
        <v>395</v>
      </c>
      <c r="K66" s="185">
        <v>46117</v>
      </c>
      <c r="L66" s="184"/>
      <c r="M66" s="184" t="s">
        <v>321</v>
      </c>
      <c r="N66" s="180"/>
    </row>
    <row r="67" spans="2:14" ht="129.75" hidden="1" customHeight="1">
      <c r="B67" s="180" t="s">
        <v>318</v>
      </c>
      <c r="C67" s="180">
        <v>66</v>
      </c>
      <c r="D67" s="186">
        <v>46111</v>
      </c>
      <c r="E67" s="191" t="s">
        <v>510</v>
      </c>
      <c r="F67" s="180" t="s">
        <v>511</v>
      </c>
      <c r="G67" s="202" t="s">
        <v>584</v>
      </c>
      <c r="H67" s="180" t="s">
        <v>539</v>
      </c>
      <c r="I67" s="180" t="s">
        <v>55</v>
      </c>
      <c r="J67" s="180" t="s">
        <v>391</v>
      </c>
      <c r="K67" s="185">
        <v>46117</v>
      </c>
      <c r="L67" s="184"/>
      <c r="M67" s="184" t="s">
        <v>321</v>
      </c>
      <c r="N67" s="180"/>
    </row>
    <row r="68" spans="2:14" ht="28.5" hidden="1" customHeight="1">
      <c r="B68" s="180" t="s">
        <v>318</v>
      </c>
      <c r="C68" s="180">
        <v>67</v>
      </c>
      <c r="D68" s="186">
        <v>46111</v>
      </c>
      <c r="E68" s="191" t="s">
        <v>514</v>
      </c>
      <c r="F68" s="180" t="s">
        <v>506</v>
      </c>
      <c r="G68" s="202" t="s">
        <v>555</v>
      </c>
      <c r="H68" s="180" t="s">
        <v>9</v>
      </c>
      <c r="I68" s="180" t="s">
        <v>42</v>
      </c>
      <c r="J68" s="180" t="s">
        <v>331</v>
      </c>
      <c r="K68" s="185">
        <v>46117</v>
      </c>
      <c r="L68" s="184"/>
      <c r="M68" s="184" t="s">
        <v>321</v>
      </c>
      <c r="N68" s="180"/>
    </row>
    <row r="69" spans="2:14" ht="42.75" hidden="1">
      <c r="B69" s="180" t="s">
        <v>318</v>
      </c>
      <c r="C69" s="180">
        <v>68</v>
      </c>
      <c r="D69" s="186">
        <v>46125</v>
      </c>
      <c r="E69" s="191">
        <v>813197</v>
      </c>
      <c r="F69" s="180" t="s">
        <v>540</v>
      </c>
      <c r="G69" s="202" t="s">
        <v>562</v>
      </c>
      <c r="H69" s="180" t="s">
        <v>6</v>
      </c>
      <c r="I69" s="180" t="s">
        <v>42</v>
      </c>
      <c r="J69" s="180" t="s">
        <v>331</v>
      </c>
      <c r="K69" s="185">
        <v>46128</v>
      </c>
      <c r="L69" s="184"/>
      <c r="M69" s="184" t="s">
        <v>321</v>
      </c>
      <c r="N69" s="180"/>
    </row>
    <row r="70" spans="2:14" ht="4.1500000000000004" hidden="1" customHeight="1">
      <c r="B70" s="180" t="s">
        <v>318</v>
      </c>
      <c r="C70" s="180">
        <v>69</v>
      </c>
      <c r="D70" s="186">
        <v>46132</v>
      </c>
      <c r="E70" s="191" t="s">
        <v>547</v>
      </c>
      <c r="F70" s="180" t="s">
        <v>548</v>
      </c>
      <c r="G70" s="202" t="s">
        <v>589</v>
      </c>
      <c r="H70" s="180" t="s">
        <v>9</v>
      </c>
      <c r="I70" s="180" t="s">
        <v>42</v>
      </c>
      <c r="J70" s="180" t="s">
        <v>398</v>
      </c>
      <c r="K70" s="185">
        <v>46132</v>
      </c>
      <c r="L70" s="185">
        <v>46170</v>
      </c>
      <c r="M70" s="184" t="s">
        <v>321</v>
      </c>
      <c r="N70" s="180"/>
    </row>
    <row r="71" spans="2:14" ht="20.25" hidden="1" customHeight="1">
      <c r="B71" s="180" t="s">
        <v>318</v>
      </c>
      <c r="C71" s="180">
        <v>70</v>
      </c>
      <c r="D71" s="186">
        <v>46132</v>
      </c>
      <c r="E71" s="191">
        <v>813345</v>
      </c>
      <c r="F71" s="180" t="s">
        <v>549</v>
      </c>
      <c r="G71" s="192" t="s">
        <v>592</v>
      </c>
      <c r="H71" s="180" t="s">
        <v>129</v>
      </c>
      <c r="I71" s="180" t="s">
        <v>55</v>
      </c>
      <c r="J71" s="180" t="s">
        <v>331</v>
      </c>
      <c r="K71" s="185">
        <v>46142</v>
      </c>
      <c r="L71" s="185">
        <v>46174</v>
      </c>
      <c r="M71" s="184" t="s">
        <v>321</v>
      </c>
      <c r="N71" s="180"/>
    </row>
    <row r="72" spans="2:14" ht="22.15" hidden="1" customHeight="1">
      <c r="B72" s="180" t="s">
        <v>318</v>
      </c>
      <c r="C72" s="180">
        <v>71</v>
      </c>
      <c r="D72" s="186">
        <v>46132</v>
      </c>
      <c r="E72" s="191">
        <v>813153</v>
      </c>
      <c r="F72" s="180" t="s">
        <v>551</v>
      </c>
      <c r="G72" s="202" t="s">
        <v>585</v>
      </c>
      <c r="H72" s="180" t="s">
        <v>6</v>
      </c>
      <c r="I72" s="180" t="s">
        <v>55</v>
      </c>
      <c r="J72" s="180" t="s">
        <v>398</v>
      </c>
      <c r="K72" s="185">
        <v>46132</v>
      </c>
      <c r="L72" s="185">
        <v>46170</v>
      </c>
      <c r="M72" s="184" t="s">
        <v>321</v>
      </c>
      <c r="N72" s="180"/>
    </row>
    <row r="73" spans="2:14" ht="274.89999999999998" customHeight="1">
      <c r="B73" s="180" t="s">
        <v>318</v>
      </c>
      <c r="C73" s="180">
        <v>72</v>
      </c>
      <c r="D73" s="186">
        <v>46139</v>
      </c>
      <c r="E73" s="191" t="s">
        <v>393</v>
      </c>
      <c r="F73" s="180" t="s">
        <v>553</v>
      </c>
      <c r="G73" s="192" t="s">
        <v>661</v>
      </c>
      <c r="H73" s="180" t="s">
        <v>8</v>
      </c>
      <c r="I73" s="180" t="s">
        <v>55</v>
      </c>
      <c r="J73" s="180" t="s">
        <v>320</v>
      </c>
      <c r="K73" s="185">
        <v>46184</v>
      </c>
      <c r="L73" s="184"/>
      <c r="M73" s="184" t="s">
        <v>322</v>
      </c>
      <c r="N73" s="180"/>
    </row>
    <row r="74" spans="2:14" ht="220.15" hidden="1" customHeight="1">
      <c r="B74" s="180" t="s">
        <v>318</v>
      </c>
      <c r="C74" s="180">
        <v>73</v>
      </c>
      <c r="D74" s="186">
        <v>46139</v>
      </c>
      <c r="E74" s="191">
        <v>813360</v>
      </c>
      <c r="F74" s="180"/>
      <c r="G74" s="192" t="s">
        <v>664</v>
      </c>
      <c r="H74" s="180" t="s">
        <v>8</v>
      </c>
      <c r="I74" s="180" t="s">
        <v>175</v>
      </c>
      <c r="J74" s="180" t="s">
        <v>398</v>
      </c>
      <c r="K74" s="185">
        <v>46188</v>
      </c>
      <c r="L74" s="184"/>
      <c r="M74" s="184" t="s">
        <v>321</v>
      </c>
      <c r="N74" s="180"/>
    </row>
    <row r="75" spans="2:14" ht="56.65" hidden="1" customHeight="1">
      <c r="B75" s="180" t="s">
        <v>318</v>
      </c>
      <c r="C75" s="180">
        <v>74</v>
      </c>
      <c r="D75" s="186">
        <v>46160</v>
      </c>
      <c r="E75" s="191" t="s">
        <v>566</v>
      </c>
      <c r="F75" s="180" t="s">
        <v>565</v>
      </c>
      <c r="G75" s="202" t="s">
        <v>596</v>
      </c>
      <c r="H75" s="180" t="s">
        <v>6</v>
      </c>
      <c r="I75" s="180" t="s">
        <v>55</v>
      </c>
      <c r="J75" s="180" t="s">
        <v>397</v>
      </c>
      <c r="K75" s="185">
        <v>46184</v>
      </c>
      <c r="L75" s="184"/>
      <c r="M75" s="184" t="s">
        <v>560</v>
      </c>
      <c r="N75" s="180"/>
    </row>
    <row r="76" spans="2:14" ht="25.15" hidden="1" customHeight="1">
      <c r="B76" s="180" t="s">
        <v>318</v>
      </c>
      <c r="C76" s="180">
        <v>75</v>
      </c>
      <c r="D76" s="186">
        <v>46160</v>
      </c>
      <c r="E76" s="191">
        <v>813181</v>
      </c>
      <c r="F76" s="180" t="s">
        <v>567</v>
      </c>
      <c r="G76" s="180" t="s">
        <v>586</v>
      </c>
      <c r="H76" s="180" t="s">
        <v>9</v>
      </c>
      <c r="I76" s="180" t="s">
        <v>175</v>
      </c>
      <c r="J76" s="180" t="s">
        <v>320</v>
      </c>
      <c r="K76" s="185">
        <v>46162</v>
      </c>
      <c r="L76" s="184"/>
      <c r="M76" s="184" t="s">
        <v>321</v>
      </c>
      <c r="N76" s="180"/>
    </row>
    <row r="77" spans="2:14" ht="79.5" hidden="1" customHeight="1">
      <c r="B77" s="180" t="s">
        <v>318</v>
      </c>
      <c r="C77" s="180">
        <v>76</v>
      </c>
      <c r="D77" s="186">
        <v>46160</v>
      </c>
      <c r="E77" s="191" t="s">
        <v>366</v>
      </c>
      <c r="F77" s="180"/>
      <c r="G77" s="202" t="s">
        <v>619</v>
      </c>
      <c r="H77" s="180" t="s">
        <v>18</v>
      </c>
      <c r="I77" s="180" t="s">
        <v>42</v>
      </c>
      <c r="J77" s="257" t="s">
        <v>591</v>
      </c>
      <c r="K77" s="185">
        <v>46184</v>
      </c>
      <c r="L77" s="185">
        <v>46209</v>
      </c>
      <c r="M77" s="184" t="s">
        <v>321</v>
      </c>
      <c r="N77" s="180"/>
    </row>
    <row r="78" spans="2:14" ht="131.65" hidden="1" customHeight="1">
      <c r="B78" s="180" t="s">
        <v>318</v>
      </c>
      <c r="C78" s="180">
        <v>77</v>
      </c>
      <c r="D78" s="186">
        <v>46160</v>
      </c>
      <c r="E78" s="191">
        <v>813275</v>
      </c>
      <c r="F78" s="180"/>
      <c r="G78" s="192" t="s">
        <v>632</v>
      </c>
      <c r="H78" s="180" t="s">
        <v>129</v>
      </c>
      <c r="I78" s="180" t="s">
        <v>175</v>
      </c>
      <c r="J78" s="257" t="s">
        <v>634</v>
      </c>
      <c r="K78" s="185">
        <v>46184</v>
      </c>
      <c r="L78" s="185">
        <v>46202</v>
      </c>
      <c r="M78" s="184" t="s">
        <v>321</v>
      </c>
      <c r="N78" s="180"/>
    </row>
    <row r="79" spans="2:14" ht="17.649999999999999" hidden="1" customHeight="1">
      <c r="B79" s="180" t="s">
        <v>318</v>
      </c>
      <c r="C79" s="180">
        <v>78</v>
      </c>
      <c r="D79" s="186">
        <v>46160</v>
      </c>
      <c r="E79" s="191">
        <v>813143</v>
      </c>
      <c r="F79" s="180"/>
      <c r="G79" s="255" t="s">
        <v>587</v>
      </c>
      <c r="H79" s="180" t="s">
        <v>6</v>
      </c>
      <c r="I79" s="180" t="s">
        <v>42</v>
      </c>
      <c r="J79" s="180" t="s">
        <v>398</v>
      </c>
      <c r="K79" s="185">
        <v>46162</v>
      </c>
      <c r="L79" s="184"/>
      <c r="M79" s="184" t="s">
        <v>321</v>
      </c>
      <c r="N79" s="180"/>
    </row>
    <row r="80" spans="2:14" ht="5.65" hidden="1" customHeight="1">
      <c r="B80" s="180" t="s">
        <v>318</v>
      </c>
      <c r="C80" s="180">
        <v>78</v>
      </c>
      <c r="D80" s="186">
        <v>46174</v>
      </c>
      <c r="E80" s="191">
        <v>813271</v>
      </c>
      <c r="F80" s="180"/>
      <c r="G80" s="192" t="s">
        <v>633</v>
      </c>
      <c r="H80" s="180" t="s">
        <v>18</v>
      </c>
      <c r="I80" s="180" t="s">
        <v>175</v>
      </c>
      <c r="J80" s="257" t="s">
        <v>634</v>
      </c>
      <c r="K80" s="185">
        <v>46184</v>
      </c>
      <c r="L80" s="184"/>
      <c r="M80" s="184" t="s">
        <v>321</v>
      </c>
      <c r="N80" s="180"/>
    </row>
    <row r="81" spans="2:14" ht="210.4" customHeight="1">
      <c r="B81" s="180" t="s">
        <v>318</v>
      </c>
      <c r="C81" s="180">
        <v>79</v>
      </c>
      <c r="D81" s="186">
        <v>46174</v>
      </c>
      <c r="E81" s="191">
        <v>813329</v>
      </c>
      <c r="F81" s="180"/>
      <c r="G81" s="258" t="s">
        <v>663</v>
      </c>
      <c r="H81" s="180" t="s">
        <v>20</v>
      </c>
      <c r="I81" s="180" t="s">
        <v>175</v>
      </c>
      <c r="J81" s="180" t="s">
        <v>391</v>
      </c>
      <c r="K81" s="185">
        <v>46184</v>
      </c>
      <c r="L81" s="184"/>
      <c r="M81" s="184" t="s">
        <v>322</v>
      </c>
      <c r="N81" s="180"/>
    </row>
    <row r="82" spans="2:14" ht="21.75" hidden="1" customHeight="1">
      <c r="B82" s="180" t="s">
        <v>318</v>
      </c>
      <c r="C82" s="180">
        <v>80</v>
      </c>
      <c r="D82" s="186">
        <v>46174</v>
      </c>
      <c r="E82" s="191">
        <v>813282</v>
      </c>
      <c r="F82" s="180"/>
      <c r="G82" s="192" t="s">
        <v>602</v>
      </c>
      <c r="H82" s="180" t="s">
        <v>6</v>
      </c>
      <c r="I82" s="180" t="s">
        <v>42</v>
      </c>
      <c r="J82" s="180" t="s">
        <v>331</v>
      </c>
      <c r="K82" s="185">
        <v>46184</v>
      </c>
      <c r="L82" s="184"/>
      <c r="M82" s="184" t="s">
        <v>321</v>
      </c>
      <c r="N82" s="180"/>
    </row>
    <row r="83" spans="2:14" ht="57" hidden="1">
      <c r="B83" s="180" t="s">
        <v>318</v>
      </c>
      <c r="C83" s="180">
        <v>81</v>
      </c>
      <c r="D83" s="186">
        <v>46174</v>
      </c>
      <c r="E83" s="191">
        <v>813320</v>
      </c>
      <c r="F83" s="180"/>
      <c r="G83" s="202" t="s">
        <v>615</v>
      </c>
      <c r="H83" s="180" t="s">
        <v>9</v>
      </c>
      <c r="I83" s="180" t="s">
        <v>55</v>
      </c>
      <c r="J83" s="180" t="s">
        <v>331</v>
      </c>
      <c r="K83" s="185">
        <v>46184</v>
      </c>
      <c r="L83" s="185">
        <v>46202</v>
      </c>
      <c r="M83" s="184" t="s">
        <v>321</v>
      </c>
      <c r="N83" s="180"/>
    </row>
    <row r="84" spans="2:14" ht="42.75" hidden="1">
      <c r="B84" s="180" t="s">
        <v>318</v>
      </c>
      <c r="C84" s="180">
        <v>82</v>
      </c>
      <c r="D84" s="186">
        <v>46174</v>
      </c>
      <c r="E84" s="191" t="s">
        <v>605</v>
      </c>
      <c r="F84" s="180"/>
      <c r="G84" s="192" t="s">
        <v>603</v>
      </c>
      <c r="H84" s="180" t="s">
        <v>604</v>
      </c>
      <c r="I84" s="180" t="s">
        <v>42</v>
      </c>
      <c r="J84" s="180" t="s">
        <v>331</v>
      </c>
      <c r="K84" s="185">
        <v>46184</v>
      </c>
      <c r="L84" s="184"/>
      <c r="M84" s="184" t="s">
        <v>321</v>
      </c>
      <c r="N84" s="180"/>
    </row>
    <row r="85" spans="2:14" ht="44.65" hidden="1" customHeight="1">
      <c r="B85" s="180" t="s">
        <v>318</v>
      </c>
      <c r="C85" s="180">
        <v>83</v>
      </c>
      <c r="D85" s="186">
        <v>46188</v>
      </c>
      <c r="E85" s="191">
        <v>813323</v>
      </c>
      <c r="F85" s="180"/>
      <c r="G85" s="202" t="s">
        <v>608</v>
      </c>
      <c r="H85" s="180" t="s">
        <v>18</v>
      </c>
      <c r="I85" s="180" t="s">
        <v>42</v>
      </c>
      <c r="J85" s="180" t="s">
        <v>331</v>
      </c>
      <c r="K85" s="185">
        <v>46195</v>
      </c>
      <c r="L85" s="184"/>
      <c r="M85" s="184" t="s">
        <v>321</v>
      </c>
      <c r="N85" s="180"/>
    </row>
    <row r="86" spans="2:14" ht="35.25" hidden="1" customHeight="1">
      <c r="B86" s="180" t="s">
        <v>318</v>
      </c>
      <c r="C86" s="180">
        <v>84</v>
      </c>
      <c r="D86" s="186">
        <v>46195</v>
      </c>
      <c r="E86" s="191">
        <v>813337</v>
      </c>
      <c r="F86" s="180"/>
      <c r="G86" s="192" t="s">
        <v>616</v>
      </c>
      <c r="H86" s="180" t="s">
        <v>10</v>
      </c>
      <c r="I86" s="180" t="s">
        <v>42</v>
      </c>
      <c r="J86" s="180" t="s">
        <v>391</v>
      </c>
      <c r="K86" s="185">
        <v>46199</v>
      </c>
      <c r="L86" s="185">
        <v>46202</v>
      </c>
      <c r="M86" s="184" t="s">
        <v>321</v>
      </c>
      <c r="N86" s="180"/>
    </row>
    <row r="87" spans="2:14" ht="79.150000000000006" hidden="1" customHeight="1">
      <c r="B87" s="180" t="s">
        <v>318</v>
      </c>
      <c r="C87" s="180">
        <v>85</v>
      </c>
      <c r="D87" s="186">
        <v>46195</v>
      </c>
      <c r="E87" s="191" t="s">
        <v>609</v>
      </c>
      <c r="F87" s="180"/>
      <c r="G87" s="192" t="s">
        <v>638</v>
      </c>
      <c r="H87" s="180" t="s">
        <v>10</v>
      </c>
      <c r="I87" s="180" t="s">
        <v>42</v>
      </c>
      <c r="J87" s="180" t="s">
        <v>331</v>
      </c>
      <c r="K87" s="185">
        <v>46199</v>
      </c>
      <c r="L87" s="184"/>
      <c r="M87" s="184" t="s">
        <v>321</v>
      </c>
      <c r="N87" s="180"/>
    </row>
    <row r="88" spans="2:14" ht="27.75" hidden="1" customHeight="1">
      <c r="B88" s="180" t="s">
        <v>318</v>
      </c>
      <c r="C88" s="180">
        <v>86</v>
      </c>
      <c r="D88" s="186">
        <v>46195</v>
      </c>
      <c r="E88" s="191">
        <v>813211</v>
      </c>
      <c r="F88" s="180"/>
      <c r="G88" s="202" t="s">
        <v>610</v>
      </c>
      <c r="H88" s="180" t="s">
        <v>20</v>
      </c>
      <c r="I88" s="180" t="s">
        <v>175</v>
      </c>
      <c r="J88" s="180" t="s">
        <v>331</v>
      </c>
      <c r="K88" s="185">
        <v>46199</v>
      </c>
      <c r="L88" s="185">
        <v>46196</v>
      </c>
      <c r="M88" s="184" t="s">
        <v>321</v>
      </c>
      <c r="N88" s="180"/>
    </row>
    <row r="89" spans="2:14" ht="145.15" customHeight="1">
      <c r="B89" s="180" t="s">
        <v>318</v>
      </c>
      <c r="C89" s="180">
        <v>87</v>
      </c>
      <c r="D89" s="186">
        <v>46202</v>
      </c>
      <c r="E89" s="191">
        <v>813197</v>
      </c>
      <c r="F89" s="180"/>
      <c r="G89" s="180" t="s">
        <v>656</v>
      </c>
      <c r="H89" s="180" t="s">
        <v>6</v>
      </c>
      <c r="I89" s="180" t="s">
        <v>42</v>
      </c>
      <c r="J89" s="180" t="s">
        <v>331</v>
      </c>
      <c r="K89" s="185">
        <v>46208</v>
      </c>
      <c r="L89" s="184"/>
      <c r="M89" s="184" t="s">
        <v>322</v>
      </c>
      <c r="N89" s="180"/>
    </row>
    <row r="90" spans="2:14" ht="53.65" hidden="1" customHeight="1">
      <c r="C90" s="180"/>
      <c r="D90" s="186">
        <v>46209</v>
      </c>
      <c r="E90" s="191">
        <v>850816</v>
      </c>
      <c r="F90" s="180"/>
      <c r="G90" s="262" t="s">
        <v>644</v>
      </c>
      <c r="H90" s="180" t="s">
        <v>620</v>
      </c>
      <c r="I90" s="180" t="s">
        <v>175</v>
      </c>
      <c r="J90" s="180" t="s">
        <v>398</v>
      </c>
      <c r="K90" s="185">
        <v>46213</v>
      </c>
      <c r="L90" s="185">
        <v>46227</v>
      </c>
      <c r="M90" s="184" t="s">
        <v>321</v>
      </c>
      <c r="N90" s="180"/>
    </row>
    <row r="91" spans="2:14" ht="106.5" hidden="1" customHeight="1">
      <c r="B91" s="180" t="s">
        <v>318</v>
      </c>
      <c r="C91" s="180"/>
      <c r="D91" s="186">
        <v>46216</v>
      </c>
      <c r="E91" s="191">
        <v>813265</v>
      </c>
      <c r="F91" s="180"/>
      <c r="G91" s="180" t="s">
        <v>652</v>
      </c>
      <c r="H91" s="180" t="s">
        <v>18</v>
      </c>
      <c r="I91" s="180" t="s">
        <v>42</v>
      </c>
      <c r="J91" s="180" t="s">
        <v>635</v>
      </c>
      <c r="K91" s="185">
        <v>46216</v>
      </c>
      <c r="L91" s="184"/>
      <c r="M91" s="184" t="s">
        <v>321</v>
      </c>
      <c r="N91" s="180"/>
    </row>
    <row r="92" spans="2:14" ht="98.65" customHeight="1">
      <c r="B92" s="180" t="s">
        <v>318</v>
      </c>
      <c r="C92" s="180"/>
      <c r="D92" s="186">
        <v>46216</v>
      </c>
      <c r="E92" s="191">
        <v>813337</v>
      </c>
      <c r="F92" s="180"/>
      <c r="G92" s="180" t="s">
        <v>665</v>
      </c>
      <c r="H92" s="180" t="s">
        <v>10</v>
      </c>
      <c r="I92" s="180" t="s">
        <v>42</v>
      </c>
      <c r="J92" s="180" t="s">
        <v>391</v>
      </c>
      <c r="K92" s="185">
        <v>46220</v>
      </c>
      <c r="L92" s="184"/>
      <c r="M92" s="184" t="s">
        <v>322</v>
      </c>
      <c r="N92" s="180"/>
    </row>
    <row r="93" spans="2:14" ht="88.5" customHeight="1">
      <c r="B93" s="180" t="s">
        <v>318</v>
      </c>
      <c r="C93" s="180"/>
      <c r="D93" s="186">
        <v>46216</v>
      </c>
      <c r="E93" s="191">
        <v>813283</v>
      </c>
      <c r="F93" s="180"/>
      <c r="G93" s="180" t="s">
        <v>657</v>
      </c>
      <c r="H93" s="180" t="s">
        <v>8</v>
      </c>
      <c r="I93" s="180" t="s">
        <v>175</v>
      </c>
      <c r="J93" s="180" t="s">
        <v>391</v>
      </c>
      <c r="K93" s="185">
        <v>46220</v>
      </c>
      <c r="L93" s="184"/>
      <c r="M93" s="184" t="s">
        <v>322</v>
      </c>
      <c r="N93" s="180"/>
    </row>
    <row r="94" spans="2:14" ht="95.25" customHeight="1">
      <c r="B94" s="180" t="s">
        <v>318</v>
      </c>
      <c r="C94" s="180"/>
      <c r="D94" s="186">
        <v>46223</v>
      </c>
      <c r="E94" s="191" t="s">
        <v>639</v>
      </c>
      <c r="F94" s="180"/>
      <c r="G94" s="180" t="s">
        <v>658</v>
      </c>
      <c r="H94" s="180" t="s">
        <v>6</v>
      </c>
      <c r="I94" s="180" t="s">
        <v>42</v>
      </c>
      <c r="J94" s="180" t="s">
        <v>320</v>
      </c>
      <c r="K94" s="185">
        <v>46233</v>
      </c>
      <c r="L94" s="184"/>
      <c r="M94" s="184" t="s">
        <v>322</v>
      </c>
      <c r="N94" s="180"/>
    </row>
    <row r="95" spans="2:14" ht="58.5" customHeight="1">
      <c r="B95" s="180" t="s">
        <v>318</v>
      </c>
      <c r="C95" s="180"/>
      <c r="D95" s="186">
        <v>46223</v>
      </c>
      <c r="E95" s="191" t="s">
        <v>645</v>
      </c>
      <c r="F95" s="180"/>
      <c r="G95" s="180" t="s">
        <v>659</v>
      </c>
      <c r="H95" s="180" t="s">
        <v>129</v>
      </c>
      <c r="I95" s="180" t="s">
        <v>175</v>
      </c>
      <c r="J95" s="180" t="s">
        <v>651</v>
      </c>
      <c r="K95" s="185">
        <v>46234</v>
      </c>
      <c r="L95" s="184"/>
      <c r="M95" s="184" t="s">
        <v>322</v>
      </c>
      <c r="N95" s="180"/>
    </row>
    <row r="96" spans="2:14" ht="37.5" hidden="1" customHeight="1">
      <c r="B96" s="180" t="s">
        <v>318</v>
      </c>
      <c r="C96" s="180"/>
      <c r="D96" s="186">
        <v>46237</v>
      </c>
      <c r="E96" s="191">
        <v>813387</v>
      </c>
      <c r="F96" s="180"/>
      <c r="G96" s="180" t="s">
        <v>667</v>
      </c>
      <c r="H96" s="180" t="s">
        <v>18</v>
      </c>
      <c r="I96" s="180"/>
      <c r="J96" s="180" t="s">
        <v>653</v>
      </c>
      <c r="K96" s="185">
        <v>46241</v>
      </c>
      <c r="L96" s="184"/>
      <c r="M96" s="184" t="s">
        <v>321</v>
      </c>
      <c r="N96" s="180"/>
    </row>
    <row r="97" spans="2:14" ht="30.4" customHeight="1">
      <c r="B97" s="180" t="s">
        <v>318</v>
      </c>
      <c r="C97" s="180"/>
      <c r="D97" s="186">
        <v>46237</v>
      </c>
      <c r="E97" s="191">
        <v>813391</v>
      </c>
      <c r="F97" s="180"/>
      <c r="G97" s="180" t="s">
        <v>666</v>
      </c>
      <c r="H97" s="180" t="s">
        <v>9</v>
      </c>
      <c r="I97" s="180"/>
      <c r="J97" s="180" t="s">
        <v>331</v>
      </c>
      <c r="K97" s="185">
        <v>46241</v>
      </c>
      <c r="L97" s="184"/>
      <c r="M97" s="184" t="s">
        <v>322</v>
      </c>
      <c r="N97" s="180"/>
    </row>
    <row r="98" spans="2:14" ht="25.05" customHeight="1">
      <c r="B98" s="180" t="s">
        <v>318</v>
      </c>
      <c r="C98" s="180"/>
      <c r="D98" s="186">
        <v>46244</v>
      </c>
      <c r="E98" s="191">
        <v>813321</v>
      </c>
      <c r="F98" s="180"/>
      <c r="G98" s="180" t="s">
        <v>660</v>
      </c>
      <c r="H98" s="180" t="s">
        <v>10</v>
      </c>
      <c r="I98" s="180" t="s">
        <v>42</v>
      </c>
      <c r="J98" s="180" t="s">
        <v>331</v>
      </c>
      <c r="K98" s="185">
        <v>46249</v>
      </c>
      <c r="L98" s="184"/>
      <c r="M98" s="184" t="s">
        <v>322</v>
      </c>
      <c r="N98" s="180"/>
    </row>
    <row r="99" spans="2:14" ht="25.05" customHeight="1">
      <c r="B99" s="180" t="s">
        <v>318</v>
      </c>
      <c r="C99" s="180"/>
      <c r="D99" s="186">
        <v>46244</v>
      </c>
      <c r="E99" s="191">
        <v>813292</v>
      </c>
      <c r="F99" s="180"/>
      <c r="G99" s="186" t="s">
        <v>668</v>
      </c>
      <c r="H99" s="180" t="s">
        <v>8</v>
      </c>
      <c r="I99" s="180" t="s">
        <v>55</v>
      </c>
      <c r="J99" s="180" t="s">
        <v>391</v>
      </c>
      <c r="K99" s="185">
        <v>46249</v>
      </c>
      <c r="L99" s="184"/>
      <c r="M99" s="184" t="s">
        <v>322</v>
      </c>
      <c r="N99" s="180"/>
    </row>
    <row r="100" spans="2:14">
      <c r="B100" s="180" t="s">
        <v>318</v>
      </c>
      <c r="C100" s="180"/>
      <c r="D100" s="186">
        <v>46244</v>
      </c>
      <c r="E100" s="191"/>
      <c r="F100" s="180"/>
      <c r="G100" s="192" t="s">
        <v>662</v>
      </c>
      <c r="H100" s="180"/>
      <c r="I100" s="180"/>
      <c r="J100" s="180"/>
      <c r="K100" s="184"/>
      <c r="L100" s="184"/>
      <c r="M100" s="184" t="s">
        <v>322</v>
      </c>
      <c r="N100" s="180"/>
    </row>
    <row r="101" spans="2:14" ht="25.05" customHeight="1"/>
    <row r="102" spans="2:14" ht="25.05" customHeight="1"/>
    <row r="103" spans="2:14" ht="25.05" customHeight="1"/>
    <row r="104" spans="2:14" ht="25.05" customHeight="1"/>
    <row r="105" spans="2:14" ht="25.05" customHeight="1">
      <c r="G105" s="188" t="s">
        <v>157</v>
      </c>
    </row>
    <row r="106" spans="2:14" ht="25.05" customHeight="1"/>
  </sheetData>
  <autoFilter ref="B3:N100" xr:uid="{C970F729-A0C3-4662-974E-482C3068A3C4}">
    <filterColumn colId="11">
      <filters>
        <filter val="on going"/>
      </filters>
    </filterColumn>
  </autoFilter>
  <sortState xmlns:xlrd2="http://schemas.microsoft.com/office/spreadsheetml/2017/richdata2" ref="A7:N77">
    <sortCondition ref="A7:A77"/>
  </sortState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C08F-C3BF-4543-BF70-E18172A19B5E}">
  <sheetPr filterMode="1"/>
  <dimension ref="B2:N61"/>
  <sheetViews>
    <sheetView zoomScale="85" zoomScaleNormal="85" workbookViewId="0">
      <selection activeCell="G84" sqref="G84"/>
    </sheetView>
  </sheetViews>
  <sheetFormatPr defaultRowHeight="14.25"/>
  <cols>
    <col min="3" max="3" width="19" bestFit="1" customWidth="1"/>
    <col min="4" max="4" width="9" customWidth="1"/>
    <col min="5" max="5" width="5.265625" bestFit="1" customWidth="1"/>
    <col min="6" max="6" width="46.265625" bestFit="1" customWidth="1"/>
    <col min="7" max="7" width="12.265625" bestFit="1" customWidth="1"/>
    <col min="8" max="8" width="6.265625" bestFit="1" customWidth="1"/>
    <col min="9" max="9" width="10.265625" customWidth="1"/>
    <col min="10" max="10" width="12" customWidth="1"/>
    <col min="11" max="11" width="13.265625" bestFit="1" customWidth="1"/>
    <col min="12" max="12" width="12.265625" bestFit="1" customWidth="1"/>
    <col min="13" max="13" width="13.265625" style="152" bestFit="1" customWidth="1"/>
    <col min="14" max="14" width="12.265625" style="152" bestFit="1" customWidth="1"/>
  </cols>
  <sheetData>
    <row r="2" spans="2:14" ht="42" customHeight="1">
      <c r="B2" s="267" t="s">
        <v>328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</row>
    <row r="3" spans="2:14" ht="26.25" customHeight="1">
      <c r="B3" s="268" t="s">
        <v>22</v>
      </c>
      <c r="C3" s="269" t="s">
        <v>23</v>
      </c>
      <c r="D3" s="271" t="s">
        <v>34</v>
      </c>
      <c r="E3" s="271" t="s">
        <v>35</v>
      </c>
      <c r="F3" s="268" t="s">
        <v>15</v>
      </c>
      <c r="G3" s="272" t="s">
        <v>188</v>
      </c>
      <c r="H3" s="268" t="s">
        <v>24</v>
      </c>
      <c r="I3" s="268" t="s">
        <v>14</v>
      </c>
      <c r="J3" s="268"/>
      <c r="K3" s="265" t="s">
        <v>37</v>
      </c>
      <c r="L3" s="266"/>
      <c r="M3" s="265" t="s">
        <v>40</v>
      </c>
      <c r="N3" s="266"/>
    </row>
    <row r="4" spans="2:14" ht="27" customHeight="1">
      <c r="B4" s="268"/>
      <c r="C4" s="270"/>
      <c r="D4" s="268"/>
      <c r="E4" s="268"/>
      <c r="F4" s="268"/>
      <c r="G4" s="271" t="s">
        <v>124</v>
      </c>
      <c r="H4" s="268"/>
      <c r="I4" s="55" t="s">
        <v>31</v>
      </c>
      <c r="J4" s="56" t="s">
        <v>25</v>
      </c>
      <c r="K4" s="51" t="s">
        <v>38</v>
      </c>
      <c r="L4" s="51" t="s">
        <v>39</v>
      </c>
      <c r="M4" s="151" t="s">
        <v>38</v>
      </c>
      <c r="N4" s="151" t="s">
        <v>39</v>
      </c>
    </row>
    <row r="5" spans="2:14" ht="26.25" hidden="1" customHeight="1">
      <c r="B5" s="58">
        <v>1</v>
      </c>
      <c r="C5" s="54" t="str">
        <f>'2025 结构设计订单 '!B52</f>
        <v>813090-093</v>
      </c>
      <c r="D5" s="59">
        <f>'2025 结构设计订单 '!C52</f>
        <v>140</v>
      </c>
      <c r="E5" s="59">
        <f>'2025 结构设计订单 '!D52</f>
        <v>230</v>
      </c>
      <c r="F5" s="62" t="str">
        <f>'2025 结构设计订单 '!E52</f>
        <v>上海电气埃及 Kom Ombo二期500KV光储EPC项目</v>
      </c>
      <c r="G5" s="60" t="str">
        <f>'2025 结构设计订单 '!F52</f>
        <v>出口</v>
      </c>
      <c r="H5" s="59">
        <f>'2025 结构设计订单 '!G52</f>
        <v>4</v>
      </c>
      <c r="I5" s="61" t="str">
        <f>IF((_xlfn.XLOOKUP($C5,'2025 结构设计订单 '!$B:$B,'2025 结构设计订单 '!H:H))=0," ",_xlfn.XLOOKUP($C5,'2025 结构设计订单 '!$B:$B,'2025 结构设计订单 '!H:H))</f>
        <v>高伟廷</v>
      </c>
      <c r="J5" s="61" t="str">
        <f>IF((_xlfn.XLOOKUP($C5,'2025 结构设计订单 '!$B:$B,'2025 结构设计订单 '!I:I))=0," ",_xlfn.XLOOKUP($C5,'2025 结构设计订单 '!$B:$B,'2025 结构设计订单 '!I:I))</f>
        <v>司林杰</v>
      </c>
      <c r="K5" s="67">
        <f>IF((_xlfn.XLOOKUP($C5,'2025 结构设计订单 '!$B:$B,'2025 结构设计订单 '!J:J))=0," ",_xlfn.XLOOKUP($C5,'2025 结构设计订单 '!$B:$B,'2025 结构设计订单 '!J:J))</f>
        <v>45757</v>
      </c>
      <c r="L5" s="61" t="str">
        <f>IF((_xlfn.XLOOKUP($C5,'2025 结构设计订单 '!$B:$B,'2025 结构设计订单 '!K:K))=0," ",_xlfn.XLOOKUP($C5,'2025 结构设计订单 '!$B:$B,'2025 结构设计订单 '!K:K))</f>
        <v xml:space="preserve"> </v>
      </c>
      <c r="M5" s="67">
        <f>IF((_xlfn.XLOOKUP($C5,'2025 结构设计订单 '!$B:$B,'2025 结构设计订单 '!M:M))=0," ",_xlfn.XLOOKUP($C5,'2025 结构设计订单 '!$B:$B,'2025 结构设计订单 '!M:M))</f>
        <v>45756</v>
      </c>
      <c r="N5" s="67" t="str">
        <f>IF((_xlfn.XLOOKUP($C5,'2025 结构设计订单 '!$B:$B,'2025 结构设计订单 '!N:N))=0," ",_xlfn.XLOOKUP($C5,'2025 结构设计订单 '!$B:$B,'2025 结构设计订单 '!N:N))</f>
        <v xml:space="preserve"> </v>
      </c>
    </row>
    <row r="6" spans="2:14" ht="26.25" hidden="1" customHeight="1">
      <c r="B6" s="58">
        <v>11</v>
      </c>
      <c r="C6" s="54" t="str">
        <f>'2025 结构设计订单 '!B54</f>
        <v>813081-813087</v>
      </c>
      <c r="D6" s="59">
        <f>'2025 结构设计订单 '!C54</f>
        <v>300</v>
      </c>
      <c r="E6" s="59">
        <f>'2025 结构设计订单 '!D54</f>
        <v>420</v>
      </c>
      <c r="F6" s="62" t="str">
        <f>'2025 结构设计订单 '!E54</f>
        <v>UAE</v>
      </c>
      <c r="G6" s="60" t="str">
        <f>'2025 结构设计订单 '!F54</f>
        <v>出口</v>
      </c>
      <c r="H6" s="59">
        <f>'2025 结构设计订单 '!G54</f>
        <v>6</v>
      </c>
      <c r="I6" s="61" t="str">
        <f>IF((_xlfn.XLOOKUP($C6,'2025 结构设计订单 '!$B:$B,'2025 结构设计订单 '!H:H))=0," ",_xlfn.XLOOKUP($C6,'2025 结构设计订单 '!$B:$B,'2025 结构设计订单 '!H:H))</f>
        <v>李咏梅</v>
      </c>
      <c r="J6" s="61" t="str">
        <f>IF((_xlfn.XLOOKUP($C6,'2025 结构设计订单 '!$B:$B,'2025 结构设计订单 '!I:I))=0," ",_xlfn.XLOOKUP($C6,'2025 结构设计订单 '!$B:$B,'2025 结构设计订单 '!I:I))</f>
        <v>司林杰</v>
      </c>
      <c r="K6" s="67">
        <f>IF((_xlfn.XLOOKUP($C6,'2025 结构设计订单 '!$B:$B,'2025 结构设计订单 '!J:J))=0," ",_xlfn.XLOOKUP($C6,'2025 结构设计订单 '!$B:$B,'2025 结构设计订单 '!J:J))</f>
        <v>45762</v>
      </c>
      <c r="L6" s="61" t="str">
        <f>IF((_xlfn.XLOOKUP($C6,'2025 结构设计订单 '!$B:$B,'2025 结构设计订单 '!K:K))=0," ",_xlfn.XLOOKUP($C6,'2025 结构设计订单 '!$B:$B,'2025 结构设计订单 '!K:K))</f>
        <v xml:space="preserve"> </v>
      </c>
      <c r="M6" s="67">
        <f>IF((_xlfn.XLOOKUP($C6,'2025 结构设计订单 '!$B:$B,'2025 结构设计订单 '!M:M))=0," ",_xlfn.XLOOKUP($C6,'2025 结构设计订单 '!$B:$B,'2025 结构设计订单 '!M:M))</f>
        <v>45762</v>
      </c>
      <c r="N6" s="67" t="str">
        <f>IF((_xlfn.XLOOKUP($C6,'2025 结构设计订单 '!$B:$B,'2025 结构设计订单 '!N:N))=0," ",_xlfn.XLOOKUP($C6,'2025 结构设计订单 '!$B:$B,'2025 结构设计订单 '!N:N))</f>
        <v xml:space="preserve"> </v>
      </c>
    </row>
    <row r="7" spans="2:14" ht="26.25" hidden="1" customHeight="1">
      <c r="B7" s="58">
        <v>13</v>
      </c>
      <c r="C7" s="54" t="str">
        <f>'2025 结构设计订单 '!B55</f>
        <v>813037-813045</v>
      </c>
      <c r="D7" s="59">
        <f>'2025 结构设计订单 '!C55</f>
        <v>210</v>
      </c>
      <c r="E7" s="59">
        <f>'2025 结构设计订单 '!D55</f>
        <v>330</v>
      </c>
      <c r="F7" s="62" t="str">
        <f>'2025 结构设计订单 '!E55</f>
        <v>Australia</v>
      </c>
      <c r="G7" s="60" t="str">
        <f>'2025 结构设计订单 '!F55</f>
        <v>出口</v>
      </c>
      <c r="H7" s="59">
        <f>'2025 结构设计订单 '!G55</f>
        <v>8</v>
      </c>
      <c r="I7" s="61" t="str">
        <f>IF((_xlfn.XLOOKUP($C7,'2025 结构设计订单 '!$B:$B,'2025 结构设计订单 '!H:H))=0," ",_xlfn.XLOOKUP($C7,'2025 结构设计订单 '!$B:$B,'2025 结构设计订单 '!H:H))</f>
        <v>郭运波</v>
      </c>
      <c r="J7" s="61" t="str">
        <f>IF((_xlfn.XLOOKUP($C7,'2025 结构设计订单 '!$B:$B,'2025 结构设计订单 '!I:I))=0," ",_xlfn.XLOOKUP($C7,'2025 结构设计订单 '!$B:$B,'2025 结构设计订单 '!I:I))</f>
        <v>王芳</v>
      </c>
      <c r="K7" s="67">
        <f>IF((_xlfn.XLOOKUP($C7,'2025 结构设计订单 '!$B:$B,'2025 结构设计订单 '!J:J))=0," ",_xlfn.XLOOKUP($C7,'2025 结构设计订单 '!$B:$B,'2025 结构设计订单 '!J:J))</f>
        <v>45768</v>
      </c>
      <c r="L7" s="61" t="str">
        <f>IF((_xlfn.XLOOKUP($C7,'2025 结构设计订单 '!$B:$B,'2025 结构设计订单 '!K:K))=0," ",_xlfn.XLOOKUP($C7,'2025 结构设计订单 '!$B:$B,'2025 结构设计订单 '!K:K))</f>
        <v xml:space="preserve"> </v>
      </c>
      <c r="M7" s="67" t="str">
        <f>IF((_xlfn.XLOOKUP($C7,'2025 结构设计订单 '!$B:$B,'2025 结构设计订单 '!M:M))=0," ",_xlfn.XLOOKUP($C7,'2025 结构设计订单 '!$B:$B,'2025 结构设计订单 '!M:M))</f>
        <v xml:space="preserve"> </v>
      </c>
      <c r="N7" s="67" t="str">
        <f>IF((_xlfn.XLOOKUP($C7,'2025 结构设计订单 '!$B:$B,'2025 结构设计订单 '!N:N))=0," ",_xlfn.XLOOKUP($C7,'2025 结构设计订单 '!$B:$B,'2025 结构设计订单 '!N:N))</f>
        <v xml:space="preserve"> </v>
      </c>
    </row>
    <row r="8" spans="2:14" ht="26.25" customHeight="1">
      <c r="B8" s="58">
        <v>24</v>
      </c>
      <c r="C8" s="54" t="str">
        <f>'2025 结构设计订单 '!B56</f>
        <v>813050~813053</v>
      </c>
      <c r="D8" s="59">
        <f>'2025 结构设计订单 '!C56</f>
        <v>150</v>
      </c>
      <c r="E8" s="59">
        <f>'2025 结构设计订单 '!D56</f>
        <v>400</v>
      </c>
      <c r="F8" s="62" t="str">
        <f>'2025 结构设计订单 '!E56</f>
        <v>Venezuela project</v>
      </c>
      <c r="G8" s="60" t="str">
        <f>'2025 结构设计订单 '!F56</f>
        <v>出口</v>
      </c>
      <c r="H8" s="59">
        <f>'2025 结构设计订单 '!G56</f>
        <v>4</v>
      </c>
      <c r="I8" s="61" t="str">
        <f>IF((_xlfn.XLOOKUP($C8,'2025 结构设计订单 '!$B:$B,'2025 结构设计订单 '!H:H))=0," ",_xlfn.XLOOKUP($C8,'2025 结构设计订单 '!$B:$B,'2025 结构设计订单 '!H:H))</f>
        <v>陈振东</v>
      </c>
      <c r="J8" s="61" t="str">
        <f>IF((_xlfn.XLOOKUP($C8,'2025 结构设计订单 '!$B:$B,'2025 结构设计订单 '!I:I))=0," ",_xlfn.XLOOKUP($C8,'2025 结构设计订单 '!$B:$B,'2025 结构设计订单 '!I:I))</f>
        <v>司林杰</v>
      </c>
      <c r="K8" s="67">
        <f>IF((_xlfn.XLOOKUP($C8,'2025 结构设计订单 '!$B:$B,'2025 结构设计订单 '!J:J))=0," ",_xlfn.XLOOKUP($C8,'2025 结构设计订单 '!$B:$B,'2025 结构设计订单 '!J:J))</f>
        <v>45774</v>
      </c>
      <c r="L8" s="61" t="str">
        <f>IF((_xlfn.XLOOKUP($C8,'2025 结构设计订单 '!$B:$B,'2025 结构设计订单 '!K:K))=0," ",_xlfn.XLOOKUP($C8,'2025 结构设计订单 '!$B:$B,'2025 结构设计订单 '!K:K))</f>
        <v xml:space="preserve"> </v>
      </c>
      <c r="M8" s="67">
        <f>IF((_xlfn.XLOOKUP($C8,'2025 结构设计订单 '!$B:$B,'2025 结构设计订单 '!M:M))=0," ",_xlfn.XLOOKUP($C8,'2025 结构设计订单 '!$B:$B,'2025 结构设计订单 '!M:M))</f>
        <v>45772</v>
      </c>
      <c r="N8" s="67" t="str">
        <f>IF((_xlfn.XLOOKUP($C8,'2025 结构设计订单 '!$B:$B,'2025 结构设计订单 '!N:N))=0," ",_xlfn.XLOOKUP($C8,'2025 结构设计订单 '!$B:$B,'2025 结构设计订单 '!N:N))</f>
        <v xml:space="preserve"> </v>
      </c>
    </row>
    <row r="9" spans="2:14" ht="26.25" hidden="1" customHeight="1">
      <c r="B9" s="58">
        <v>14</v>
      </c>
      <c r="C9" s="54">
        <f>'2025 结构设计订单 '!B57</f>
        <v>850701</v>
      </c>
      <c r="D9" s="59">
        <f>'2025 结构设计订单 '!C57</f>
        <v>280</v>
      </c>
      <c r="E9" s="59">
        <f>'2025 结构设计订单 '!D57</f>
        <v>400</v>
      </c>
      <c r="F9" s="62" t="str">
        <f>'2025 结构设计订单 '!E57</f>
        <v>广西防城港 谭松站</v>
      </c>
      <c r="G9" s="60" t="str">
        <f>'2025 结构设计订单 '!F57</f>
        <v>国内</v>
      </c>
      <c r="H9" s="59">
        <f>'2025 结构设计订单 '!G57</f>
        <v>1</v>
      </c>
      <c r="I9" s="61" t="str">
        <f>IF((_xlfn.XLOOKUP($C9,'2025 结构设计订单 '!$B:$B,'2025 结构设计订单 '!H:H))=0," ",_xlfn.XLOOKUP($C9,'2025 结构设计订单 '!$B:$B,'2025 结构设计订单 '!H:H))</f>
        <v>李红杰</v>
      </c>
      <c r="J9" s="61" t="str">
        <f>IF((_xlfn.XLOOKUP($C9,'2025 结构设计订单 '!$B:$B,'2025 结构设计订单 '!I:I))=0," ",_xlfn.XLOOKUP($C9,'2025 结构设计订单 '!$B:$B,'2025 结构设计订单 '!I:I))</f>
        <v>董立乔</v>
      </c>
      <c r="K9" s="67">
        <f>IF((_xlfn.XLOOKUP($C9,'2025 结构设计订单 '!$B:$B,'2025 结构设计订单 '!J:J))=0," ",_xlfn.XLOOKUP($C9,'2025 结构设计订单 '!$B:$B,'2025 结构设计订单 '!J:J))</f>
        <v>45784</v>
      </c>
      <c r="L9" s="61" t="str">
        <f>IF((_xlfn.XLOOKUP($C9,'2025 结构设计订单 '!$B:$B,'2025 结构设计订单 '!K:K))=0," ",_xlfn.XLOOKUP($C9,'2025 结构设计订单 '!$B:$B,'2025 结构设计订单 '!K:K))</f>
        <v xml:space="preserve"> </v>
      </c>
      <c r="M9" s="67">
        <f>IF((_xlfn.XLOOKUP($C9,'2025 结构设计订单 '!$B:$B,'2025 结构设计订单 '!M:M))=0," ",_xlfn.XLOOKUP($C9,'2025 结构设计订单 '!$B:$B,'2025 结构设计订单 '!M:M))</f>
        <v>45803</v>
      </c>
      <c r="N9" s="67">
        <f>IF((_xlfn.XLOOKUP($C9,'2025 结构设计订单 '!$B:$B,'2025 结构设计订单 '!N:N))=0," ",_xlfn.XLOOKUP($C9,'2025 结构设计订单 '!$B:$B,'2025 结构设计订单 '!N:N))</f>
        <v>45814</v>
      </c>
    </row>
    <row r="10" spans="2:14" ht="26.25" hidden="1" customHeight="1">
      <c r="B10" s="58">
        <v>15</v>
      </c>
      <c r="C10" s="54" t="str">
        <f>'2025 结构设计订单 '!B59</f>
        <v>813101-813103</v>
      </c>
      <c r="D10" s="59">
        <f>'2025 结构设计订单 '!C59</f>
        <v>120</v>
      </c>
      <c r="E10" s="59">
        <f>'2025 结构设计订单 '!D59</f>
        <v>132</v>
      </c>
      <c r="F10" s="62" t="str">
        <f>'2025 结构设计订单 '!E59</f>
        <v>UAE _Transco Haffar</v>
      </c>
      <c r="G10" s="60" t="str">
        <f>'2025 结构设计订单 '!F59</f>
        <v>出口</v>
      </c>
      <c r="H10" s="59">
        <f>'2025 结构设计订单 '!G59</f>
        <v>3</v>
      </c>
      <c r="I10" s="61" t="str">
        <f>IF((_xlfn.XLOOKUP($C10,'2025 结构设计订单 '!$B:$B,'2025 结构设计订单 '!H:H))=0," ",_xlfn.XLOOKUP($C10,'2025 结构设计订单 '!$B:$B,'2025 结构设计订单 '!H:H))</f>
        <v>李咏梅</v>
      </c>
      <c r="J10" s="61" t="str">
        <f>IF((_xlfn.XLOOKUP($C10,'2025 结构设计订单 '!$B:$B,'2025 结构设计订单 '!I:I))=0," ",_xlfn.XLOOKUP($C10,'2025 结构设计订单 '!$B:$B,'2025 结构设计订单 '!I:I))</f>
        <v>司林杰</v>
      </c>
      <c r="K10" s="67">
        <f>IF((_xlfn.XLOOKUP($C10,'2025 结构设计订单 '!$B:$B,'2025 结构设计订单 '!J:J))=0," ",_xlfn.XLOOKUP($C10,'2025 结构设计订单 '!$B:$B,'2025 结构设计订单 '!J:J))</f>
        <v>45792</v>
      </c>
      <c r="L10" s="61" t="str">
        <f>IF((_xlfn.XLOOKUP($C10,'2025 结构设计订单 '!$B:$B,'2025 结构设计订单 '!K:K))=0," ",_xlfn.XLOOKUP($C10,'2025 结构设计订单 '!$B:$B,'2025 结构设计订单 '!K:K))</f>
        <v xml:space="preserve"> </v>
      </c>
      <c r="M10" s="67">
        <f>IF((_xlfn.XLOOKUP($C10,'2025 结构设计订单 '!$B:$B,'2025 结构设计订单 '!M:M))=0," ",_xlfn.XLOOKUP($C10,'2025 结构设计订单 '!$B:$B,'2025 结构设计订单 '!M:M))</f>
        <v>45783</v>
      </c>
      <c r="N10" s="67" t="str">
        <f>IF((_xlfn.XLOOKUP($C10,'2025 结构设计订单 '!$B:$B,'2025 结构设计订单 '!N:N))=0," ",_xlfn.XLOOKUP($C10,'2025 结构设计订单 '!$B:$B,'2025 结构设计订单 '!N:N))</f>
        <v xml:space="preserve"> </v>
      </c>
    </row>
    <row r="11" spans="2:14" ht="26.25" hidden="1" customHeight="1">
      <c r="B11" s="58">
        <v>16</v>
      </c>
      <c r="C11" s="54" t="str">
        <f>'2025 结构设计订单 '!B60</f>
        <v>813115-813123</v>
      </c>
      <c r="D11" s="59">
        <f>'2025 结构设计订单 '!C60</f>
        <v>200</v>
      </c>
      <c r="E11" s="59">
        <f>'2025 结构设计订单 '!D60</f>
        <v>400</v>
      </c>
      <c r="F11" s="62" t="str">
        <f>'2025 结构设计订单 '!E60</f>
        <v>Spain REE</v>
      </c>
      <c r="G11" s="60" t="str">
        <f>'2025 结构设计订单 '!F60</f>
        <v>出口</v>
      </c>
      <c r="H11" s="59">
        <f>'2025 结构设计订单 '!G60</f>
        <v>9</v>
      </c>
      <c r="I11" s="61" t="str">
        <f>IF((_xlfn.XLOOKUP($C11,'2025 结构设计订单 '!$B:$B,'2025 结构设计订单 '!H:H))=0," ",_xlfn.XLOOKUP($C11,'2025 结构设计订单 '!$B:$B,'2025 结构设计订单 '!H:H))</f>
        <v>郭运波</v>
      </c>
      <c r="J11" s="61" t="str">
        <f>IF((_xlfn.XLOOKUP($C11,'2025 结构设计订单 '!$B:$B,'2025 结构设计订单 '!I:I))=0," ",_xlfn.XLOOKUP($C11,'2025 结构设计订单 '!$B:$B,'2025 结构设计订单 '!I:I))</f>
        <v>司林杰</v>
      </c>
      <c r="K11" s="67">
        <f>IF((_xlfn.XLOOKUP($C11,'2025 结构设计订单 '!$B:$B,'2025 结构设计订单 '!J:J))=0," ",_xlfn.XLOOKUP($C11,'2025 结构设计订单 '!$B:$B,'2025 结构设计订单 '!J:J))</f>
        <v>45792</v>
      </c>
      <c r="L11" s="61" t="str">
        <f>IF((_xlfn.XLOOKUP($C11,'2025 结构设计订单 '!$B:$B,'2025 结构设计订单 '!K:K))=0," ",_xlfn.XLOOKUP($C11,'2025 结构设计订单 '!$B:$B,'2025 结构设计订单 '!K:K))</f>
        <v xml:space="preserve"> </v>
      </c>
      <c r="M11" s="67">
        <f>IF((_xlfn.XLOOKUP($C11,'2025 结构设计订单 '!$B:$B,'2025 结构设计订单 '!M:M))=0," ",_xlfn.XLOOKUP($C11,'2025 结构设计订单 '!$B:$B,'2025 结构设计订单 '!M:M))</f>
        <v>45793</v>
      </c>
      <c r="N11" s="67" t="str">
        <f>IF((_xlfn.XLOOKUP($C11,'2025 结构设计订单 '!$B:$B,'2025 结构设计订单 '!N:N))=0," ",_xlfn.XLOOKUP($C11,'2025 结构设计订单 '!$B:$B,'2025 结构设计订单 '!N:N))</f>
        <v xml:space="preserve"> </v>
      </c>
    </row>
    <row r="12" spans="2:14" ht="26.25" customHeight="1">
      <c r="B12" s="58">
        <v>17</v>
      </c>
      <c r="C12" s="54" t="str">
        <f>'2025 结构设计订单 '!B61</f>
        <v>813099-813100</v>
      </c>
      <c r="D12" s="59">
        <f>'2025 结构设计订单 '!C61</f>
        <v>160</v>
      </c>
      <c r="E12" s="59">
        <f>'2025 结构设计订单 '!D61</f>
        <v>220</v>
      </c>
      <c r="F12" s="62" t="str">
        <f>'2025 结构设计订单 '!E61</f>
        <v xml:space="preserve">匈牙利Hungary_PV park Sihalom </v>
      </c>
      <c r="G12" s="60" t="str">
        <f>'2025 结构设计订单 '!F61</f>
        <v>出口</v>
      </c>
      <c r="H12" s="59">
        <f>'2025 结构设计订单 '!G61</f>
        <v>2</v>
      </c>
      <c r="I12" s="61" t="str">
        <f>IF((_xlfn.XLOOKUP($C12,'2025 结构设计订单 '!$B:$B,'2025 结构设计订单 '!H:H))=0," ",_xlfn.XLOOKUP($C12,'2025 结构设计订单 '!$B:$B,'2025 结构设计订单 '!H:H))</f>
        <v>陈振东</v>
      </c>
      <c r="J12" s="61" t="str">
        <f>IF((_xlfn.XLOOKUP($C12,'2025 结构设计订单 '!$B:$B,'2025 结构设计订单 '!I:I))=0," ",_xlfn.XLOOKUP($C12,'2025 结构设计订单 '!$B:$B,'2025 结构设计订单 '!I:I))</f>
        <v>司林杰</v>
      </c>
      <c r="K12" s="67">
        <f>IF((_xlfn.XLOOKUP($C12,'2025 结构设计订单 '!$B:$B,'2025 结构设计订单 '!J:J))=0," ",_xlfn.XLOOKUP($C12,'2025 结构设计订单 '!$B:$B,'2025 结构设计订单 '!J:J))</f>
        <v>45792</v>
      </c>
      <c r="L12" s="61" t="str">
        <f>IF((_xlfn.XLOOKUP($C12,'2025 结构设计订单 '!$B:$B,'2025 结构设计订单 '!K:K))=0," ",_xlfn.XLOOKUP($C12,'2025 结构设计订单 '!$B:$B,'2025 结构设计订单 '!K:K))</f>
        <v xml:space="preserve"> </v>
      </c>
      <c r="M12" s="67">
        <f>IF((_xlfn.XLOOKUP($C12,'2025 结构设计订单 '!$B:$B,'2025 结构设计订单 '!M:M))=0," ",_xlfn.XLOOKUP($C12,'2025 结构设计订单 '!$B:$B,'2025 结构设计订单 '!M:M))</f>
        <v>45775</v>
      </c>
      <c r="N12" s="67" t="str">
        <f>IF((_xlfn.XLOOKUP($C12,'2025 结构设计订单 '!$B:$B,'2025 结构设计订单 '!N:N))=0," ",_xlfn.XLOOKUP($C12,'2025 结构设计订单 '!$B:$B,'2025 结构设计订单 '!N:N))</f>
        <v xml:space="preserve"> </v>
      </c>
    </row>
    <row r="13" spans="2:14" ht="26.25" hidden="1" customHeight="1">
      <c r="B13" s="58">
        <v>18</v>
      </c>
      <c r="C13" s="54" t="str">
        <f>'2025 结构设计订单 '!B62</f>
        <v>813097-813098</v>
      </c>
      <c r="D13" s="59">
        <f>'2025 结构设计订单 '!C62</f>
        <v>130</v>
      </c>
      <c r="E13" s="59">
        <f>'2025 结构设计订单 '!D62</f>
        <v>220</v>
      </c>
      <c r="F13" s="62" t="str">
        <f>'2025 结构设计订单 '!E62</f>
        <v>秘鲁 Peru _Caraveli</v>
      </c>
      <c r="G13" s="60" t="str">
        <f>'2025 结构设计订单 '!F62</f>
        <v>出口</v>
      </c>
      <c r="H13" s="59">
        <f>'2025 结构设计订单 '!G62</f>
        <v>2</v>
      </c>
      <c r="I13" s="61" t="str">
        <f>IF((_xlfn.XLOOKUP($C13,'2025 结构设计订单 '!$B:$B,'2025 结构设计订单 '!H:H))=0," ",_xlfn.XLOOKUP($C13,'2025 结构设计订单 '!$B:$B,'2025 结构设计订单 '!H:H))</f>
        <v>高伟廷</v>
      </c>
      <c r="J13" s="61" t="str">
        <f>IF((_xlfn.XLOOKUP($C13,'2025 结构设计订单 '!$B:$B,'2025 结构设计订单 '!I:I))=0," ",_xlfn.XLOOKUP($C13,'2025 结构设计订单 '!$B:$B,'2025 结构设计订单 '!I:I))</f>
        <v>王芳</v>
      </c>
      <c r="K13" s="67">
        <f>IF((_xlfn.XLOOKUP($C13,'2025 结构设计订单 '!$B:$B,'2025 结构设计订单 '!J:J))=0," ",_xlfn.XLOOKUP($C13,'2025 结构设计订单 '!$B:$B,'2025 结构设计订单 '!J:J))</f>
        <v>45792</v>
      </c>
      <c r="L13" s="61" t="str">
        <f>IF((_xlfn.XLOOKUP($C13,'2025 结构设计订单 '!$B:$B,'2025 结构设计订单 '!K:K))=0," ",_xlfn.XLOOKUP($C13,'2025 结构设计订单 '!$B:$B,'2025 结构设计订单 '!K:K))</f>
        <v xml:space="preserve"> </v>
      </c>
      <c r="M13" s="67" t="str">
        <f>IF((_xlfn.XLOOKUP($C13,'2025 结构设计订单 '!$B:$B,'2025 结构设计订单 '!M:M))=0," ",_xlfn.XLOOKUP($C13,'2025 结构设计订单 '!$B:$B,'2025 结构设计订单 '!M:M))</f>
        <v xml:space="preserve"> </v>
      </c>
      <c r="N13" s="67" t="str">
        <f>IF((_xlfn.XLOOKUP($C13,'2025 结构设计订单 '!$B:$B,'2025 结构设计订单 '!N:N))=0," ",_xlfn.XLOOKUP($C13,'2025 结构设计订单 '!$B:$B,'2025 结构设计订单 '!N:N))</f>
        <v xml:space="preserve"> </v>
      </c>
    </row>
    <row r="14" spans="2:14" ht="26.25" hidden="1" customHeight="1">
      <c r="B14" s="58">
        <v>19</v>
      </c>
      <c r="C14" s="54" t="str">
        <f>'2025 结构设计订单 '!B63</f>
        <v>813161-813162</v>
      </c>
      <c r="D14" s="59">
        <f>'2025 结构设计订单 '!C63</f>
        <v>160</v>
      </c>
      <c r="E14" s="59">
        <f>'2025 结构设计订单 '!D63</f>
        <v>400</v>
      </c>
      <c r="F14" s="62" t="str">
        <f>'2025 结构设计订单 '!E63</f>
        <v xml:space="preserve">Romania Saceni </v>
      </c>
      <c r="G14" s="60" t="str">
        <f>'2025 结构设计订单 '!F63</f>
        <v>出口</v>
      </c>
      <c r="H14" s="59">
        <f>'2025 结构设计订单 '!G63</f>
        <v>2</v>
      </c>
      <c r="I14" s="61" t="str">
        <f>IF((_xlfn.XLOOKUP($C14,'2025 结构设计订单 '!$B:$B,'2025 结构设计订单 '!H:H))=0," ",_xlfn.XLOOKUP($C14,'2025 结构设计订单 '!$B:$B,'2025 结构设计订单 '!H:H))</f>
        <v>戚彬</v>
      </c>
      <c r="J14" s="61" t="str">
        <f>IF((_xlfn.XLOOKUP($C14,'2025 结构设计订单 '!$B:$B,'2025 结构设计订单 '!I:I))=0," ",_xlfn.XLOOKUP($C14,'2025 结构设计订单 '!$B:$B,'2025 结构设计订单 '!I:I))</f>
        <v>王芳</v>
      </c>
      <c r="K14" s="67">
        <f>IF((_xlfn.XLOOKUP($C14,'2025 结构设计订单 '!$B:$B,'2025 结构设计订单 '!J:J))=0," ",_xlfn.XLOOKUP($C14,'2025 结构设计订单 '!$B:$B,'2025 结构设计订单 '!J:J))</f>
        <v>45798</v>
      </c>
      <c r="L14" s="61" t="str">
        <f>IF((_xlfn.XLOOKUP($C14,'2025 结构设计订单 '!$B:$B,'2025 结构设计订单 '!K:K))=0," ",_xlfn.XLOOKUP($C14,'2025 结构设计订单 '!$B:$B,'2025 结构设计订单 '!K:K))</f>
        <v xml:space="preserve"> </v>
      </c>
      <c r="M14" s="67" t="str">
        <f>IF((_xlfn.XLOOKUP($C14,'2025 结构设计订单 '!$B:$B,'2025 结构设计订单 '!M:M))=0," ",_xlfn.XLOOKUP($C14,'2025 结构设计订单 '!$B:$B,'2025 结构设计订单 '!M:M))</f>
        <v xml:space="preserve"> </v>
      </c>
      <c r="N14" s="67" t="str">
        <f>IF((_xlfn.XLOOKUP($C14,'2025 结构设计订单 '!$B:$B,'2025 结构设计订单 '!N:N))=0," ",_xlfn.XLOOKUP($C14,'2025 结构设计订单 '!$B:$B,'2025 结构设计订单 '!N:N))</f>
        <v xml:space="preserve"> </v>
      </c>
    </row>
    <row r="15" spans="2:14" ht="26.25" hidden="1" customHeight="1">
      <c r="B15" s="58">
        <v>2</v>
      </c>
      <c r="C15" s="54" t="str">
        <f>'2025 结构设计订单 '!B64</f>
        <v>813155-813156</v>
      </c>
      <c r="D15" s="59" t="str">
        <f>'2025 结构设计订单 '!C64</f>
        <v>120MVAr</v>
      </c>
      <c r="E15" s="59">
        <f>'2025 结构设计订单 '!D64</f>
        <v>500</v>
      </c>
      <c r="F15" s="62" t="str">
        <f>'2025 结构设计订单 '!E64</f>
        <v>Vienam_CPMB_Shunt Reactor</v>
      </c>
      <c r="G15" s="60" t="str">
        <f>'2025 结构设计订单 '!F64</f>
        <v>出口</v>
      </c>
      <c r="H15" s="59">
        <f>'2025 结构设计订单 '!G64</f>
        <v>2</v>
      </c>
      <c r="I15" s="61" t="str">
        <f>IF((_xlfn.XLOOKUP($C15,'2025 结构设计订单 '!$B:$B,'2025 结构设计订单 '!H:H))=0," ",_xlfn.XLOOKUP($C15,'2025 结构设计订单 '!$B:$B,'2025 结构设计订单 '!H:H))</f>
        <v>郭运波</v>
      </c>
      <c r="J15" s="61" t="str">
        <f>IF((_xlfn.XLOOKUP($C15,'2025 结构设计订单 '!$B:$B,'2025 结构设计订单 '!I:I))=0," ",_xlfn.XLOOKUP($C15,'2025 结构设计订单 '!$B:$B,'2025 结构设计订单 '!I:I))</f>
        <v>董立乔</v>
      </c>
      <c r="K15" s="67">
        <f>IF((_xlfn.XLOOKUP($C15,'2025 结构设计订单 '!$B:$B,'2025 结构设计订单 '!J:J))=0," ",_xlfn.XLOOKUP($C15,'2025 结构设计订单 '!$B:$B,'2025 结构设计订单 '!J:J))</f>
        <v>45810</v>
      </c>
      <c r="L15" s="61" t="str">
        <f>IF((_xlfn.XLOOKUP($C15,'2025 结构设计订单 '!$B:$B,'2025 结构设计订单 '!K:K))=0," ",_xlfn.XLOOKUP($C15,'2025 结构设计订单 '!$B:$B,'2025 结构设计订单 '!K:K))</f>
        <v xml:space="preserve"> </v>
      </c>
      <c r="M15" s="67">
        <f>IF((_xlfn.XLOOKUP($C15,'2025 结构设计订单 '!$B:$B,'2025 结构设计订单 '!M:M))=0," ",_xlfn.XLOOKUP($C15,'2025 结构设计订单 '!$B:$B,'2025 结构设计订单 '!M:M))</f>
        <v>45821</v>
      </c>
      <c r="N15" s="67" t="str">
        <f>IF((_xlfn.XLOOKUP($C15,'2025 结构设计订单 '!$B:$B,'2025 结构设计订单 '!N:N))=0," ",_xlfn.XLOOKUP($C15,'2025 结构设计订单 '!$B:$B,'2025 结构设计订单 '!N:N))</f>
        <v xml:space="preserve"> </v>
      </c>
    </row>
    <row r="16" spans="2:14" ht="26.25" hidden="1" customHeight="1">
      <c r="B16" s="58">
        <v>3</v>
      </c>
      <c r="C16" s="54" t="str">
        <f>'2025 结构设计订单 '!B65</f>
        <v>813175-813177</v>
      </c>
      <c r="D16" s="59">
        <f>'2025 结构设计订单 '!C65</f>
        <v>334</v>
      </c>
      <c r="E16" s="59">
        <f>'2025 结构设计订单 '!D65</f>
        <v>500</v>
      </c>
      <c r="F16" s="62" t="str">
        <f>'2025 结构设计订单 '!E65</f>
        <v>山东官亭500千伏变电站</v>
      </c>
      <c r="G16" s="60" t="str">
        <f>'2025 结构设计订单 '!F65</f>
        <v>国内</v>
      </c>
      <c r="H16" s="59">
        <f>'2025 结构设计订单 '!G65</f>
        <v>3</v>
      </c>
      <c r="I16" s="61" t="str">
        <f>IF((_xlfn.XLOOKUP($C16,'2025 结构设计订单 '!$B:$B,'2025 结构设计订单 '!H:H))=0," ",_xlfn.XLOOKUP($C16,'2025 结构设计订单 '!$B:$B,'2025 结构设计订单 '!H:H))</f>
        <v>郑瑞阳</v>
      </c>
      <c r="J16" s="61" t="str">
        <f>IF((_xlfn.XLOOKUP($C16,'2025 结构设计订单 '!$B:$B,'2025 结构设计订单 '!I:I))=0," ",_xlfn.XLOOKUP($C16,'2025 结构设计订单 '!$B:$B,'2025 结构设计订单 '!I:I))</f>
        <v>董立乔</v>
      </c>
      <c r="K16" s="67">
        <f>IF((_xlfn.XLOOKUP($C16,'2025 结构设计订单 '!$B:$B,'2025 结构设计订单 '!J:J))=0," ",_xlfn.XLOOKUP($C16,'2025 结构设计订单 '!$B:$B,'2025 结构设计订单 '!J:J))</f>
        <v>45812</v>
      </c>
      <c r="L16" s="61" t="str">
        <f>IF((_xlfn.XLOOKUP($C16,'2025 结构设计订单 '!$B:$B,'2025 结构设计订单 '!K:K))=0," ",_xlfn.XLOOKUP($C16,'2025 结构设计订单 '!$B:$B,'2025 结构设计订单 '!K:K))</f>
        <v xml:space="preserve"> </v>
      </c>
      <c r="M16" s="67">
        <f>IF((_xlfn.XLOOKUP($C16,'2025 结构设计订单 '!$B:$B,'2025 结构设计订单 '!M:M))=0," ",_xlfn.XLOOKUP($C16,'2025 结构设计订单 '!$B:$B,'2025 结构设计订单 '!M:M))</f>
        <v>45828</v>
      </c>
      <c r="N16" s="67" t="str">
        <f>IF((_xlfn.XLOOKUP($C16,'2025 结构设计订单 '!$B:$B,'2025 结构设计订单 '!N:N))=0," ",_xlfn.XLOOKUP($C16,'2025 结构设计订单 '!$B:$B,'2025 结构设计订单 '!N:N))</f>
        <v xml:space="preserve"> </v>
      </c>
    </row>
    <row r="17" spans="2:14" ht="26.25" hidden="1" customHeight="1">
      <c r="B17" s="58">
        <v>4</v>
      </c>
      <c r="C17" s="54" t="str">
        <f>'2025 结构设计订单 '!B66</f>
        <v>813178-813180</v>
      </c>
      <c r="D17" s="59">
        <f>'2025 结构设计订单 '!C66</f>
        <v>334</v>
      </c>
      <c r="E17" s="59">
        <f>'2025 结构设计订单 '!D66</f>
        <v>500</v>
      </c>
      <c r="F17" s="62" t="str">
        <f>'2025 结构设计订单 '!E66</f>
        <v>山东济南500千伏主变增容工程</v>
      </c>
      <c r="G17" s="60" t="str">
        <f>'2025 结构设计订单 '!F66</f>
        <v>国内</v>
      </c>
      <c r="H17" s="59">
        <f>'2025 结构设计订单 '!G66</f>
        <v>3</v>
      </c>
      <c r="I17" s="61" t="str">
        <f>IF((_xlfn.XLOOKUP($C17,'2025 结构设计订单 '!$B:$B,'2025 结构设计订单 '!H:H))=0," ",_xlfn.XLOOKUP($C17,'2025 结构设计订单 '!$B:$B,'2025 结构设计订单 '!H:H))</f>
        <v>郑瑞阳</v>
      </c>
      <c r="J17" s="61" t="str">
        <f>IF((_xlfn.XLOOKUP($C17,'2025 结构设计订单 '!$B:$B,'2025 结构设计订单 '!I:I))=0," ",_xlfn.XLOOKUP($C17,'2025 结构设计订单 '!$B:$B,'2025 结构设计订单 '!I:I))</f>
        <v>董立乔</v>
      </c>
      <c r="K17" s="67">
        <f>IF((_xlfn.XLOOKUP($C17,'2025 结构设计订单 '!$B:$B,'2025 结构设计订单 '!J:J))=0," ",_xlfn.XLOOKUP($C17,'2025 结构设计订单 '!$B:$B,'2025 结构设计订单 '!J:J))</f>
        <v>45814</v>
      </c>
      <c r="L17" s="61" t="str">
        <f>IF((_xlfn.XLOOKUP($C17,'2025 结构设计订单 '!$B:$B,'2025 结构设计订单 '!K:K))=0," ",_xlfn.XLOOKUP($C17,'2025 结构设计订单 '!$B:$B,'2025 结构设计订单 '!K:K))</f>
        <v xml:space="preserve"> </v>
      </c>
      <c r="M17" s="67">
        <f>IF((_xlfn.XLOOKUP($C17,'2025 结构设计订单 '!$B:$B,'2025 结构设计订单 '!M:M))=0," ",_xlfn.XLOOKUP($C17,'2025 结构设计订单 '!$B:$B,'2025 结构设计订单 '!M:M))</f>
        <v>45841</v>
      </c>
      <c r="N17" s="67" t="str">
        <f>IF((_xlfn.XLOOKUP($C17,'2025 结构设计订单 '!$B:$B,'2025 结构设计订单 '!N:N))=0," ",_xlfn.XLOOKUP($C17,'2025 结构设计订单 '!$B:$B,'2025 结构设计订单 '!N:N))</f>
        <v xml:space="preserve"> </v>
      </c>
    </row>
    <row r="18" spans="2:14" ht="26.25" hidden="1" customHeight="1">
      <c r="B18" s="58">
        <v>10</v>
      </c>
      <c r="C18" s="54">
        <f>'2025 结构设计订单 '!B67</f>
        <v>813133</v>
      </c>
      <c r="D18" s="59">
        <f>'2025 结构设计订单 '!C67</f>
        <v>220</v>
      </c>
      <c r="E18" s="59">
        <f>'2025 结构设计订单 '!D67</f>
        <v>154</v>
      </c>
      <c r="F18" s="62" t="str">
        <f>'2025 结构设计订单 '!E67</f>
        <v>Chile PV Gran Teno</v>
      </c>
      <c r="G18" s="60" t="str">
        <f>'2025 结构设计订单 '!F67</f>
        <v>出口</v>
      </c>
      <c r="H18" s="59">
        <f>'2025 结构设计订单 '!G67</f>
        <v>1</v>
      </c>
      <c r="I18" s="61" t="str">
        <f>IF((_xlfn.XLOOKUP($C18,'2025 结构设计订单 '!$B:$B,'2025 结构设计订单 '!H:H))=0," ",_xlfn.XLOOKUP($C18,'2025 结构设计订单 '!$B:$B,'2025 结构设计订单 '!H:H))</f>
        <v>李咏梅</v>
      </c>
      <c r="J18" s="61" t="str">
        <f>IF((_xlfn.XLOOKUP($C18,'2025 结构设计订单 '!$B:$B,'2025 结构设计订单 '!I:I))=0," ",_xlfn.XLOOKUP($C18,'2025 结构设计订单 '!$B:$B,'2025 结构设计订单 '!I:I))</f>
        <v>王芳</v>
      </c>
      <c r="K18" s="67">
        <f>IF((_xlfn.XLOOKUP($C18,'2025 结构设计订单 '!$B:$B,'2025 结构设计订单 '!J:J))=0," ",_xlfn.XLOOKUP($C18,'2025 结构设计订单 '!$B:$B,'2025 结构设计订单 '!J:J))</f>
        <v>45823</v>
      </c>
      <c r="L18" s="61" t="str">
        <f>IF((_xlfn.XLOOKUP($C18,'2025 结构设计订单 '!$B:$B,'2025 结构设计订单 '!K:K))=0," ",_xlfn.XLOOKUP($C18,'2025 结构设计订单 '!$B:$B,'2025 结构设计订单 '!K:K))</f>
        <v xml:space="preserve"> </v>
      </c>
      <c r="M18" s="67" t="str">
        <f>IF((_xlfn.XLOOKUP($C18,'2025 结构设计订单 '!$B:$B,'2025 结构设计订单 '!M:M))=0," ",_xlfn.XLOOKUP($C18,'2025 结构设计订单 '!$B:$B,'2025 结构设计订单 '!M:M))</f>
        <v xml:space="preserve"> </v>
      </c>
      <c r="N18" s="67" t="str">
        <f>IF((_xlfn.XLOOKUP($C18,'2025 结构设计订单 '!$B:$B,'2025 结构设计订单 '!N:N))=0," ",_xlfn.XLOOKUP($C18,'2025 结构设计订单 '!$B:$B,'2025 结构设计订单 '!N:N))</f>
        <v xml:space="preserve"> </v>
      </c>
    </row>
    <row r="19" spans="2:14" ht="26.25" hidden="1" customHeight="1">
      <c r="B19" s="58">
        <v>23</v>
      </c>
      <c r="C19" s="54">
        <f>'2025 结构设计订单 '!B70</f>
        <v>813170</v>
      </c>
      <c r="D19" s="59">
        <f>'2025 结构设计订单 '!C70</f>
        <v>333</v>
      </c>
      <c r="E19" s="59">
        <f>'2025 结构设计订单 '!D70</f>
        <v>500</v>
      </c>
      <c r="F19" s="62" t="str">
        <f>'2025 结构设计订单 '!E70</f>
        <v>Philippines</v>
      </c>
      <c r="G19" s="60" t="str">
        <f>'2025 结构设计订单 '!F70</f>
        <v>出口</v>
      </c>
      <c r="H19" s="59">
        <f>'2025 结构设计订单 '!G70</f>
        <v>4</v>
      </c>
      <c r="I19" s="61" t="str">
        <f>IF((_xlfn.XLOOKUP($C19,'2025 结构设计订单 '!$B:$B,'2025 结构设计订单 '!H:H))=0," ",_xlfn.XLOOKUP($C19,'2025 结构设计订单 '!$B:$B,'2025 结构设计订单 '!H:H))</f>
        <v>郭运波</v>
      </c>
      <c r="J19" s="61" t="str">
        <f>IF((_xlfn.XLOOKUP($C19,'2025 结构设计订单 '!$B:$B,'2025 结构设计订单 '!I:I))=0," ",_xlfn.XLOOKUP($C19,'2025 结构设计订单 '!$B:$B,'2025 结构设计订单 '!I:I))</f>
        <v>司林杰</v>
      </c>
      <c r="K19" s="67">
        <f>IF((_xlfn.XLOOKUP($C19,'2025 结构设计订单 '!$B:$B,'2025 结构设计订单 '!J:J))=0," ",_xlfn.XLOOKUP($C19,'2025 结构设计订单 '!$B:$B,'2025 结构设计订单 '!J:J))</f>
        <v>45828</v>
      </c>
      <c r="L19" s="61" t="str">
        <f>IF((_xlfn.XLOOKUP($C19,'2025 结构设计订单 '!$B:$B,'2025 结构设计订单 '!K:K))=0," ",_xlfn.XLOOKUP($C19,'2025 结构设计订单 '!$B:$B,'2025 结构设计订单 '!K:K))</f>
        <v xml:space="preserve"> </v>
      </c>
      <c r="M19" s="67">
        <f>IF((_xlfn.XLOOKUP($C19,'2025 结构设计订单 '!$B:$B,'2025 结构设计订单 '!M:M))=0," ",_xlfn.XLOOKUP($C19,'2025 结构设计订单 '!$B:$B,'2025 结构设计订单 '!M:M))</f>
        <v>45834</v>
      </c>
      <c r="N19" s="67" t="str">
        <f>IF((_xlfn.XLOOKUP($C19,'2025 结构设计订单 '!$B:$B,'2025 结构设计订单 '!N:N))=0," ",_xlfn.XLOOKUP($C19,'2025 结构设计订单 '!$B:$B,'2025 结构设计订单 '!N:N))</f>
        <v xml:space="preserve"> </v>
      </c>
    </row>
    <row r="20" spans="2:14" ht="26.25" hidden="1" customHeight="1">
      <c r="B20" s="58">
        <v>12</v>
      </c>
      <c r="C20" s="54">
        <f>'2025 结构设计订单 '!B71</f>
        <v>813159</v>
      </c>
      <c r="D20" s="59">
        <f>'2025 结构设计订单 '!C71</f>
        <v>210</v>
      </c>
      <c r="E20" s="59">
        <f>'2025 结构设计订单 '!D71</f>
        <v>550</v>
      </c>
      <c r="F20" s="62" t="str">
        <f>'2025 结构设计订单 '!E71</f>
        <v>沙特SEC电抗器中变</v>
      </c>
      <c r="G20" s="60" t="str">
        <f>'2025 结构设计订单 '!F71</f>
        <v>出口</v>
      </c>
      <c r="H20" s="59">
        <f>'2025 结构设计订单 '!G71</f>
        <v>1</v>
      </c>
      <c r="I20" s="61" t="str">
        <f>IF((_xlfn.XLOOKUP($C20,'2025 结构设计订单 '!$B:$B,'2025 结构设计订单 '!H:H))=0," ",_xlfn.XLOOKUP($C20,'2025 结构设计订单 '!$B:$B,'2025 结构设计订单 '!H:H))</f>
        <v>李咏梅</v>
      </c>
      <c r="J20" s="61" t="str">
        <f>IF((_xlfn.XLOOKUP($C20,'2025 结构设计订单 '!$B:$B,'2025 结构设计订单 '!I:I))=0," ",_xlfn.XLOOKUP($C20,'2025 结构设计订单 '!$B:$B,'2025 结构设计订单 '!I:I))</f>
        <v>董立乔</v>
      </c>
      <c r="K20" s="67">
        <f>IF((_xlfn.XLOOKUP($C20,'2025 结构设计订单 '!$B:$B,'2025 结构设计订单 '!J:J))=0," ",_xlfn.XLOOKUP($C20,'2025 结构设计订单 '!$B:$B,'2025 结构设计订单 '!J:J))</f>
        <v>45833</v>
      </c>
      <c r="L20" s="61" t="str">
        <f>IF((_xlfn.XLOOKUP($C20,'2025 结构设计订单 '!$B:$B,'2025 结构设计订单 '!K:K))=0," ",_xlfn.XLOOKUP($C20,'2025 结构设计订单 '!$B:$B,'2025 结构设计订单 '!K:K))</f>
        <v xml:space="preserve"> </v>
      </c>
      <c r="M20" s="67" t="str">
        <f>IF((_xlfn.XLOOKUP($C20,'2025 结构设计订单 '!$B:$B,'2025 结构设计订单 '!M:M))=0," ",_xlfn.XLOOKUP($C20,'2025 结构设计订单 '!$B:$B,'2025 结构设计订单 '!M:M))</f>
        <v xml:space="preserve"> </v>
      </c>
      <c r="N20" s="67" t="str">
        <f>IF((_xlfn.XLOOKUP($C20,'2025 结构设计订单 '!$B:$B,'2025 结构设计订单 '!N:N))=0," ",_xlfn.XLOOKUP($C20,'2025 结构设计订单 '!$B:$B,'2025 结构设计订单 '!N:N))</f>
        <v xml:space="preserve"> </v>
      </c>
    </row>
    <row r="21" spans="2:14" ht="26.25" hidden="1" customHeight="1">
      <c r="B21" s="58">
        <v>30</v>
      </c>
      <c r="C21" s="54">
        <f>'2025 结构设计订单 '!B72</f>
        <v>813153</v>
      </c>
      <c r="D21" s="59">
        <f>'2025 结构设计订单 '!C72</f>
        <v>250</v>
      </c>
      <c r="E21" s="59">
        <f>'2025 结构设计订单 '!D72</f>
        <v>220</v>
      </c>
      <c r="F21" s="62" t="str">
        <f>'2025 结构设计订单 '!E72</f>
        <v>Chile</v>
      </c>
      <c r="G21" s="60" t="str">
        <f>'2025 结构设计订单 '!F72</f>
        <v>出口</v>
      </c>
      <c r="H21" s="59">
        <f>'2025 结构设计订单 '!G72</f>
        <v>1</v>
      </c>
      <c r="I21" s="61" t="str">
        <f>IF((_xlfn.XLOOKUP($C21,'2025 结构设计订单 '!$B:$B,'2025 结构设计订单 '!H:H))=0," ",_xlfn.XLOOKUP($C21,'2025 结构设计订单 '!$B:$B,'2025 结构设计订单 '!H:H))</f>
        <v>李咏梅</v>
      </c>
      <c r="J21" s="61" t="str">
        <f>IF((_xlfn.XLOOKUP($C21,'2025 结构设计订单 '!$B:$B,'2025 结构设计订单 '!I:I))=0," ",_xlfn.XLOOKUP($C21,'2025 结构设计订单 '!$B:$B,'2025 结构设计订单 '!I:I))</f>
        <v>司林杰</v>
      </c>
      <c r="K21" s="67">
        <f>IF((_xlfn.XLOOKUP($C21,'2025 结构设计订单 '!$B:$B,'2025 结构设计订单 '!J:J))=0," ",_xlfn.XLOOKUP($C21,'2025 结构设计订单 '!$B:$B,'2025 结构设计订单 '!J:J))</f>
        <v>45835</v>
      </c>
      <c r="L21" s="61" t="str">
        <f>IF((_xlfn.XLOOKUP($C21,'2025 结构设计订单 '!$B:$B,'2025 结构设计订单 '!K:K))=0," ",_xlfn.XLOOKUP($C21,'2025 结构设计订单 '!$B:$B,'2025 结构设计订单 '!K:K))</f>
        <v xml:space="preserve"> </v>
      </c>
      <c r="M21" s="67">
        <f>IF((_xlfn.XLOOKUP($C21,'2025 结构设计订单 '!$B:$B,'2025 结构设计订单 '!M:M))=0," ",_xlfn.XLOOKUP($C21,'2025 结构设计订单 '!$B:$B,'2025 结构设计订单 '!M:M))</f>
        <v>45819</v>
      </c>
      <c r="N21" s="67" t="str">
        <f>IF((_xlfn.XLOOKUP($C21,'2025 结构设计订单 '!$B:$B,'2025 结构设计订单 '!N:N))=0," ",_xlfn.XLOOKUP($C21,'2025 结构设计订单 '!$B:$B,'2025 结构设计订单 '!N:N))</f>
        <v xml:space="preserve"> </v>
      </c>
    </row>
    <row r="22" spans="2:14" ht="26.25" customHeight="1">
      <c r="B22" s="58">
        <v>31</v>
      </c>
      <c r="C22" s="54" t="str">
        <f>'2025 结构设计订单 '!B73</f>
        <v>813095-813096</v>
      </c>
      <c r="D22" s="59">
        <f>'2025 结构设计订单 '!C73</f>
        <v>450</v>
      </c>
      <c r="E22" s="59">
        <f>'2025 结构设计订单 '!D73</f>
        <v>400</v>
      </c>
      <c r="F22" s="62" t="str">
        <f>'2025 结构设计订单 '!E73</f>
        <v>葡萄牙REN</v>
      </c>
      <c r="G22" s="60" t="str">
        <f>'2025 结构设计订单 '!F73</f>
        <v>出口</v>
      </c>
      <c r="H22" s="59">
        <f>'2025 结构设计订单 '!G73</f>
        <v>3</v>
      </c>
      <c r="I22" s="61" t="str">
        <f>IF((_xlfn.XLOOKUP($C22,'2025 结构设计订单 '!$B:$B,'2025 结构设计订单 '!H:H))=0," ",_xlfn.XLOOKUP($C22,'2025 结构设计订单 '!$B:$B,'2025 结构设计订单 '!H:H))</f>
        <v>陈振东</v>
      </c>
      <c r="J22" s="61" t="str">
        <f>IF((_xlfn.XLOOKUP($C22,'2025 结构设计订单 '!$B:$B,'2025 结构设计订单 '!I:I))=0," ",_xlfn.XLOOKUP($C22,'2025 结构设计订单 '!$B:$B,'2025 结构设计订单 '!I:I))</f>
        <v>王芳</v>
      </c>
      <c r="K22" s="67">
        <f>IF((_xlfn.XLOOKUP($C22,'2025 结构设计订单 '!$B:$B,'2025 结构设计订单 '!J:J))=0," ",_xlfn.XLOOKUP($C22,'2025 结构设计订单 '!$B:$B,'2025 结构设计订单 '!J:J))</f>
        <v>45838</v>
      </c>
      <c r="L22" s="61" t="str">
        <f>IF((_xlfn.XLOOKUP($C22,'2025 结构设计订单 '!$B:$B,'2025 结构设计订单 '!K:K))=0," ",_xlfn.XLOOKUP($C22,'2025 结构设计订单 '!$B:$B,'2025 结构设计订单 '!K:K))</f>
        <v xml:space="preserve"> </v>
      </c>
      <c r="M22" s="67">
        <f>IF((_xlfn.XLOOKUP($C22,'2025 结构设计订单 '!$B:$B,'2025 结构设计订单 '!M:M))=0," ",_xlfn.XLOOKUP($C22,'2025 结构设计订单 '!$B:$B,'2025 结构设计订单 '!M:M))</f>
        <v>45838</v>
      </c>
      <c r="N22" s="67" t="str">
        <f>IF((_xlfn.XLOOKUP($C22,'2025 结构设计订单 '!$B:$B,'2025 结构设计订单 '!N:N))=0," ",_xlfn.XLOOKUP($C22,'2025 结构设计订单 '!$B:$B,'2025 结构设计订单 '!N:N))</f>
        <v xml:space="preserve"> </v>
      </c>
    </row>
    <row r="23" spans="2:14" ht="26.25" hidden="1" customHeight="1">
      <c r="B23" s="58">
        <v>22</v>
      </c>
      <c r="C23" s="54">
        <f>'2025 结构设计订单 '!B74</f>
        <v>813028</v>
      </c>
      <c r="D23" s="59">
        <f>'2025 结构设计订单 '!C74</f>
        <v>165</v>
      </c>
      <c r="E23" s="59">
        <f>'2025 结构设计订单 '!D74</f>
        <v>330</v>
      </c>
      <c r="F23" s="62" t="str">
        <f>'2025 结构设计订单 '!E74</f>
        <v>Nigeria Brownfield</v>
      </c>
      <c r="G23" s="60" t="str">
        <f>'2025 结构设计订单 '!F74</f>
        <v>出口</v>
      </c>
      <c r="H23" s="59">
        <f>'2025 结构设计订单 '!G74</f>
        <v>1</v>
      </c>
      <c r="I23" s="61" t="str">
        <f>IF((_xlfn.XLOOKUP($C23,'2025 结构设计订单 '!$B:$B,'2025 结构设计订单 '!H:H))=0," ",_xlfn.XLOOKUP($C23,'2025 结构设计订单 '!$B:$B,'2025 结构设计订单 '!H:H))</f>
        <v>李红杰</v>
      </c>
      <c r="J23" s="61" t="str">
        <f>IF((_xlfn.XLOOKUP($C23,'2025 结构设计订单 '!$B:$B,'2025 结构设计订单 '!I:I))=0," ",_xlfn.XLOOKUP($C23,'2025 结构设计订单 '!$B:$B,'2025 结构设计订单 '!I:I))</f>
        <v>司林杰</v>
      </c>
      <c r="K23" s="67">
        <f>IF((_xlfn.XLOOKUP($C23,'2025 结构设计订单 '!$B:$B,'2025 结构设计订单 '!J:J))=0," ",_xlfn.XLOOKUP($C23,'2025 结构设计订单 '!$B:$B,'2025 结构设计订单 '!J:J))</f>
        <v>45842</v>
      </c>
      <c r="L23" s="61" t="str">
        <f>IF((_xlfn.XLOOKUP($C23,'2025 结构设计订单 '!$B:$B,'2025 结构设计订单 '!K:K))=0," ",_xlfn.XLOOKUP($C23,'2025 结构设计订单 '!$B:$B,'2025 结构设计订单 '!K:K))</f>
        <v xml:space="preserve"> </v>
      </c>
      <c r="M23" s="67">
        <f>IF((_xlfn.XLOOKUP($C23,'2025 结构设计订单 '!$B:$B,'2025 结构设计订单 '!M:M))=0," ",_xlfn.XLOOKUP($C23,'2025 结构设计订单 '!$B:$B,'2025 结构设计订单 '!M:M))</f>
        <v>45842</v>
      </c>
      <c r="N23" s="67" t="str">
        <f>IF((_xlfn.XLOOKUP($C23,'2025 结构设计订单 '!$B:$B,'2025 结构设计订单 '!N:N))=0," ",_xlfn.XLOOKUP($C23,'2025 结构设计订单 '!$B:$B,'2025 结构设计订单 '!N:N))</f>
        <v xml:space="preserve"> </v>
      </c>
    </row>
    <row r="24" spans="2:14" ht="26.25" hidden="1" customHeight="1">
      <c r="B24" s="58">
        <v>32</v>
      </c>
      <c r="C24" s="54">
        <f>'2025 结构设计订单 '!B74</f>
        <v>813028</v>
      </c>
      <c r="D24" s="59">
        <f>'2025 结构设计订单 '!C74</f>
        <v>165</v>
      </c>
      <c r="E24" s="59">
        <f>'2025 结构设计订单 '!D74</f>
        <v>330</v>
      </c>
      <c r="F24" s="62" t="str">
        <f>'2025 结构设计订单 '!E74</f>
        <v>Nigeria Brownfield</v>
      </c>
      <c r="G24" s="60" t="str">
        <f>'2025 结构设计订单 '!F74</f>
        <v>出口</v>
      </c>
      <c r="H24" s="59">
        <f>'2025 结构设计订单 '!G74</f>
        <v>1</v>
      </c>
      <c r="I24" s="61" t="str">
        <f>IF((_xlfn.XLOOKUP($C24,'2025 结构设计订单 '!$B:$B,'2025 结构设计订单 '!H:H))=0," ",_xlfn.XLOOKUP($C24,'2025 结构设计订单 '!$B:$B,'2025 结构设计订单 '!H:H))</f>
        <v>李红杰</v>
      </c>
      <c r="J24" s="61" t="str">
        <f>IF((_xlfn.XLOOKUP($C24,'2025 结构设计订单 '!$B:$B,'2025 结构设计订单 '!I:I))=0," ",_xlfn.XLOOKUP($C24,'2025 结构设计订单 '!$B:$B,'2025 结构设计订单 '!I:I))</f>
        <v>司林杰</v>
      </c>
      <c r="K24" s="67">
        <f>IF((_xlfn.XLOOKUP($C24,'2025 结构设计订单 '!$B:$B,'2025 结构设计订单 '!J:J))=0," ",_xlfn.XLOOKUP($C24,'2025 结构设计订单 '!$B:$B,'2025 结构设计订单 '!J:J))</f>
        <v>45842</v>
      </c>
      <c r="L24" s="61" t="str">
        <f>IF((_xlfn.XLOOKUP($C24,'2025 结构设计订单 '!$B:$B,'2025 结构设计订单 '!K:K))=0," ",_xlfn.XLOOKUP($C24,'2025 结构设计订单 '!$B:$B,'2025 结构设计订单 '!K:K))</f>
        <v xml:space="preserve"> </v>
      </c>
      <c r="M24" s="67">
        <f>IF((_xlfn.XLOOKUP($C24,'2025 结构设计订单 '!$B:$B,'2025 结构设计订单 '!M:M))=0," ",_xlfn.XLOOKUP($C24,'2025 结构设计订单 '!$B:$B,'2025 结构设计订单 '!M:M))</f>
        <v>45842</v>
      </c>
      <c r="N24" s="67" t="str">
        <f>IF((_xlfn.XLOOKUP($C24,'2025 结构设计订单 '!$B:$B,'2025 结构设计订单 '!N:N))=0," ",_xlfn.XLOOKUP($C24,'2025 结构设计订单 '!$B:$B,'2025 结构设计订单 '!N:N))</f>
        <v xml:space="preserve"> </v>
      </c>
    </row>
    <row r="25" spans="2:14" ht="26.25" hidden="1" customHeight="1">
      <c r="B25" s="58">
        <v>25</v>
      </c>
      <c r="C25" s="54" t="str">
        <f>'2025 结构设计订单 '!B75</f>
        <v>813191-813193</v>
      </c>
      <c r="D25" s="59" t="str">
        <f>'2025 结构设计订单 '!C75</f>
        <v>30MVAr</v>
      </c>
      <c r="E25" s="59">
        <f>'2025 结构设计订单 '!D75</f>
        <v>230</v>
      </c>
      <c r="F25" s="62" t="str">
        <f>'2025 结构设计订单 '!E75</f>
        <v>霞浦B区陆上集控站</v>
      </c>
      <c r="G25" s="60" t="str">
        <f>'2025 结构设计订单 '!F75</f>
        <v>国内</v>
      </c>
      <c r="H25" s="59">
        <f>'2025 结构设计订单 '!G75</f>
        <v>2</v>
      </c>
      <c r="I25" s="61" t="str">
        <f>IF((_xlfn.XLOOKUP($C25,'2025 结构设计订单 '!$B:$B,'2025 结构设计订单 '!H:H))=0," ",_xlfn.XLOOKUP($C25,'2025 结构设计订单 '!$B:$B,'2025 结构设计订单 '!H:H))</f>
        <v>戚彬</v>
      </c>
      <c r="J25" s="61" t="str">
        <f>IF((_xlfn.XLOOKUP($C25,'2025 结构设计订单 '!$B:$B,'2025 结构设计订单 '!I:I))=0," ",_xlfn.XLOOKUP($C25,'2025 结构设计订单 '!$B:$B,'2025 结构设计订单 '!I:I))</f>
        <v>董立乔</v>
      </c>
      <c r="K25" s="67">
        <f>IF((_xlfn.XLOOKUP($C25,'2025 结构设计订单 '!$B:$B,'2025 结构设计订单 '!J:J))=0," ",_xlfn.XLOOKUP($C25,'2025 结构设计订单 '!$B:$B,'2025 结构设计订单 '!J:J))</f>
        <v>45848</v>
      </c>
      <c r="L25" s="61" t="str">
        <f>IF((_xlfn.XLOOKUP($C25,'2025 结构设计订单 '!$B:$B,'2025 结构设计订单 '!K:K))=0," ",_xlfn.XLOOKUP($C25,'2025 结构设计订单 '!$B:$B,'2025 结构设计订单 '!K:K))</f>
        <v xml:space="preserve"> </v>
      </c>
      <c r="M25" s="67">
        <f>IF((_xlfn.XLOOKUP($C25,'2025 结构设计订单 '!$B:$B,'2025 结构设计订单 '!M:M))=0," ",_xlfn.XLOOKUP($C25,'2025 结构设计订单 '!$B:$B,'2025 结构设计订单 '!M:M))</f>
        <v>45848</v>
      </c>
      <c r="N25" s="67" t="str">
        <f>IF((_xlfn.XLOOKUP($C25,'2025 结构设计订单 '!$B:$B,'2025 结构设计订单 '!N:N))=0," ",_xlfn.XLOOKUP($C25,'2025 结构设计订单 '!$B:$B,'2025 结构设计订单 '!N:N))</f>
        <v xml:space="preserve"> </v>
      </c>
    </row>
    <row r="26" spans="2:14" ht="26.25" hidden="1" customHeight="1">
      <c r="B26" s="58">
        <v>27</v>
      </c>
      <c r="C26" s="54" t="str">
        <f>'2025 结构设计订单 '!B76</f>
        <v>813111~813113</v>
      </c>
      <c r="D26" s="59">
        <f>'2025 结构设计订单 '!C76</f>
        <v>280</v>
      </c>
      <c r="E26" s="59">
        <f>'2025 结构设计订单 '!D76</f>
        <v>400</v>
      </c>
      <c r="F26" s="62" t="str">
        <f>'2025 结构设计订单 '!E76</f>
        <v>UK_Statera Energy Framework</v>
      </c>
      <c r="G26" s="60" t="str">
        <f>'2025 结构设计订单 '!F76</f>
        <v>出口</v>
      </c>
      <c r="H26" s="59">
        <f>'2025 结构设计订单 '!G76</f>
        <v>3</v>
      </c>
      <c r="I26" s="61" t="str">
        <f>IF((_xlfn.XLOOKUP($C26,'2025 结构设计订单 '!$B:$B,'2025 结构设计订单 '!H:H))=0," ",_xlfn.XLOOKUP($C26,'2025 结构设计订单 '!$B:$B,'2025 结构设计订单 '!H:H))</f>
        <v>李咏梅</v>
      </c>
      <c r="J26" s="61" t="str">
        <f>IF((_xlfn.XLOOKUP($C26,'2025 结构设计订单 '!$B:$B,'2025 结构设计订单 '!I:I))=0," ",_xlfn.XLOOKUP($C26,'2025 结构设计订单 '!$B:$B,'2025 结构设计订单 '!I:I))</f>
        <v>王芳</v>
      </c>
      <c r="K26" s="67">
        <f>IF((_xlfn.XLOOKUP($C26,'2025 结构设计订单 '!$B:$B,'2025 结构设计订单 '!J:J))=0," ",_xlfn.XLOOKUP($C26,'2025 结构设计订单 '!$B:$B,'2025 结构设计订单 '!J:J))</f>
        <v>45848</v>
      </c>
      <c r="L26" s="61" t="str">
        <f>IF((_xlfn.XLOOKUP($C26,'2025 结构设计订单 '!$B:$B,'2025 结构设计订单 '!K:K))=0," ",_xlfn.XLOOKUP($C26,'2025 结构设计订单 '!$B:$B,'2025 结构设计订单 '!K:K))</f>
        <v xml:space="preserve"> </v>
      </c>
      <c r="M26" s="67">
        <f>IF((_xlfn.XLOOKUP($C26,'2025 结构设计订单 '!$B:$B,'2025 结构设计订单 '!M:M))=0," ",_xlfn.XLOOKUP($C26,'2025 结构设计订单 '!$B:$B,'2025 结构设计订单 '!M:M))</f>
        <v>45849</v>
      </c>
      <c r="N26" s="67" t="str">
        <f>IF((_xlfn.XLOOKUP($C26,'2025 结构设计订单 '!$B:$B,'2025 结构设计订单 '!N:N))=0," ",_xlfn.XLOOKUP($C26,'2025 结构设计订单 '!$B:$B,'2025 结构设计订单 '!N:N))</f>
        <v xml:space="preserve"> </v>
      </c>
    </row>
    <row r="27" spans="2:14" ht="26.25" hidden="1" customHeight="1">
      <c r="B27" s="58">
        <v>28</v>
      </c>
      <c r="C27" s="54" t="str">
        <f>'2025 结构设计订单 '!B77</f>
        <v>813072-813073</v>
      </c>
      <c r="D27" s="59">
        <f>'2025 结构设计订单 '!C77</f>
        <v>140</v>
      </c>
      <c r="E27" s="59">
        <f>'2025 结构设计订单 '!D77</f>
        <v>400</v>
      </c>
      <c r="F27" s="62" t="str">
        <f>'2025 结构设计订单 '!E77</f>
        <v xml:space="preserve"> Romania</v>
      </c>
      <c r="G27" s="60" t="str">
        <f>'2025 结构设计订单 '!F77</f>
        <v>出口</v>
      </c>
      <c r="H27" s="59">
        <f>'2025 结构设计订单 '!G77</f>
        <v>2</v>
      </c>
      <c r="I27" s="61" t="str">
        <f>IF((_xlfn.XLOOKUP($C27,'2025 结构设计订单 '!$B:$B,'2025 结构设计订单 '!H:H))=0," ",_xlfn.XLOOKUP($C27,'2025 结构设计订单 '!$B:$B,'2025 结构设计订单 '!H:H))</f>
        <v>郭运波</v>
      </c>
      <c r="J27" s="61" t="str">
        <f>IF((_xlfn.XLOOKUP($C27,'2025 结构设计订单 '!$B:$B,'2025 结构设计订单 '!I:I))=0," ",_xlfn.XLOOKUP($C27,'2025 结构设计订单 '!$B:$B,'2025 结构设计订单 '!I:I))</f>
        <v>司林杰</v>
      </c>
      <c r="K27" s="67">
        <f>IF((_xlfn.XLOOKUP($C27,'2025 结构设计订单 '!$B:$B,'2025 结构设计订单 '!J:J))=0," ",_xlfn.XLOOKUP($C27,'2025 结构设计订单 '!$B:$B,'2025 结构设计订单 '!J:J))</f>
        <v>45848</v>
      </c>
      <c r="L27" s="61" t="str">
        <f>IF((_xlfn.XLOOKUP($C27,'2025 结构设计订单 '!$B:$B,'2025 结构设计订单 '!K:K))=0," ",_xlfn.XLOOKUP($C27,'2025 结构设计订单 '!$B:$B,'2025 结构设计订单 '!K:K))</f>
        <v xml:space="preserve"> </v>
      </c>
      <c r="M27" s="67">
        <f>IF((_xlfn.XLOOKUP($C27,'2025 结构设计订单 '!$B:$B,'2025 结构设计订单 '!M:M))=0," ",_xlfn.XLOOKUP($C27,'2025 结构设计订单 '!$B:$B,'2025 结构设计订单 '!M:M))</f>
        <v>45828</v>
      </c>
      <c r="N27" s="67" t="str">
        <f>IF((_xlfn.XLOOKUP($C27,'2025 结构设计订单 '!$B:$B,'2025 结构设计订单 '!N:N))=0," ",_xlfn.XLOOKUP($C27,'2025 结构设计订单 '!$B:$B,'2025 结构设计订单 '!N:N))</f>
        <v xml:space="preserve"> </v>
      </c>
    </row>
    <row r="28" spans="2:14" ht="26.25" hidden="1" customHeight="1">
      <c r="B28" s="58">
        <v>33</v>
      </c>
      <c r="C28" s="54" t="str">
        <f>'2025 结构设计订单 '!B75</f>
        <v>813191-813193</v>
      </c>
      <c r="D28" s="59" t="str">
        <f>'2025 结构设计订单 '!C75</f>
        <v>30MVAr</v>
      </c>
      <c r="E28" s="59">
        <f>'2025 结构设计订单 '!D75</f>
        <v>230</v>
      </c>
      <c r="F28" s="62" t="str">
        <f>'2025 结构设计订单 '!E75</f>
        <v>霞浦B区陆上集控站</v>
      </c>
      <c r="G28" s="60" t="str">
        <f>'2025 结构设计订单 '!F75</f>
        <v>国内</v>
      </c>
      <c r="H28" s="59">
        <f>'2025 结构设计订单 '!G75</f>
        <v>2</v>
      </c>
      <c r="I28" s="61" t="str">
        <f>IF((_xlfn.XLOOKUP($C28,'2025 结构设计订单 '!$B:$B,'2025 结构设计订单 '!H:H))=0," ",_xlfn.XLOOKUP($C28,'2025 结构设计订单 '!$B:$B,'2025 结构设计订单 '!H:H))</f>
        <v>戚彬</v>
      </c>
      <c r="J28" s="61" t="str">
        <f>IF((_xlfn.XLOOKUP($C28,'2025 结构设计订单 '!$B:$B,'2025 结构设计订单 '!I:I))=0," ",_xlfn.XLOOKUP($C28,'2025 结构设计订单 '!$B:$B,'2025 结构设计订单 '!I:I))</f>
        <v>董立乔</v>
      </c>
      <c r="K28" s="67">
        <f>IF((_xlfn.XLOOKUP($C28,'2025 结构设计订单 '!$B:$B,'2025 结构设计订单 '!J:J))=0," ",_xlfn.XLOOKUP($C28,'2025 结构设计订单 '!$B:$B,'2025 结构设计订单 '!J:J))</f>
        <v>45848</v>
      </c>
      <c r="L28" s="61" t="str">
        <f>IF((_xlfn.XLOOKUP($C28,'2025 结构设计订单 '!$B:$B,'2025 结构设计订单 '!K:K))=0," ",_xlfn.XLOOKUP($C28,'2025 结构设计订单 '!$B:$B,'2025 结构设计订单 '!K:K))</f>
        <v xml:space="preserve"> </v>
      </c>
      <c r="M28" s="67">
        <f>IF((_xlfn.XLOOKUP($C28,'2025 结构设计订单 '!$B:$B,'2025 结构设计订单 '!M:M))=0," ",_xlfn.XLOOKUP($C28,'2025 结构设计订单 '!$B:$B,'2025 结构设计订单 '!M:M))</f>
        <v>45848</v>
      </c>
      <c r="N28" s="67" t="str">
        <f>IF((_xlfn.XLOOKUP($C28,'2025 结构设计订单 '!$B:$B,'2025 结构设计订单 '!N:N))=0," ",_xlfn.XLOOKUP($C28,'2025 结构设计订单 '!$B:$B,'2025 结构设计订单 '!N:N))</f>
        <v xml:space="preserve"> </v>
      </c>
    </row>
    <row r="29" spans="2:14" ht="26.25" hidden="1" customHeight="1">
      <c r="B29" s="58">
        <v>34</v>
      </c>
      <c r="C29" s="54" t="str">
        <f>'2025 结构设计订单 '!B76</f>
        <v>813111~813113</v>
      </c>
      <c r="D29" s="59">
        <f>'2025 结构设计订单 '!C76</f>
        <v>280</v>
      </c>
      <c r="E29" s="59">
        <f>'2025 结构设计订单 '!D76</f>
        <v>400</v>
      </c>
      <c r="F29" s="62" t="str">
        <f>'2025 结构设计订单 '!E76</f>
        <v>UK_Statera Energy Framework</v>
      </c>
      <c r="G29" s="60" t="str">
        <f>'2025 结构设计订单 '!F76</f>
        <v>出口</v>
      </c>
      <c r="H29" s="59">
        <f>'2025 结构设计订单 '!G76</f>
        <v>3</v>
      </c>
      <c r="I29" s="61" t="str">
        <f>IF((_xlfn.XLOOKUP($C29,'2025 结构设计订单 '!$B:$B,'2025 结构设计订单 '!H:H))=0," ",_xlfn.XLOOKUP($C29,'2025 结构设计订单 '!$B:$B,'2025 结构设计订单 '!H:H))</f>
        <v>李咏梅</v>
      </c>
      <c r="J29" s="61" t="str">
        <f>IF((_xlfn.XLOOKUP($C29,'2025 结构设计订单 '!$B:$B,'2025 结构设计订单 '!I:I))=0," ",_xlfn.XLOOKUP($C29,'2025 结构设计订单 '!$B:$B,'2025 结构设计订单 '!I:I))</f>
        <v>王芳</v>
      </c>
      <c r="K29" s="67">
        <f>IF((_xlfn.XLOOKUP($C29,'2025 结构设计订单 '!$B:$B,'2025 结构设计订单 '!J:J))=0," ",_xlfn.XLOOKUP($C29,'2025 结构设计订单 '!$B:$B,'2025 结构设计订单 '!J:J))</f>
        <v>45848</v>
      </c>
      <c r="L29" s="61" t="str">
        <f>IF((_xlfn.XLOOKUP($C29,'2025 结构设计订单 '!$B:$B,'2025 结构设计订单 '!K:K))=0," ",_xlfn.XLOOKUP($C29,'2025 结构设计订单 '!$B:$B,'2025 结构设计订单 '!K:K))</f>
        <v xml:space="preserve"> </v>
      </c>
      <c r="M29" s="67">
        <f>IF((_xlfn.XLOOKUP($C29,'2025 结构设计订单 '!$B:$B,'2025 结构设计订单 '!M:M))=0," ",_xlfn.XLOOKUP($C29,'2025 结构设计订单 '!$B:$B,'2025 结构设计订单 '!M:M))</f>
        <v>45849</v>
      </c>
      <c r="N29" s="67" t="str">
        <f>IF((_xlfn.XLOOKUP($C29,'2025 结构设计订单 '!$B:$B,'2025 结构设计订单 '!N:N))=0," ",_xlfn.XLOOKUP($C29,'2025 结构设计订单 '!$B:$B,'2025 结构设计订单 '!N:N))</f>
        <v xml:space="preserve"> </v>
      </c>
    </row>
    <row r="30" spans="2:14" ht="26.25" hidden="1" customHeight="1">
      <c r="B30" s="58">
        <v>35</v>
      </c>
      <c r="C30" s="54" t="str">
        <f>'2025 结构设计订单 '!B77</f>
        <v>813072-813073</v>
      </c>
      <c r="D30" s="59">
        <f>'2025 结构设计订单 '!C77</f>
        <v>140</v>
      </c>
      <c r="E30" s="59">
        <f>'2025 结构设计订单 '!D77</f>
        <v>400</v>
      </c>
      <c r="F30" s="62" t="str">
        <f>'2025 结构设计订单 '!E77</f>
        <v xml:space="preserve"> Romania</v>
      </c>
      <c r="G30" s="60" t="str">
        <f>'2025 结构设计订单 '!F77</f>
        <v>出口</v>
      </c>
      <c r="H30" s="59">
        <f>'2025 结构设计订单 '!G77</f>
        <v>2</v>
      </c>
      <c r="I30" s="61" t="str">
        <f>IF((_xlfn.XLOOKUP($C30,'2025 结构设计订单 '!$B:$B,'2025 结构设计订单 '!H:H))=0," ",_xlfn.XLOOKUP($C30,'2025 结构设计订单 '!$B:$B,'2025 结构设计订单 '!H:H))</f>
        <v>郭运波</v>
      </c>
      <c r="J30" s="61" t="str">
        <f>IF((_xlfn.XLOOKUP($C30,'2025 结构设计订单 '!$B:$B,'2025 结构设计订单 '!I:I))=0," ",_xlfn.XLOOKUP($C30,'2025 结构设计订单 '!$B:$B,'2025 结构设计订单 '!I:I))</f>
        <v>司林杰</v>
      </c>
      <c r="K30" s="67">
        <f>IF((_xlfn.XLOOKUP($C30,'2025 结构设计订单 '!$B:$B,'2025 结构设计订单 '!J:J))=0," ",_xlfn.XLOOKUP($C30,'2025 结构设计订单 '!$B:$B,'2025 结构设计订单 '!J:J))</f>
        <v>45848</v>
      </c>
      <c r="L30" s="61" t="str">
        <f>IF((_xlfn.XLOOKUP($C30,'2025 结构设计订单 '!$B:$B,'2025 结构设计订单 '!K:K))=0," ",_xlfn.XLOOKUP($C30,'2025 结构设计订单 '!$B:$B,'2025 结构设计订单 '!K:K))</f>
        <v xml:space="preserve"> </v>
      </c>
      <c r="M30" s="67">
        <f>IF((_xlfn.XLOOKUP($C30,'2025 结构设计订单 '!$B:$B,'2025 结构设计订单 '!M:M))=0," ",_xlfn.XLOOKUP($C30,'2025 结构设计订单 '!$B:$B,'2025 结构设计订单 '!M:M))</f>
        <v>45828</v>
      </c>
      <c r="N30" s="67" t="str">
        <f>IF((_xlfn.XLOOKUP($C30,'2025 结构设计订单 '!$B:$B,'2025 结构设计订单 '!N:N))=0," ",_xlfn.XLOOKUP($C30,'2025 结构设计订单 '!$B:$B,'2025 结构设计订单 '!N:N))</f>
        <v xml:space="preserve"> </v>
      </c>
    </row>
    <row r="31" spans="2:14" ht="26.25" hidden="1" customHeight="1">
      <c r="B31" s="58">
        <v>26</v>
      </c>
      <c r="C31" s="54" t="str">
        <f>'2025 结构设计订单 '!B78</f>
        <v>813168-813169</v>
      </c>
      <c r="D31" s="59">
        <f>'2025 结构设计订单 '!C78</f>
        <v>100</v>
      </c>
      <c r="E31" s="59">
        <f>'2025 结构设计订单 '!D78</f>
        <v>400</v>
      </c>
      <c r="F31" s="62" t="str">
        <f>'2025 结构设计订单 '!E78</f>
        <v>Romania_Terpezita</v>
      </c>
      <c r="G31" s="60" t="str">
        <f>'2025 结构设计订单 '!F78</f>
        <v>出口</v>
      </c>
      <c r="H31" s="59">
        <f>'2025 结构设计订单 '!G78</f>
        <v>2</v>
      </c>
      <c r="I31" s="61" t="str">
        <f>IF((_xlfn.XLOOKUP($C31,'2025 结构设计订单 '!$B:$B,'2025 结构设计订单 '!H:H))=0," ",_xlfn.XLOOKUP($C31,'2025 结构设计订单 '!$B:$B,'2025 结构设计订单 '!H:H))</f>
        <v>戚彬</v>
      </c>
      <c r="J31" s="61" t="str">
        <f>IF((_xlfn.XLOOKUP($C31,'2025 结构设计订单 '!$B:$B,'2025 结构设计订单 '!I:I))=0," ",_xlfn.XLOOKUP($C31,'2025 结构设计订单 '!$B:$B,'2025 结构设计订单 '!I:I))</f>
        <v>王芳</v>
      </c>
      <c r="K31" s="67">
        <f>IF((_xlfn.XLOOKUP($C31,'2025 结构设计订单 '!$B:$B,'2025 结构设计订单 '!J:J))=0," ",_xlfn.XLOOKUP($C31,'2025 结构设计订单 '!$B:$B,'2025 结构设计订单 '!J:J))</f>
        <v>45853</v>
      </c>
      <c r="L31" s="61" t="str">
        <f>IF((_xlfn.XLOOKUP($C31,'2025 结构设计订单 '!$B:$B,'2025 结构设计订单 '!K:K))=0," ",_xlfn.XLOOKUP($C31,'2025 结构设计订单 '!$B:$B,'2025 结构设计订单 '!K:K))</f>
        <v xml:space="preserve"> </v>
      </c>
      <c r="M31" s="67" t="str">
        <f>IF((_xlfn.XLOOKUP($C31,'2025 结构设计订单 '!$B:$B,'2025 结构设计订单 '!M:M))=0," ",_xlfn.XLOOKUP($C31,'2025 结构设计订单 '!$B:$B,'2025 结构设计订单 '!M:M))</f>
        <v xml:space="preserve"> </v>
      </c>
      <c r="N31" s="67" t="str">
        <f>IF((_xlfn.XLOOKUP($C31,'2025 结构设计订单 '!$B:$B,'2025 结构设计订单 '!N:N))=0," ",_xlfn.XLOOKUP($C31,'2025 结构设计订单 '!$B:$B,'2025 结构设计订单 '!N:N))</f>
        <v xml:space="preserve"> </v>
      </c>
    </row>
    <row r="32" spans="2:14" ht="26.25" hidden="1" customHeight="1">
      <c r="B32" s="58">
        <v>36</v>
      </c>
      <c r="C32" s="54" t="str">
        <f>'2025 结构设计订单 '!B78</f>
        <v>813168-813169</v>
      </c>
      <c r="D32" s="59">
        <f>'2025 结构设计订单 '!C78</f>
        <v>100</v>
      </c>
      <c r="E32" s="59">
        <f>'2025 结构设计订单 '!D78</f>
        <v>400</v>
      </c>
      <c r="F32" s="62" t="str">
        <f>'2025 结构设计订单 '!E78</f>
        <v>Romania_Terpezita</v>
      </c>
      <c r="G32" s="60" t="str">
        <f>'2025 结构设计订单 '!F78</f>
        <v>出口</v>
      </c>
      <c r="H32" s="59">
        <f>'2025 结构设计订单 '!G78</f>
        <v>2</v>
      </c>
      <c r="I32" s="61" t="str">
        <f>IF((_xlfn.XLOOKUP($C32,'2025 结构设计订单 '!$B:$B,'2025 结构设计订单 '!H:H))=0," ",_xlfn.XLOOKUP($C32,'2025 结构设计订单 '!$B:$B,'2025 结构设计订单 '!H:H))</f>
        <v>戚彬</v>
      </c>
      <c r="J32" s="61" t="str">
        <f>IF((_xlfn.XLOOKUP($C32,'2025 结构设计订单 '!$B:$B,'2025 结构设计订单 '!I:I))=0," ",_xlfn.XLOOKUP($C32,'2025 结构设计订单 '!$B:$B,'2025 结构设计订单 '!I:I))</f>
        <v>王芳</v>
      </c>
      <c r="K32" s="67">
        <f>IF((_xlfn.XLOOKUP($C32,'2025 结构设计订单 '!$B:$B,'2025 结构设计订单 '!J:J))=0," ",_xlfn.XLOOKUP($C32,'2025 结构设计订单 '!$B:$B,'2025 结构设计订单 '!J:J))</f>
        <v>45853</v>
      </c>
      <c r="L32" s="61" t="str">
        <f>IF((_xlfn.XLOOKUP($C32,'2025 结构设计订单 '!$B:$B,'2025 结构设计订单 '!K:K))=0," ",_xlfn.XLOOKUP($C32,'2025 结构设计订单 '!$B:$B,'2025 结构设计订单 '!K:K))</f>
        <v xml:space="preserve"> </v>
      </c>
      <c r="M32" s="67" t="str">
        <f>IF((_xlfn.XLOOKUP($C32,'2025 结构设计订单 '!$B:$B,'2025 结构设计订单 '!M:M))=0," ",_xlfn.XLOOKUP($C32,'2025 结构设计订单 '!$B:$B,'2025 结构设计订单 '!M:M))</f>
        <v xml:space="preserve"> </v>
      </c>
      <c r="N32" s="67" t="str">
        <f>IF((_xlfn.XLOOKUP($C32,'2025 结构设计订单 '!$B:$B,'2025 结构设计订单 '!N:N))=0," ",_xlfn.XLOOKUP($C32,'2025 结构设计订单 '!$B:$B,'2025 结构设计订单 '!N:N))</f>
        <v xml:space="preserve"> </v>
      </c>
    </row>
    <row r="33" spans="2:14" ht="26.25" customHeight="1">
      <c r="B33" s="58">
        <v>29</v>
      </c>
      <c r="C33" s="54">
        <f>'2025 结构设计订单 '!B79</f>
        <v>813137</v>
      </c>
      <c r="D33" s="59">
        <f>'2025 结构设计订单 '!C79</f>
        <v>80</v>
      </c>
      <c r="E33" s="59">
        <f>'2025 结构设计订单 '!D79</f>
        <v>230</v>
      </c>
      <c r="F33" s="62" t="str">
        <f>'2025 结构设计订单 '!E79</f>
        <v>沙特Aramco Asia备用变项目</v>
      </c>
      <c r="G33" s="60" t="str">
        <f>'2025 结构设计订单 '!F79</f>
        <v>出口</v>
      </c>
      <c r="H33" s="59">
        <f>'2025 结构设计订单 '!G79</f>
        <v>1</v>
      </c>
      <c r="I33" s="61" t="str">
        <f>IF((_xlfn.XLOOKUP($C33,'2025 结构设计订单 '!$B:$B,'2025 结构设计订单 '!H:H))=0," ",_xlfn.XLOOKUP($C33,'2025 结构设计订单 '!$B:$B,'2025 结构设计订单 '!H:H))</f>
        <v>张金环</v>
      </c>
      <c r="J33" s="61" t="str">
        <f>IF((_xlfn.XLOOKUP($C33,'2025 结构设计订单 '!$B:$B,'2025 结构设计订单 '!I:I))=0," ",_xlfn.XLOOKUP($C33,'2025 结构设计订单 '!$B:$B,'2025 结构设计订单 '!I:I))</f>
        <v>司林杰</v>
      </c>
      <c r="K33" s="67">
        <f>IF((_xlfn.XLOOKUP($C33,'2025 结构设计订单 '!$B:$B,'2025 结构设计订单 '!J:J))=0," ",_xlfn.XLOOKUP($C33,'2025 结构设计订单 '!$B:$B,'2025 结构设计订单 '!J:J))</f>
        <v>45870</v>
      </c>
      <c r="L33" s="61" t="str">
        <f>IF((_xlfn.XLOOKUP($C33,'2025 结构设计订单 '!$B:$B,'2025 结构设计订单 '!K:K))=0," ",_xlfn.XLOOKUP($C33,'2025 结构设计订单 '!$B:$B,'2025 结构设计订单 '!K:K))</f>
        <v xml:space="preserve"> </v>
      </c>
      <c r="M33" s="67">
        <f>IF((_xlfn.XLOOKUP($C33,'2025 结构设计订单 '!$B:$B,'2025 结构设计订单 '!M:M))=0," ",_xlfn.XLOOKUP($C33,'2025 结构设计订单 '!$B:$B,'2025 结构设计订单 '!M:M))</f>
        <v>45879</v>
      </c>
      <c r="N33" s="67" t="str">
        <f>IF((_xlfn.XLOOKUP($C33,'2025 结构设计订单 '!$B:$B,'2025 结构设计订单 '!N:N))=0," ",_xlfn.XLOOKUP($C33,'2025 结构设计订单 '!$B:$B,'2025 结构设计订单 '!N:N))</f>
        <v xml:space="preserve"> </v>
      </c>
    </row>
    <row r="34" spans="2:14" ht="26.25" customHeight="1">
      <c r="B34" s="58">
        <v>37</v>
      </c>
      <c r="C34" s="54">
        <f>'2025 结构设计订单 '!B79</f>
        <v>813137</v>
      </c>
      <c r="D34" s="59">
        <f>'2025 结构设计订单 '!C79</f>
        <v>80</v>
      </c>
      <c r="E34" s="59">
        <f>'2025 结构设计订单 '!D79</f>
        <v>230</v>
      </c>
      <c r="F34" s="62" t="str">
        <f>'2025 结构设计订单 '!E79</f>
        <v>沙特Aramco Asia备用变项目</v>
      </c>
      <c r="G34" s="60" t="str">
        <f>'2025 结构设计订单 '!F79</f>
        <v>出口</v>
      </c>
      <c r="H34" s="59">
        <f>'2025 结构设计订单 '!G79</f>
        <v>1</v>
      </c>
      <c r="I34" s="61" t="str">
        <f>IF((_xlfn.XLOOKUP($C34,'2025 结构设计订单 '!$B:$B,'2025 结构设计订单 '!H:H))=0," ",_xlfn.XLOOKUP($C34,'2025 结构设计订单 '!$B:$B,'2025 结构设计订单 '!H:H))</f>
        <v>张金环</v>
      </c>
      <c r="J34" s="61" t="str">
        <f>IF((_xlfn.XLOOKUP($C34,'2025 结构设计订单 '!$B:$B,'2025 结构设计订单 '!I:I))=0," ",_xlfn.XLOOKUP($C34,'2025 结构设计订单 '!$B:$B,'2025 结构设计订单 '!I:I))</f>
        <v>司林杰</v>
      </c>
      <c r="K34" s="67">
        <f>IF((_xlfn.XLOOKUP($C34,'2025 结构设计订单 '!$B:$B,'2025 结构设计订单 '!J:J))=0," ",_xlfn.XLOOKUP($C34,'2025 结构设计订单 '!$B:$B,'2025 结构设计订单 '!J:J))</f>
        <v>45870</v>
      </c>
      <c r="L34" s="61" t="str">
        <f>IF((_xlfn.XLOOKUP($C34,'2025 结构设计订单 '!$B:$B,'2025 结构设计订单 '!K:K))=0," ",_xlfn.XLOOKUP($C34,'2025 结构设计订单 '!$B:$B,'2025 结构设计订单 '!K:K))</f>
        <v xml:space="preserve"> </v>
      </c>
      <c r="M34" s="67">
        <f>IF((_xlfn.XLOOKUP($C34,'2025 结构设计订单 '!$B:$B,'2025 结构设计订单 '!M:M))=0," ",_xlfn.XLOOKUP($C34,'2025 结构设计订单 '!$B:$B,'2025 结构设计订单 '!M:M))</f>
        <v>45879</v>
      </c>
      <c r="N34" s="67" t="str">
        <f>IF((_xlfn.XLOOKUP($C34,'2025 结构设计订单 '!$B:$B,'2025 结构设计订单 '!N:N))=0," ",_xlfn.XLOOKUP($C34,'2025 结构设计订单 '!$B:$B,'2025 结构设计订单 '!N:N))</f>
        <v xml:space="preserve"> </v>
      </c>
    </row>
    <row r="35" spans="2:14" ht="26.25" hidden="1" customHeight="1">
      <c r="B35" s="58">
        <v>5</v>
      </c>
      <c r="C35" s="54">
        <f>'2025 结构设计订单 '!B80</f>
        <v>850623</v>
      </c>
      <c r="D35" s="59">
        <f>'2025 结构设计订单 '!C80</f>
        <v>120</v>
      </c>
      <c r="E35" s="59">
        <f>'2025 结构设计订单 '!D80</f>
        <v>220</v>
      </c>
      <c r="F35" s="62" t="str">
        <f>'2025 结构设计订单 '!E80</f>
        <v>山西运城临晋3号主变返厂大修</v>
      </c>
      <c r="G35" s="60" t="str">
        <f>'2025 结构设计订单 '!F80</f>
        <v>国内</v>
      </c>
      <c r="H35" s="59">
        <f>'2025 结构设计订单 '!G80</f>
        <v>1</v>
      </c>
      <c r="I35" s="61" t="str">
        <f>IF((_xlfn.XLOOKUP($C35,'2025 结构设计订单 '!$B:$B,'2025 结构设计订单 '!H:H))=0," ",_xlfn.XLOOKUP($C35,'2025 结构设计订单 '!$B:$B,'2025 结构设计订单 '!H:H))</f>
        <v>郑瑞阳</v>
      </c>
      <c r="J35" s="61" t="str">
        <f>IF((_xlfn.XLOOKUP($C35,'2025 结构设计订单 '!$B:$B,'2025 结构设计订单 '!I:I))=0," ",_xlfn.XLOOKUP($C35,'2025 结构设计订单 '!$B:$B,'2025 结构设计订单 '!I:I))</f>
        <v>董立乔</v>
      </c>
      <c r="K35" s="67">
        <f>IF((_xlfn.XLOOKUP($C35,'2025 结构设计订单 '!$B:$B,'2025 结构设计订单 '!J:J))=0," ",_xlfn.XLOOKUP($C35,'2025 结构设计订单 '!$B:$B,'2025 结构设计订单 '!J:J))</f>
        <v>45874</v>
      </c>
      <c r="L35" s="61" t="str">
        <f>IF((_xlfn.XLOOKUP($C35,'2025 结构设计订单 '!$B:$B,'2025 结构设计订单 '!K:K))=0," ",_xlfn.XLOOKUP($C35,'2025 结构设计订单 '!$B:$B,'2025 结构设计订单 '!K:K))</f>
        <v xml:space="preserve"> </v>
      </c>
      <c r="M35" s="67" t="str">
        <f>IF((_xlfn.XLOOKUP($C35,'2025 结构设计订单 '!$B:$B,'2025 结构设计订单 '!M:M))=0," ",_xlfn.XLOOKUP($C35,'2025 结构设计订单 '!$B:$B,'2025 结构设计订单 '!M:M))</f>
        <v xml:space="preserve"> </v>
      </c>
      <c r="N35" s="67" t="str">
        <f>IF((_xlfn.XLOOKUP($C35,'2025 结构设计订单 '!$B:$B,'2025 结构设计订单 '!N:N))=0," ",_xlfn.XLOOKUP($C35,'2025 结构设计订单 '!$B:$B,'2025 结构设计订单 '!N:N))</f>
        <v xml:space="preserve"> </v>
      </c>
    </row>
    <row r="36" spans="2:14" ht="15.75" hidden="1">
      <c r="B36" s="58">
        <v>38</v>
      </c>
      <c r="C36" s="54">
        <f>'2025 结构设计订单 '!B80</f>
        <v>850623</v>
      </c>
      <c r="D36" s="59">
        <f>'2025 结构设计订单 '!C80</f>
        <v>120</v>
      </c>
      <c r="E36" s="59">
        <f>'2025 结构设计订单 '!D80</f>
        <v>220</v>
      </c>
      <c r="F36" s="62" t="str">
        <f>'2025 结构设计订单 '!E80</f>
        <v>山西运城临晋3号主变返厂大修</v>
      </c>
      <c r="G36" s="60" t="str">
        <f>'2025 结构设计订单 '!F80</f>
        <v>国内</v>
      </c>
      <c r="H36" s="59">
        <f>'2025 结构设计订单 '!G80</f>
        <v>1</v>
      </c>
      <c r="I36" s="61" t="str">
        <f>IF((_xlfn.XLOOKUP($C36,'2025 结构设计订单 '!$B:$B,'2025 结构设计订单 '!H:H))=0," ",_xlfn.XLOOKUP($C36,'2025 结构设计订单 '!$B:$B,'2025 结构设计订单 '!H:H))</f>
        <v>郑瑞阳</v>
      </c>
      <c r="J36" s="61" t="str">
        <f>IF((_xlfn.XLOOKUP($C36,'2025 结构设计订单 '!$B:$B,'2025 结构设计订单 '!I:I))=0," ",_xlfn.XLOOKUP($C36,'2025 结构设计订单 '!$B:$B,'2025 结构设计订单 '!I:I))</f>
        <v>董立乔</v>
      </c>
      <c r="K36" s="67">
        <f>IF((_xlfn.XLOOKUP($C36,'2025 结构设计订单 '!$B:$B,'2025 结构设计订单 '!J:J))=0," ",_xlfn.XLOOKUP($C36,'2025 结构设计订单 '!$B:$B,'2025 结构设计订单 '!J:J))</f>
        <v>45874</v>
      </c>
      <c r="L36" s="61" t="str">
        <f>IF((_xlfn.XLOOKUP($C36,'2025 结构设计订单 '!$B:$B,'2025 结构设计订单 '!K:K))=0," ",_xlfn.XLOOKUP($C36,'2025 结构设计订单 '!$B:$B,'2025 结构设计订单 '!K:K))</f>
        <v xml:space="preserve"> </v>
      </c>
      <c r="M36" s="67" t="str">
        <f>IF((_xlfn.XLOOKUP($C36,'2025 结构设计订单 '!$B:$B,'2025 结构设计订单 '!M:M))=0," ",_xlfn.XLOOKUP($C36,'2025 结构设计订单 '!$B:$B,'2025 结构设计订单 '!M:M))</f>
        <v xml:space="preserve"> </v>
      </c>
      <c r="N36" s="67" t="str">
        <f>IF((_xlfn.XLOOKUP($C36,'2025 结构设计订单 '!$B:$B,'2025 结构设计订单 '!N:N))=0," ",_xlfn.XLOOKUP($C36,'2025 结构设计订单 '!$B:$B,'2025 结构设计订单 '!N:N))</f>
        <v xml:space="preserve"> </v>
      </c>
    </row>
    <row r="37" spans="2:14" ht="15.75" hidden="1">
      <c r="B37" s="58">
        <v>6</v>
      </c>
      <c r="C37" s="54" t="str">
        <f>'2025 结构设计订单 '!B81</f>
        <v>813025-8123027</v>
      </c>
      <c r="D37" s="59">
        <f>'2025 结构设计订单 '!C81</f>
        <v>330</v>
      </c>
      <c r="E37" s="59">
        <f>'2025 结构设计订单 '!D81</f>
        <v>330</v>
      </c>
      <c r="F37" s="62" t="str">
        <f>'2025 结构设计订单 '!E81</f>
        <v>Nigeria Brownfield</v>
      </c>
      <c r="G37" s="60" t="str">
        <f>'2025 结构设计订单 '!F81</f>
        <v>出口</v>
      </c>
      <c r="H37" s="59" t="str">
        <f>'2025 结构设计订单 '!G81</f>
        <v>2 3</v>
      </c>
      <c r="I37" s="61" t="str">
        <f>IF((_xlfn.XLOOKUP($C37,'2025 结构设计订单 '!$B:$B,'2025 结构设计订单 '!H:H))=0," ",_xlfn.XLOOKUP($C37,'2025 结构设计订单 '!$B:$B,'2025 结构设计订单 '!H:H))</f>
        <v>李咏梅</v>
      </c>
      <c r="J37" s="61" t="str">
        <f>IF((_xlfn.XLOOKUP($C37,'2025 结构设计订单 '!$B:$B,'2025 结构设计订单 '!I:I))=0," ",_xlfn.XLOOKUP($C37,'2025 结构设计订单 '!$B:$B,'2025 结构设计订单 '!I:I))</f>
        <v>司林杰</v>
      </c>
      <c r="K37" s="67">
        <f>IF((_xlfn.XLOOKUP($C37,'2025 结构设计订单 '!$B:$B,'2025 结构设计订单 '!J:J))=0," ",_xlfn.XLOOKUP($C37,'2025 结构设计订单 '!$B:$B,'2025 结构设计订单 '!J:J))</f>
        <v>45879</v>
      </c>
      <c r="L37" s="61" t="str">
        <f>IF((_xlfn.XLOOKUP($C37,'2025 结构设计订单 '!$B:$B,'2025 结构设计订单 '!K:K))=0," ",_xlfn.XLOOKUP($C37,'2025 结构设计订单 '!$B:$B,'2025 结构设计订单 '!K:K))</f>
        <v xml:space="preserve"> </v>
      </c>
      <c r="M37" s="67">
        <f>IF((_xlfn.XLOOKUP($C37,'2025 结构设计订单 '!$B:$B,'2025 结构设计订单 '!M:M))=0," ",_xlfn.XLOOKUP($C37,'2025 结构设计订单 '!$B:$B,'2025 结构设计订单 '!M:M))</f>
        <v>45879</v>
      </c>
      <c r="N37" s="67" t="str">
        <f>IF((_xlfn.XLOOKUP($C37,'2025 结构设计订单 '!$B:$B,'2025 结构设计订单 '!N:N))=0," ",_xlfn.XLOOKUP($C37,'2025 结构设计订单 '!$B:$B,'2025 结构设计订单 '!N:N))</f>
        <v xml:space="preserve"> </v>
      </c>
    </row>
    <row r="38" spans="2:14" ht="15.75" hidden="1">
      <c r="B38" s="58">
        <v>39</v>
      </c>
      <c r="C38" s="54" t="str">
        <f>'2025 结构设计订单 '!B81</f>
        <v>813025-8123027</v>
      </c>
      <c r="D38" s="59">
        <f>'2025 结构设计订单 '!C81</f>
        <v>330</v>
      </c>
      <c r="E38" s="59">
        <f>'2025 结构设计订单 '!D81</f>
        <v>330</v>
      </c>
      <c r="F38" s="62" t="str">
        <f>'2025 结构设计订单 '!E81</f>
        <v>Nigeria Brownfield</v>
      </c>
      <c r="G38" s="60" t="str">
        <f>'2025 结构设计订单 '!F81</f>
        <v>出口</v>
      </c>
      <c r="H38" s="59" t="str">
        <f>'2025 结构设计订单 '!G81</f>
        <v>2 3</v>
      </c>
      <c r="I38" s="61" t="str">
        <f>IF((_xlfn.XLOOKUP($C38,'2025 结构设计订单 '!$B:$B,'2025 结构设计订单 '!H:H))=0," ",_xlfn.XLOOKUP($C38,'2025 结构设计订单 '!$B:$B,'2025 结构设计订单 '!H:H))</f>
        <v>李咏梅</v>
      </c>
      <c r="J38" s="61" t="str">
        <f>IF((_xlfn.XLOOKUP($C38,'2025 结构设计订单 '!$B:$B,'2025 结构设计订单 '!I:I))=0," ",_xlfn.XLOOKUP($C38,'2025 结构设计订单 '!$B:$B,'2025 结构设计订单 '!I:I))</f>
        <v>司林杰</v>
      </c>
      <c r="K38" s="67">
        <f>IF((_xlfn.XLOOKUP($C38,'2025 结构设计订单 '!$B:$B,'2025 结构设计订单 '!J:J))=0," ",_xlfn.XLOOKUP($C38,'2025 结构设计订单 '!$B:$B,'2025 结构设计订单 '!J:J))</f>
        <v>45879</v>
      </c>
      <c r="L38" s="61" t="str">
        <f>IF((_xlfn.XLOOKUP($C38,'2025 结构设计订单 '!$B:$B,'2025 结构设计订单 '!K:K))=0," ",_xlfn.XLOOKUP($C38,'2025 结构设计订单 '!$B:$B,'2025 结构设计订单 '!K:K))</f>
        <v xml:space="preserve"> </v>
      </c>
      <c r="M38" s="67">
        <f>IF((_xlfn.XLOOKUP($C38,'2025 结构设计订单 '!$B:$B,'2025 结构设计订单 '!M:M))=0," ",_xlfn.XLOOKUP($C38,'2025 结构设计订单 '!$B:$B,'2025 结构设计订单 '!M:M))</f>
        <v>45879</v>
      </c>
      <c r="N38" s="67" t="str">
        <f>IF((_xlfn.XLOOKUP($C38,'2025 结构设计订单 '!$B:$B,'2025 结构设计订单 '!N:N))=0," ",_xlfn.XLOOKUP($C38,'2025 结构设计订单 '!$B:$B,'2025 结构设计订单 '!N:N))</f>
        <v xml:space="preserve"> </v>
      </c>
    </row>
    <row r="39" spans="2:14" ht="15.75">
      <c r="B39" s="58">
        <v>7</v>
      </c>
      <c r="C39" s="54">
        <f>'2025 结构设计订单 '!B83</f>
        <v>813088</v>
      </c>
      <c r="D39" s="59">
        <f>'2025 结构设计订单 '!C83</f>
        <v>520</v>
      </c>
      <c r="E39" s="59">
        <f>'2025 结构设计订单 '!D83</f>
        <v>500</v>
      </c>
      <c r="F39" s="62" t="str">
        <f>'2025 结构设计订单 '!E83</f>
        <v>华勘院深圳汕尾红海湾六海上风电</v>
      </c>
      <c r="G39" s="60" t="str">
        <f>'2025 结构设计订单 '!F83</f>
        <v>国内</v>
      </c>
      <c r="H39" s="59">
        <f>'2025 结构设计订单 '!G83</f>
        <v>1</v>
      </c>
      <c r="I39" s="61" t="str">
        <f>IF((_xlfn.XLOOKUP($C39,'2025 结构设计订单 '!$B:$B,'2025 结构设计订单 '!H:H))=0," ",_xlfn.XLOOKUP($C39,'2025 结构设计订单 '!$B:$B,'2025 结构设计订单 '!H:H))</f>
        <v>陈振东</v>
      </c>
      <c r="J39" s="61" t="str">
        <f>IF((_xlfn.XLOOKUP($C39,'2025 结构设计订单 '!$B:$B,'2025 结构设计订单 '!I:I))=0," ",_xlfn.XLOOKUP($C39,'2025 结构设计订单 '!$B:$B,'2025 结构设计订单 '!I:I))</f>
        <v>董立乔</v>
      </c>
      <c r="K39" s="67">
        <f>IF((_xlfn.XLOOKUP($C39,'2025 结构设计订单 '!$B:$B,'2025 结构设计订单 '!J:J))=0," ",_xlfn.XLOOKUP($C39,'2025 结构设计订单 '!$B:$B,'2025 结构设计订单 '!J:J))</f>
        <v>45884</v>
      </c>
      <c r="L39" s="61" t="str">
        <f>IF((_xlfn.XLOOKUP($C39,'2025 结构设计订单 '!$B:$B,'2025 结构设计订单 '!K:K))=0," ",_xlfn.XLOOKUP($C39,'2025 结构设计订单 '!$B:$B,'2025 结构设计订单 '!K:K))</f>
        <v xml:space="preserve"> </v>
      </c>
      <c r="M39" s="67" t="str">
        <f>IF((_xlfn.XLOOKUP($C39,'2025 结构设计订单 '!$B:$B,'2025 结构设计订单 '!M:M))=0," ",_xlfn.XLOOKUP($C39,'2025 结构设计订单 '!$B:$B,'2025 结构设计订单 '!M:M))</f>
        <v xml:space="preserve"> </v>
      </c>
      <c r="N39" s="67" t="str">
        <f>IF((_xlfn.XLOOKUP($C39,'2025 结构设计订单 '!$B:$B,'2025 结构设计订单 '!N:N))=0," ",_xlfn.XLOOKUP($C39,'2025 结构设计订单 '!$B:$B,'2025 结构设计订单 '!N:N))</f>
        <v xml:space="preserve"> </v>
      </c>
    </row>
    <row r="40" spans="2:14" ht="15.75" hidden="1">
      <c r="B40" s="58">
        <v>9</v>
      </c>
      <c r="C40" s="54" t="str">
        <f>'2025 结构设计订单 '!B82</f>
        <v>813181-813182</v>
      </c>
      <c r="D40" s="59" t="str">
        <f>'2025 结构设计订单 '!C82</f>
        <v>90MVAr</v>
      </c>
      <c r="E40" s="59">
        <f>'2025 结构设计订单 '!D82</f>
        <v>500</v>
      </c>
      <c r="F40" s="62" t="str">
        <f>'2025 结构设计订单 '!E82</f>
        <v>Vietnam Shunt reactor</v>
      </c>
      <c r="G40" s="60" t="str">
        <f>'2025 结构设计订单 '!F82</f>
        <v>出口</v>
      </c>
      <c r="H40" s="59">
        <f>'2025 结构设计订单 '!G82</f>
        <v>2</v>
      </c>
      <c r="I40" s="61" t="str">
        <f>IF((_xlfn.XLOOKUP($C40,'2025 结构设计订单 '!$B:$B,'2025 结构设计订单 '!H:H))=0," ",_xlfn.XLOOKUP($C40,'2025 结构设计订单 '!$B:$B,'2025 结构设计订单 '!H:H))</f>
        <v>郭运波</v>
      </c>
      <c r="J40" s="61" t="str">
        <f>IF((_xlfn.XLOOKUP($C40,'2025 结构设计订单 '!$B:$B,'2025 结构设计订单 '!I:I))=0," ",_xlfn.XLOOKUP($C40,'2025 结构设计订单 '!$B:$B,'2025 结构设计订单 '!I:I))</f>
        <v>董立乔</v>
      </c>
      <c r="K40" s="67">
        <f>IF((_xlfn.XLOOKUP($C40,'2025 结构设计订单 '!$B:$B,'2025 结构设计订单 '!J:J))=0," ",_xlfn.XLOOKUP($C40,'2025 结构设计订单 '!$B:$B,'2025 结构设计订单 '!J:J))</f>
        <v>45884</v>
      </c>
      <c r="L40" s="61" t="str">
        <f>IF((_xlfn.XLOOKUP($C40,'2025 结构设计订单 '!$B:$B,'2025 结构设计订单 '!K:K))=0," ",_xlfn.XLOOKUP($C40,'2025 结构设计订单 '!$B:$B,'2025 结构设计订单 '!K:K))</f>
        <v xml:space="preserve"> </v>
      </c>
      <c r="M40" s="67" t="str">
        <f>IF((_xlfn.XLOOKUP($C40,'2025 结构设计订单 '!$B:$B,'2025 结构设计订单 '!M:M))=0," ",_xlfn.XLOOKUP($C40,'2025 结构设计订单 '!$B:$B,'2025 结构设计订单 '!M:M))</f>
        <v xml:space="preserve"> </v>
      </c>
      <c r="N40" s="67" t="str">
        <f>IF((_xlfn.XLOOKUP($C40,'2025 结构设计订单 '!$B:$B,'2025 结构设计订单 '!N:N))=0," ",_xlfn.XLOOKUP($C40,'2025 结构设计订单 '!$B:$B,'2025 结构设计订单 '!N:N))</f>
        <v xml:space="preserve"> </v>
      </c>
    </row>
    <row r="41" spans="2:14" ht="15.75" hidden="1">
      <c r="B41" s="58">
        <v>40</v>
      </c>
      <c r="C41" s="54" t="str">
        <f>'2025 结构设计订单 '!B82</f>
        <v>813181-813182</v>
      </c>
      <c r="D41" s="59" t="str">
        <f>'2025 结构设计订单 '!C82</f>
        <v>90MVAr</v>
      </c>
      <c r="E41" s="59">
        <f>'2025 结构设计订单 '!D82</f>
        <v>500</v>
      </c>
      <c r="F41" s="62" t="str">
        <f>'2025 结构设计订单 '!E82</f>
        <v>Vietnam Shunt reactor</v>
      </c>
      <c r="G41" s="60" t="str">
        <f>'2025 结构设计订单 '!F82</f>
        <v>出口</v>
      </c>
      <c r="H41" s="59">
        <f>'2025 结构设计订单 '!G82</f>
        <v>2</v>
      </c>
      <c r="I41" s="61" t="str">
        <f>IF((_xlfn.XLOOKUP($C41,'2025 结构设计订单 '!$B:$B,'2025 结构设计订单 '!H:H))=0," ",_xlfn.XLOOKUP($C41,'2025 结构设计订单 '!$B:$B,'2025 结构设计订单 '!H:H))</f>
        <v>郭运波</v>
      </c>
      <c r="J41" s="61" t="str">
        <f>IF((_xlfn.XLOOKUP($C41,'2025 结构设计订单 '!$B:$B,'2025 结构设计订单 '!I:I))=0," ",_xlfn.XLOOKUP($C41,'2025 结构设计订单 '!$B:$B,'2025 结构设计订单 '!I:I))</f>
        <v>董立乔</v>
      </c>
      <c r="K41" s="67">
        <f>IF((_xlfn.XLOOKUP($C41,'2025 结构设计订单 '!$B:$B,'2025 结构设计订单 '!J:J))=0," ",_xlfn.XLOOKUP($C41,'2025 结构设计订单 '!$B:$B,'2025 结构设计订单 '!J:J))</f>
        <v>45884</v>
      </c>
      <c r="L41" s="61" t="str">
        <f>IF((_xlfn.XLOOKUP($C41,'2025 结构设计订单 '!$B:$B,'2025 结构设计订单 '!K:K))=0," ",_xlfn.XLOOKUP($C41,'2025 结构设计订单 '!$B:$B,'2025 结构设计订单 '!K:K))</f>
        <v xml:space="preserve"> </v>
      </c>
      <c r="M41" s="67" t="str">
        <f>IF((_xlfn.XLOOKUP($C41,'2025 结构设计订单 '!$B:$B,'2025 结构设计订单 '!M:M))=0," ",_xlfn.XLOOKUP($C41,'2025 结构设计订单 '!$B:$B,'2025 结构设计订单 '!M:M))</f>
        <v xml:space="preserve"> </v>
      </c>
      <c r="N41" s="67" t="str">
        <f>IF((_xlfn.XLOOKUP($C41,'2025 结构设计订单 '!$B:$B,'2025 结构设计订单 '!N:N))=0," ",_xlfn.XLOOKUP($C41,'2025 结构设计订单 '!$B:$B,'2025 结构设计订单 '!N:N))</f>
        <v xml:space="preserve"> </v>
      </c>
    </row>
    <row r="42" spans="2:14" ht="15.75">
      <c r="B42" s="58">
        <v>41</v>
      </c>
      <c r="C42" s="54">
        <f>'2025 结构设计订单 '!B83</f>
        <v>813088</v>
      </c>
      <c r="D42" s="59">
        <f>'2025 结构设计订单 '!C83</f>
        <v>520</v>
      </c>
      <c r="E42" s="59">
        <f>'2025 结构设计订单 '!D83</f>
        <v>500</v>
      </c>
      <c r="F42" s="62" t="str">
        <f>'2025 结构设计订单 '!E83</f>
        <v>华勘院深圳汕尾红海湾六海上风电</v>
      </c>
      <c r="G42" s="60" t="str">
        <f>'2025 结构设计订单 '!F83</f>
        <v>国内</v>
      </c>
      <c r="H42" s="59">
        <f>'2025 结构设计订单 '!G83</f>
        <v>1</v>
      </c>
      <c r="I42" s="61" t="str">
        <f>IF((_xlfn.XLOOKUP($C42,'2025 结构设计订单 '!$B:$B,'2025 结构设计订单 '!H:H))=0," ",_xlfn.XLOOKUP($C42,'2025 结构设计订单 '!$B:$B,'2025 结构设计订单 '!H:H))</f>
        <v>陈振东</v>
      </c>
      <c r="J42" s="61" t="str">
        <f>IF((_xlfn.XLOOKUP($C42,'2025 结构设计订单 '!$B:$B,'2025 结构设计订单 '!I:I))=0," ",_xlfn.XLOOKUP($C42,'2025 结构设计订单 '!$B:$B,'2025 结构设计订单 '!I:I))</f>
        <v>董立乔</v>
      </c>
      <c r="K42" s="67">
        <f>IF((_xlfn.XLOOKUP($C42,'2025 结构设计订单 '!$B:$B,'2025 结构设计订单 '!J:J))=0," ",_xlfn.XLOOKUP($C42,'2025 结构设计订单 '!$B:$B,'2025 结构设计订单 '!J:J))</f>
        <v>45884</v>
      </c>
      <c r="L42" s="61" t="str">
        <f>IF((_xlfn.XLOOKUP($C42,'2025 结构设计订单 '!$B:$B,'2025 结构设计订单 '!K:K))=0," ",_xlfn.XLOOKUP($C42,'2025 结构设计订单 '!$B:$B,'2025 结构设计订单 '!K:K))</f>
        <v xml:space="preserve"> </v>
      </c>
      <c r="M42" s="67" t="str">
        <f>IF((_xlfn.XLOOKUP($C42,'2025 结构设计订单 '!$B:$B,'2025 结构设计订单 '!M:M))=0," ",_xlfn.XLOOKUP($C42,'2025 结构设计订单 '!$B:$B,'2025 结构设计订单 '!M:M))</f>
        <v xml:space="preserve"> </v>
      </c>
      <c r="N42" s="67" t="str">
        <f>IF((_xlfn.XLOOKUP($C42,'2025 结构设计订单 '!$B:$B,'2025 结构设计订单 '!N:N))=0," ",_xlfn.XLOOKUP($C42,'2025 结构设计订单 '!$B:$B,'2025 结构设计订单 '!N:N))</f>
        <v xml:space="preserve"> </v>
      </c>
    </row>
    <row r="43" spans="2:14" ht="15.75">
      <c r="B43" s="58">
        <v>8</v>
      </c>
      <c r="C43" s="54">
        <f>'2025 结构设计订单 '!B84</f>
        <v>813138</v>
      </c>
      <c r="D43" s="59">
        <f>'2025 结构设计订单 '!C84</f>
        <v>66.7</v>
      </c>
      <c r="E43" s="59">
        <f>'2025 结构设计订单 '!D84</f>
        <v>230</v>
      </c>
      <c r="F43" s="62" t="str">
        <f>'2025 结构设计订单 '!E84</f>
        <v>沙特Aramco Asia备用变项目</v>
      </c>
      <c r="G43" s="60" t="str">
        <f>'2025 结构设计订单 '!F84</f>
        <v>出口</v>
      </c>
      <c r="H43" s="59">
        <f>'2025 结构设计订单 '!G84</f>
        <v>1</v>
      </c>
      <c r="I43" s="61" t="str">
        <f>IF((_xlfn.XLOOKUP($C43,'2025 结构设计订单 '!$B:$B,'2025 结构设计订单 '!H:H))=0," ",_xlfn.XLOOKUP($C43,'2025 结构设计订单 '!$B:$B,'2025 结构设计订单 '!H:H))</f>
        <v>张金环</v>
      </c>
      <c r="J43" s="61" t="str">
        <f>IF((_xlfn.XLOOKUP($C43,'2025 结构设计订单 '!$B:$B,'2025 结构设计订单 '!I:I))=0," ",_xlfn.XLOOKUP($C43,'2025 结构设计订单 '!$B:$B,'2025 结构设计订单 '!I:I))</f>
        <v>司林杰</v>
      </c>
      <c r="K43" s="67">
        <f>IF((_xlfn.XLOOKUP($C43,'2025 结构设计订单 '!$B:$B,'2025 结构设计订单 '!J:J))=0," ",_xlfn.XLOOKUP($C43,'2025 结构设计订单 '!$B:$B,'2025 结构设计订单 '!J:J))</f>
        <v>45896</v>
      </c>
      <c r="L43" s="61" t="str">
        <f>IF((_xlfn.XLOOKUP($C43,'2025 结构设计订单 '!$B:$B,'2025 结构设计订单 '!K:K))=0," ",_xlfn.XLOOKUP($C43,'2025 结构设计订单 '!$B:$B,'2025 结构设计订单 '!K:K))</f>
        <v xml:space="preserve"> </v>
      </c>
      <c r="M43" s="67">
        <f>IF((_xlfn.XLOOKUP($C43,'2025 结构设计订单 '!$B:$B,'2025 结构设计订单 '!M:M))=0," ",_xlfn.XLOOKUP($C43,'2025 结构设计订单 '!$B:$B,'2025 结构设计订单 '!M:M))</f>
        <v>45899</v>
      </c>
      <c r="N43" s="67" t="str">
        <f>IF((_xlfn.XLOOKUP($C43,'2025 结构设计订单 '!$B:$B,'2025 结构设计订单 '!N:N))=0," ",_xlfn.XLOOKUP($C43,'2025 结构设计订单 '!$B:$B,'2025 结构设计订单 '!N:N))</f>
        <v xml:space="preserve"> </v>
      </c>
    </row>
    <row r="44" spans="2:14" ht="15.75">
      <c r="B44" s="58">
        <v>42</v>
      </c>
      <c r="C44" s="54">
        <f>'2025 结构设计订单 '!B84</f>
        <v>813138</v>
      </c>
      <c r="D44" s="59">
        <f>'2025 结构设计订单 '!C84</f>
        <v>66.7</v>
      </c>
      <c r="E44" s="59">
        <f>'2025 结构设计订单 '!D84</f>
        <v>230</v>
      </c>
      <c r="F44" s="62" t="str">
        <f>'2025 结构设计订单 '!E84</f>
        <v>沙特Aramco Asia备用变项目</v>
      </c>
      <c r="G44" s="60" t="str">
        <f>'2025 结构设计订单 '!F84</f>
        <v>出口</v>
      </c>
      <c r="H44" s="59">
        <f>'2025 结构设计订单 '!G84</f>
        <v>1</v>
      </c>
      <c r="I44" s="61" t="str">
        <f>IF((_xlfn.XLOOKUP($C44,'2025 结构设计订单 '!$B:$B,'2025 结构设计订单 '!H:H))=0," ",_xlfn.XLOOKUP($C44,'2025 结构设计订单 '!$B:$B,'2025 结构设计订单 '!H:H))</f>
        <v>张金环</v>
      </c>
      <c r="J44" s="61" t="str">
        <f>IF((_xlfn.XLOOKUP($C44,'2025 结构设计订单 '!$B:$B,'2025 结构设计订单 '!I:I))=0," ",_xlfn.XLOOKUP($C44,'2025 结构设计订单 '!$B:$B,'2025 结构设计订单 '!I:I))</f>
        <v>司林杰</v>
      </c>
      <c r="K44" s="67">
        <f>IF((_xlfn.XLOOKUP($C44,'2025 结构设计订单 '!$B:$B,'2025 结构设计订单 '!J:J))=0," ",_xlfn.XLOOKUP($C44,'2025 结构设计订单 '!$B:$B,'2025 结构设计订单 '!J:J))</f>
        <v>45896</v>
      </c>
      <c r="L44" s="61" t="str">
        <f>IF((_xlfn.XLOOKUP($C44,'2025 结构设计订单 '!$B:$B,'2025 结构设计订单 '!K:K))=0," ",_xlfn.XLOOKUP($C44,'2025 结构设计订单 '!$B:$B,'2025 结构设计订单 '!K:K))</f>
        <v xml:space="preserve"> </v>
      </c>
      <c r="M44" s="67">
        <f>IF((_xlfn.XLOOKUP($C44,'2025 结构设计订单 '!$B:$B,'2025 结构设计订单 '!M:M))=0," ",_xlfn.XLOOKUP($C44,'2025 结构设计订单 '!$B:$B,'2025 结构设计订单 '!M:M))</f>
        <v>45899</v>
      </c>
      <c r="N44" s="67" t="str">
        <f>IF((_xlfn.XLOOKUP($C44,'2025 结构设计订单 '!$B:$B,'2025 结构设计订单 '!N:N))=0," ",_xlfn.XLOOKUP($C44,'2025 结构设计订单 '!$B:$B,'2025 结构设计订单 '!N:N))</f>
        <v xml:space="preserve"> </v>
      </c>
    </row>
    <row r="45" spans="2:14" ht="15.75" hidden="1">
      <c r="B45" s="58">
        <v>20</v>
      </c>
      <c r="C45" s="54" t="str">
        <f>'2025 结构设计订单 '!B85</f>
        <v>813205-813207</v>
      </c>
      <c r="D45" s="59">
        <f>'2025 结构设计订单 '!C85</f>
        <v>100</v>
      </c>
      <c r="E45" s="59">
        <f>'2025 结构设计订单 '!D85</f>
        <v>220</v>
      </c>
      <c r="F45" s="62" t="str">
        <f>'2025 结构设计订单 '!E85</f>
        <v>UAE Transco ICAD-N</v>
      </c>
      <c r="G45" s="60" t="str">
        <f>'2025 结构设计订单 '!F85</f>
        <v>出口</v>
      </c>
      <c r="H45" s="59">
        <f>'2025 结构设计订单 '!G85</f>
        <v>3</v>
      </c>
      <c r="I45" s="61" t="str">
        <f>IF((_xlfn.XLOOKUP($C45,'2025 结构设计订单 '!$B:$B,'2025 结构设计订单 '!H:H))=0," ",_xlfn.XLOOKUP($C45,'2025 结构设计订单 '!$B:$B,'2025 结构设计订单 '!H:H))</f>
        <v>李咏梅</v>
      </c>
      <c r="J45" s="61" t="str">
        <f>IF((_xlfn.XLOOKUP($C45,'2025 结构设计订单 '!$B:$B,'2025 结构设计订单 '!I:I))=0," ",_xlfn.XLOOKUP($C45,'2025 结构设计订单 '!$B:$B,'2025 结构设计订单 '!I:I))</f>
        <v>司林杰</v>
      </c>
      <c r="K45" s="67">
        <f>IF((_xlfn.XLOOKUP($C45,'2025 结构设计订单 '!$B:$B,'2025 结构设计订单 '!J:J))=0," ",_xlfn.XLOOKUP($C45,'2025 结构设计订单 '!$B:$B,'2025 结构设计订单 '!J:J))</f>
        <v>45898</v>
      </c>
      <c r="L45" s="61" t="str">
        <f>IF((_xlfn.XLOOKUP($C45,'2025 结构设计订单 '!$B:$B,'2025 结构设计订单 '!K:K))=0," ",_xlfn.XLOOKUP($C45,'2025 结构设计订单 '!$B:$B,'2025 结构设计订单 '!K:K))</f>
        <v xml:space="preserve"> </v>
      </c>
      <c r="M45" s="67">
        <f>IF((_xlfn.XLOOKUP($C45,'2025 结构设计订单 '!$B:$B,'2025 结构设计订单 '!M:M))=0," ",_xlfn.XLOOKUP($C45,'2025 结构设计订单 '!$B:$B,'2025 结构设计订单 '!M:M))</f>
        <v>45894</v>
      </c>
      <c r="N45" s="67" t="str">
        <f>IF((_xlfn.XLOOKUP($C45,'2025 结构设计订单 '!$B:$B,'2025 结构设计订单 '!N:N))=0," ",_xlfn.XLOOKUP($C45,'2025 结构设计订单 '!$B:$B,'2025 结构设计订单 '!N:N))</f>
        <v xml:space="preserve"> </v>
      </c>
    </row>
    <row r="46" spans="2:14" ht="15.75" hidden="1">
      <c r="B46" s="58">
        <v>21</v>
      </c>
      <c r="C46" s="54" t="str">
        <f>'2025 结构设计订单 '!B86</f>
        <v>813215-813217</v>
      </c>
      <c r="D46" s="59">
        <f>'2025 结构设计订单 '!C86</f>
        <v>334</v>
      </c>
      <c r="E46" s="59">
        <f>'2025 结构设计订单 '!D86</f>
        <v>550</v>
      </c>
      <c r="F46" s="62" t="str">
        <f>'2025 结构设计订单 '!E86</f>
        <v>潍坊项目</v>
      </c>
      <c r="G46" s="60" t="str">
        <f>'2025 结构设计订单 '!F86</f>
        <v>国内</v>
      </c>
      <c r="H46" s="59">
        <f>'2025 结构设计订单 '!G86</f>
        <v>3</v>
      </c>
      <c r="I46" s="61" t="str">
        <f>IF((_xlfn.XLOOKUP($C46,'2025 结构设计订单 '!$B:$B,'2025 结构设计订单 '!H:H))=0," ",_xlfn.XLOOKUP($C46,'2025 结构设计订单 '!$B:$B,'2025 结构设计订单 '!H:H))</f>
        <v>郑瑞阳</v>
      </c>
      <c r="J46" s="61" t="str">
        <f>IF((_xlfn.XLOOKUP($C46,'2025 结构设计订单 '!$B:$B,'2025 结构设计订单 '!I:I))=0," ",_xlfn.XLOOKUP($C46,'2025 结构设计订单 '!$B:$B,'2025 结构设计订单 '!I:I))</f>
        <v>董立乔</v>
      </c>
      <c r="K46" s="67">
        <f>IF((_xlfn.XLOOKUP($C46,'2025 结构设计订单 '!$B:$B,'2025 结构设计订单 '!J:J))=0," ",_xlfn.XLOOKUP($C46,'2025 结构设计订单 '!$B:$B,'2025 结构设计订单 '!J:J))</f>
        <v>45898</v>
      </c>
      <c r="L46" s="61" t="str">
        <f>IF((_xlfn.XLOOKUP($C46,'2025 结构设计订单 '!$B:$B,'2025 结构设计订单 '!K:K))=0," ",_xlfn.XLOOKUP($C46,'2025 结构设计订单 '!$B:$B,'2025 结构设计订单 '!K:K))</f>
        <v xml:space="preserve"> </v>
      </c>
      <c r="M46" s="67" t="str">
        <f>IF((_xlfn.XLOOKUP($C46,'2025 结构设计订单 '!$B:$B,'2025 结构设计订单 '!M:M))=0," ",_xlfn.XLOOKUP($C46,'2025 结构设计订单 '!$B:$B,'2025 结构设计订单 '!M:M))</f>
        <v xml:space="preserve"> </v>
      </c>
      <c r="N46" s="67" t="str">
        <f>IF((_xlfn.XLOOKUP($C46,'2025 结构设计订单 '!$B:$B,'2025 结构设计订单 '!N:N))=0," ",_xlfn.XLOOKUP($C46,'2025 结构设计订单 '!$B:$B,'2025 结构设计订单 '!N:N))</f>
        <v xml:space="preserve"> </v>
      </c>
    </row>
    <row r="47" spans="2:14" ht="15.75" hidden="1">
      <c r="B47" s="58">
        <v>43</v>
      </c>
      <c r="C47" s="54" t="str">
        <f>'2025 结构设计订单 '!B85</f>
        <v>813205-813207</v>
      </c>
      <c r="D47" s="59">
        <f>'2025 结构设计订单 '!C85</f>
        <v>100</v>
      </c>
      <c r="E47" s="59">
        <f>'2025 结构设计订单 '!D85</f>
        <v>220</v>
      </c>
      <c r="F47" s="62" t="str">
        <f>'2025 结构设计订单 '!E85</f>
        <v>UAE Transco ICAD-N</v>
      </c>
      <c r="G47" s="60" t="str">
        <f>'2025 结构设计订单 '!F85</f>
        <v>出口</v>
      </c>
      <c r="H47" s="59">
        <f>'2025 结构设计订单 '!G85</f>
        <v>3</v>
      </c>
      <c r="I47" s="61" t="str">
        <f>IF((_xlfn.XLOOKUP($C47,'2025 结构设计订单 '!$B:$B,'2025 结构设计订单 '!H:H))=0," ",_xlfn.XLOOKUP($C47,'2025 结构设计订单 '!$B:$B,'2025 结构设计订单 '!H:H))</f>
        <v>李咏梅</v>
      </c>
      <c r="J47" s="61" t="str">
        <f>IF((_xlfn.XLOOKUP($C47,'2025 结构设计订单 '!$B:$B,'2025 结构设计订单 '!I:I))=0," ",_xlfn.XLOOKUP($C47,'2025 结构设计订单 '!$B:$B,'2025 结构设计订单 '!I:I))</f>
        <v>司林杰</v>
      </c>
      <c r="K47" s="67">
        <f>IF((_xlfn.XLOOKUP($C47,'2025 结构设计订单 '!$B:$B,'2025 结构设计订单 '!J:J))=0," ",_xlfn.XLOOKUP($C47,'2025 结构设计订单 '!$B:$B,'2025 结构设计订单 '!J:J))</f>
        <v>45898</v>
      </c>
      <c r="L47" s="61" t="str">
        <f>IF((_xlfn.XLOOKUP($C47,'2025 结构设计订单 '!$B:$B,'2025 结构设计订单 '!K:K))=0," ",_xlfn.XLOOKUP($C47,'2025 结构设计订单 '!$B:$B,'2025 结构设计订单 '!K:K))</f>
        <v xml:space="preserve"> </v>
      </c>
      <c r="M47" s="67">
        <f>IF((_xlfn.XLOOKUP($C47,'2025 结构设计订单 '!$B:$B,'2025 结构设计订单 '!M:M))=0," ",_xlfn.XLOOKUP($C47,'2025 结构设计订单 '!$B:$B,'2025 结构设计订单 '!M:M))</f>
        <v>45894</v>
      </c>
      <c r="N47" s="67" t="str">
        <f>IF((_xlfn.XLOOKUP($C47,'2025 结构设计订单 '!$B:$B,'2025 结构设计订单 '!N:N))=0," ",_xlfn.XLOOKUP($C47,'2025 结构设计订单 '!$B:$B,'2025 结构设计订单 '!N:N))</f>
        <v xml:space="preserve"> </v>
      </c>
    </row>
    <row r="48" spans="2:14" ht="15.75" hidden="1">
      <c r="B48" s="58">
        <v>44</v>
      </c>
      <c r="C48" s="54" t="str">
        <f>'2025 结构设计订单 '!B86</f>
        <v>813215-813217</v>
      </c>
      <c r="D48" s="59">
        <f>'2025 结构设计订单 '!C86</f>
        <v>334</v>
      </c>
      <c r="E48" s="59">
        <f>'2025 结构设计订单 '!D86</f>
        <v>550</v>
      </c>
      <c r="F48" s="62" t="str">
        <f>'2025 结构设计订单 '!E86</f>
        <v>潍坊项目</v>
      </c>
      <c r="G48" s="60" t="str">
        <f>'2025 结构设计订单 '!F86</f>
        <v>国内</v>
      </c>
      <c r="H48" s="59">
        <f>'2025 结构设计订单 '!G86</f>
        <v>3</v>
      </c>
      <c r="I48" s="61" t="str">
        <f>IF((_xlfn.XLOOKUP($C48,'2025 结构设计订单 '!$B:$B,'2025 结构设计订单 '!H:H))=0," ",_xlfn.XLOOKUP($C48,'2025 结构设计订单 '!$B:$B,'2025 结构设计订单 '!H:H))</f>
        <v>郑瑞阳</v>
      </c>
      <c r="J48" s="61" t="str">
        <f>IF((_xlfn.XLOOKUP($C48,'2025 结构设计订单 '!$B:$B,'2025 结构设计订单 '!I:I))=0," ",_xlfn.XLOOKUP($C48,'2025 结构设计订单 '!$B:$B,'2025 结构设计订单 '!I:I))</f>
        <v>董立乔</v>
      </c>
      <c r="K48" s="67">
        <f>IF((_xlfn.XLOOKUP($C48,'2025 结构设计订单 '!$B:$B,'2025 结构设计订单 '!J:J))=0," ",_xlfn.XLOOKUP($C48,'2025 结构设计订单 '!$B:$B,'2025 结构设计订单 '!J:J))</f>
        <v>45898</v>
      </c>
      <c r="L48" s="61" t="str">
        <f>IF((_xlfn.XLOOKUP($C48,'2025 结构设计订单 '!$B:$B,'2025 结构设计订单 '!K:K))=0," ",_xlfn.XLOOKUP($C48,'2025 结构设计订单 '!$B:$B,'2025 结构设计订单 '!K:K))</f>
        <v xml:space="preserve"> </v>
      </c>
      <c r="M48" s="67" t="str">
        <f>IF((_xlfn.XLOOKUP($C48,'2025 结构设计订单 '!$B:$B,'2025 结构设计订单 '!M:M))=0," ",_xlfn.XLOOKUP($C48,'2025 结构设计订单 '!$B:$B,'2025 结构设计订单 '!M:M))</f>
        <v xml:space="preserve"> </v>
      </c>
      <c r="N48" s="67" t="str">
        <f>IF((_xlfn.XLOOKUP($C48,'2025 结构设计订单 '!$B:$B,'2025 结构设计订单 '!N:N))=0," ",_xlfn.XLOOKUP($C48,'2025 结构设计订单 '!$B:$B,'2025 结构设计订单 '!N:N))</f>
        <v xml:space="preserve"> </v>
      </c>
    </row>
    <row r="49" spans="2:14" ht="15.75" hidden="1">
      <c r="B49" s="58">
        <v>45</v>
      </c>
      <c r="C49" s="54">
        <f>'2025 结构设计订单 '!B87</f>
        <v>813201</v>
      </c>
      <c r="D49" s="59">
        <f>'2025 结构设计订单 '!C87</f>
        <v>460</v>
      </c>
      <c r="E49" s="59">
        <f>'2025 结构设计订单 '!D87</f>
        <v>400</v>
      </c>
      <c r="F49" s="62" t="str">
        <f>'2025 结构设计订单 '!E87</f>
        <v>Poland_BC Wind</v>
      </c>
      <c r="G49" s="60" t="str">
        <f>'2025 结构设计订单 '!F87</f>
        <v>出口</v>
      </c>
      <c r="H49" s="59">
        <f>'2025 结构设计订单 '!G87</f>
        <v>1</v>
      </c>
      <c r="I49" s="61" t="str">
        <f>IF((_xlfn.XLOOKUP($C49,'2025 结构设计订单 '!$B:$B,'2025 结构设计订单 '!H:H))=0," ",_xlfn.XLOOKUP($C49,'2025 结构设计订单 '!$B:$B,'2025 结构设计订单 '!H:H))</f>
        <v>李红杰</v>
      </c>
      <c r="J49" s="61" t="str">
        <f>IF((_xlfn.XLOOKUP($C49,'2025 结构设计订单 '!$B:$B,'2025 结构设计订单 '!I:I))=0," ",_xlfn.XLOOKUP($C49,'2025 结构设计订单 '!$B:$B,'2025 结构设计订单 '!I:I))</f>
        <v>王芳</v>
      </c>
      <c r="K49" s="67">
        <f>IF((_xlfn.XLOOKUP($C49,'2025 结构设计订单 '!$B:$B,'2025 结构设计订单 '!J:J))=0," ",_xlfn.XLOOKUP($C49,'2025 结构设计订单 '!$B:$B,'2025 结构设计订单 '!J:J))</f>
        <v>45905</v>
      </c>
      <c r="L49" s="61" t="str">
        <f>IF((_xlfn.XLOOKUP($C49,'2025 结构设计订单 '!$B:$B,'2025 结构设计订单 '!K:K))=0," ",_xlfn.XLOOKUP($C49,'2025 结构设计订单 '!$B:$B,'2025 结构设计订单 '!K:K))</f>
        <v xml:space="preserve"> </v>
      </c>
      <c r="M49" s="67" t="str">
        <f>IF((_xlfn.XLOOKUP($C49,'2025 结构设计订单 '!$B:$B,'2025 结构设计订单 '!M:M))=0," ",_xlfn.XLOOKUP($C49,'2025 结构设计订单 '!$B:$B,'2025 结构设计订单 '!M:M))</f>
        <v xml:space="preserve"> </v>
      </c>
      <c r="N49" s="67" t="str">
        <f>IF((_xlfn.XLOOKUP($C49,'2025 结构设计订单 '!$B:$B,'2025 结构设计订单 '!N:N))=0," ",_xlfn.XLOOKUP($C49,'2025 结构设计订单 '!$B:$B,'2025 结构设计订单 '!N:N))</f>
        <v xml:space="preserve"> </v>
      </c>
    </row>
    <row r="50" spans="2:14" ht="15.75" hidden="1">
      <c r="B50" s="58">
        <v>46</v>
      </c>
      <c r="C50" s="54" t="str">
        <f>'2025 结构设计订单 '!B88</f>
        <v>813208-813210</v>
      </c>
      <c r="D50" s="59">
        <f>'2025 结构设计订单 '!C88</f>
        <v>334</v>
      </c>
      <c r="E50" s="59">
        <f>'2025 结构设计订单 '!D88</f>
        <v>550</v>
      </c>
      <c r="F50" s="62" t="str">
        <f>'2025 结构设计订单 '!E88</f>
        <v>渔盐项目</v>
      </c>
      <c r="G50" s="60" t="str">
        <f>'2025 结构设计订单 '!F88</f>
        <v>国内</v>
      </c>
      <c r="H50" s="59">
        <f>'2025 结构设计订单 '!G88</f>
        <v>3</v>
      </c>
      <c r="I50" s="61" t="str">
        <f>IF((_xlfn.XLOOKUP($C50,'2025 结构设计订单 '!$B:$B,'2025 结构设计订单 '!H:H))=0," ",_xlfn.XLOOKUP($C50,'2025 结构设计订单 '!$B:$B,'2025 结构设计订单 '!H:H))</f>
        <v>郑瑞阳</v>
      </c>
      <c r="J50" s="61" t="str">
        <f>IF((_xlfn.XLOOKUP($C50,'2025 结构设计订单 '!$B:$B,'2025 结构设计订单 '!I:I))=0," ",_xlfn.XLOOKUP($C50,'2025 结构设计订单 '!$B:$B,'2025 结构设计订单 '!I:I))</f>
        <v>董立乔</v>
      </c>
      <c r="K50" s="67">
        <f>IF((_xlfn.XLOOKUP($C50,'2025 结构设计订单 '!$B:$B,'2025 结构设计订单 '!J:J))=0," ",_xlfn.XLOOKUP($C50,'2025 结构设计订单 '!$B:$B,'2025 结构设计订单 '!J:J))</f>
        <v>45905</v>
      </c>
      <c r="L50" s="61" t="str">
        <f>IF((_xlfn.XLOOKUP($C50,'2025 结构设计订单 '!$B:$B,'2025 结构设计订单 '!K:K))=0," ",_xlfn.XLOOKUP($C50,'2025 结构设计订单 '!$B:$B,'2025 结构设计订单 '!K:K))</f>
        <v xml:space="preserve"> </v>
      </c>
      <c r="M50" s="67" t="str">
        <f>IF((_xlfn.XLOOKUP($C50,'2025 结构设计订单 '!$B:$B,'2025 结构设计订单 '!M:M))=0," ",_xlfn.XLOOKUP($C50,'2025 结构设计订单 '!$B:$B,'2025 结构设计订单 '!M:M))</f>
        <v xml:space="preserve"> </v>
      </c>
      <c r="N50" s="67" t="str">
        <f>IF((_xlfn.XLOOKUP($C50,'2025 结构设计订单 '!$B:$B,'2025 结构设计订单 '!N:N))=0," ",_xlfn.XLOOKUP($C50,'2025 结构设计订单 '!$B:$B,'2025 结构设计订单 '!N:N))</f>
        <v xml:space="preserve"> </v>
      </c>
    </row>
    <row r="51" spans="2:14" ht="15.75" hidden="1">
      <c r="B51" s="58">
        <v>48</v>
      </c>
      <c r="C51" s="54">
        <f>'2025 结构设计订单 '!B89</f>
        <v>813160</v>
      </c>
      <c r="D51" s="59">
        <f>'2025 结构设计订单 '!C89</f>
        <v>280</v>
      </c>
      <c r="E51" s="59">
        <f>'2025 结构设计订单 '!D89</f>
        <v>400</v>
      </c>
      <c r="F51" s="62" t="str">
        <f>'2025 结构设计订单 '!E89</f>
        <v>UK_Statera Energy Framework</v>
      </c>
      <c r="G51" s="60" t="str">
        <f>'2025 结构设计订单 '!F89</f>
        <v>出口</v>
      </c>
      <c r="H51" s="59">
        <f>'2025 结构设计订单 '!G89</f>
        <v>1</v>
      </c>
      <c r="I51" s="61" t="str">
        <f>IF((_xlfn.XLOOKUP($C51,'2025 结构设计订单 '!$B:$B,'2025 结构设计订单 '!H:H))=0," ",_xlfn.XLOOKUP($C51,'2025 结构设计订单 '!$B:$B,'2025 结构设计订单 '!H:H))</f>
        <v>李咏梅</v>
      </c>
      <c r="J51" s="61" t="str">
        <f>IF((_xlfn.XLOOKUP($C51,'2025 结构设计订单 '!$B:$B,'2025 结构设计订单 '!I:I))=0," ",_xlfn.XLOOKUP($C51,'2025 结构设计订单 '!$B:$B,'2025 结构设计订单 '!I:I))</f>
        <v>王芳</v>
      </c>
      <c r="K51" s="67">
        <f>IF((_xlfn.XLOOKUP($C51,'2025 结构设计订单 '!$B:$B,'2025 结构设计订单 '!J:J))=0," ",_xlfn.XLOOKUP($C51,'2025 结构设计订单 '!$B:$B,'2025 结构设计订单 '!J:J))</f>
        <v>45915</v>
      </c>
      <c r="L51" s="61">
        <f>IF((_xlfn.XLOOKUP($C51,'2025 结构设计订单 '!$B:$B,'2025 结构设计订单 '!K:K))=0," ",_xlfn.XLOOKUP($C51,'2025 结构设计订单 '!$B:$B,'2025 结构设计订单 '!K:K))</f>
        <v>45884</v>
      </c>
      <c r="M51" s="67" t="str">
        <f>IF((_xlfn.XLOOKUP($C51,'2025 结构设计订单 '!$B:$B,'2025 结构设计订单 '!M:M))=0," ",_xlfn.XLOOKUP($C51,'2025 结构设计订单 '!$B:$B,'2025 结构设计订单 '!M:M))</f>
        <v xml:space="preserve"> </v>
      </c>
      <c r="N51" s="67" t="str">
        <f>IF((_xlfn.XLOOKUP($C51,'2025 结构设计订单 '!$B:$B,'2025 结构设计订单 '!N:N))=0," ",_xlfn.XLOOKUP($C51,'2025 结构设计订单 '!$B:$B,'2025 结构设计订单 '!N:N))</f>
        <v xml:space="preserve"> </v>
      </c>
    </row>
    <row r="52" spans="2:14" ht="15.75" hidden="1">
      <c r="B52" s="58">
        <v>49</v>
      </c>
      <c r="C52" s="54">
        <f>'2025 结构设计订单 '!B90</f>
        <v>813143</v>
      </c>
      <c r="D52" s="59">
        <f>'2025 结构设计订单 '!C90</f>
        <v>60</v>
      </c>
      <c r="E52" s="59">
        <f>'2025 结构设计订单 '!D90</f>
        <v>220</v>
      </c>
      <c r="F52" s="62" t="str">
        <f>'2025 结构设计订单 '!E90</f>
        <v>上海电气马来西亚</v>
      </c>
      <c r="G52" s="60" t="str">
        <f>'2025 结构设计订单 '!F90</f>
        <v>出口</v>
      </c>
      <c r="H52" s="59">
        <f>'2025 结构设计订单 '!G90</f>
        <v>1</v>
      </c>
      <c r="I52" s="61" t="str">
        <f>IF((_xlfn.XLOOKUP($C52,'2025 结构设计订单 '!$B:$B,'2025 结构设计订单 '!H:H))=0," ",_xlfn.XLOOKUP($C52,'2025 结构设计订单 '!$B:$B,'2025 结构设计订单 '!H:H))</f>
        <v>李咏梅</v>
      </c>
      <c r="J52" s="61" t="str">
        <f>IF((_xlfn.XLOOKUP($C52,'2025 结构设计订单 '!$B:$B,'2025 结构设计订单 '!I:I))=0," ",_xlfn.XLOOKUP($C52,'2025 结构设计订单 '!$B:$B,'2025 结构设计订单 '!I:I))</f>
        <v>王芳</v>
      </c>
      <c r="K52" s="67">
        <f>IF((_xlfn.XLOOKUP($C52,'2025 结构设计订单 '!$B:$B,'2025 结构设计订单 '!J:J))=0," ",_xlfn.XLOOKUP($C52,'2025 结构设计订单 '!$B:$B,'2025 结构设计订单 '!J:J))</f>
        <v>45930</v>
      </c>
      <c r="L52" s="61" t="str">
        <f>IF((_xlfn.XLOOKUP($C52,'2025 结构设计订单 '!$B:$B,'2025 结构设计订单 '!K:K))=0," ",_xlfn.XLOOKUP($C52,'2025 结构设计订单 '!$B:$B,'2025 结构设计订单 '!K:K))</f>
        <v xml:space="preserve"> </v>
      </c>
      <c r="M52" s="67" t="str">
        <f>IF((_xlfn.XLOOKUP($C52,'2025 结构设计订单 '!$B:$B,'2025 结构设计订单 '!M:M))=0," ",_xlfn.XLOOKUP($C52,'2025 结构设计订单 '!$B:$B,'2025 结构设计订单 '!M:M))</f>
        <v xml:space="preserve"> </v>
      </c>
      <c r="N52" s="67" t="str">
        <f>IF((_xlfn.XLOOKUP($C52,'2025 结构设计订单 '!$B:$B,'2025 结构设计订单 '!N:N))=0," ",_xlfn.XLOOKUP($C52,'2025 结构设计订单 '!$B:$B,'2025 结构设计订单 '!N:N))</f>
        <v xml:space="preserve"> </v>
      </c>
    </row>
    <row r="53" spans="2:14" ht="15.75" hidden="1">
      <c r="B53" s="58">
        <v>50</v>
      </c>
      <c r="C53" s="54" t="str">
        <f>'2025 结构设计订单 '!B91</f>
        <v>813195-813196</v>
      </c>
      <c r="D53" s="59">
        <f>'2025 结构设计订单 '!C91</f>
        <v>150</v>
      </c>
      <c r="E53" s="59">
        <f>'2025 结构设计订单 '!D91</f>
        <v>225</v>
      </c>
      <c r="F53" s="62" t="str">
        <f>'2025 结构设计订单 '!E91</f>
        <v>Senegal Pole</v>
      </c>
      <c r="G53" s="60" t="str">
        <f>'2025 结构设计订单 '!F91</f>
        <v>出口</v>
      </c>
      <c r="H53" s="59">
        <f>'2025 结构设计订单 '!G91</f>
        <v>2</v>
      </c>
      <c r="I53" s="61" t="str">
        <f>IF((_xlfn.XLOOKUP($C53,'2025 结构设计订单 '!$B:$B,'2025 结构设计订单 '!H:H))=0," ",_xlfn.XLOOKUP($C53,'2025 结构设计订单 '!$B:$B,'2025 结构设计订单 '!H:H))</f>
        <v>郭运波</v>
      </c>
      <c r="J53" s="61" t="str">
        <f>IF((_xlfn.XLOOKUP($C53,'2025 结构设计订单 '!$B:$B,'2025 结构设计订单 '!I:I))=0," ",_xlfn.XLOOKUP($C53,'2025 结构设计订单 '!$B:$B,'2025 结构设计订单 '!I:I))</f>
        <v>司林杰</v>
      </c>
      <c r="K53" s="67">
        <f>IF((_xlfn.XLOOKUP($C53,'2025 结构设计订单 '!$B:$B,'2025 结构设计订单 '!J:J))=0," ",_xlfn.XLOOKUP($C53,'2025 结构设计订单 '!$B:$B,'2025 结构设计订单 '!J:J))</f>
        <v>45940</v>
      </c>
      <c r="L53" s="61" t="str">
        <f>IF((_xlfn.XLOOKUP($C53,'2025 结构设计订单 '!$B:$B,'2025 结构设计订单 '!K:K))=0," ",_xlfn.XLOOKUP($C53,'2025 结构设计订单 '!$B:$B,'2025 结构设计订单 '!K:K))</f>
        <v xml:space="preserve"> </v>
      </c>
      <c r="M53" s="67">
        <f>IF((_xlfn.XLOOKUP($C53,'2025 结构设计订单 '!$B:$B,'2025 结构设计订单 '!M:M))=0," ",_xlfn.XLOOKUP($C53,'2025 结构设计订单 '!$B:$B,'2025 结构设计订单 '!M:M))</f>
        <v>45960</v>
      </c>
      <c r="N53" s="67" t="str">
        <f>IF((_xlfn.XLOOKUP($C53,'2025 结构设计订单 '!$B:$B,'2025 结构设计订单 '!N:N))=0," ",_xlfn.XLOOKUP($C53,'2025 结构设计订单 '!$B:$B,'2025 结构设计订单 '!N:N))</f>
        <v xml:space="preserve"> </v>
      </c>
    </row>
    <row r="54" spans="2:14" ht="15.75">
      <c r="B54" s="58">
        <v>51</v>
      </c>
      <c r="C54" s="54">
        <f>'2025 结构设计订单 '!B92</f>
        <v>813141</v>
      </c>
      <c r="D54" s="59">
        <f>'2025 结构设计订单 '!C92</f>
        <v>66</v>
      </c>
      <c r="E54" s="59">
        <f>'2025 结构设计订单 '!D92</f>
        <v>230</v>
      </c>
      <c r="F54" s="62" t="str">
        <f>'2025 结构设计订单 '!E92</f>
        <v>沙特Aramco Asia备用变项目</v>
      </c>
      <c r="G54" s="60" t="str">
        <f>'2025 结构设计订单 '!F92</f>
        <v>出口</v>
      </c>
      <c r="H54" s="59">
        <f>'2025 结构设计订单 '!G92</f>
        <v>1</v>
      </c>
      <c r="I54" s="61" t="str">
        <f>IF((_xlfn.XLOOKUP($C54,'2025 结构设计订单 '!$B:$B,'2025 结构设计订单 '!H:H))=0," ",_xlfn.XLOOKUP($C54,'2025 结构设计订单 '!$B:$B,'2025 结构设计订单 '!H:H))</f>
        <v>陈振东</v>
      </c>
      <c r="J54" s="61" t="str">
        <f>IF((_xlfn.XLOOKUP($C54,'2025 结构设计订单 '!$B:$B,'2025 结构设计订单 '!I:I))=0," ",_xlfn.XLOOKUP($C54,'2025 结构设计订单 '!$B:$B,'2025 结构设计订单 '!I:I))</f>
        <v>司林杰</v>
      </c>
      <c r="K54" s="67">
        <f>IF((_xlfn.XLOOKUP($C54,'2025 结构设计订单 '!$B:$B,'2025 结构设计订单 '!J:J))=0," ",_xlfn.XLOOKUP($C54,'2025 结构设计订单 '!$B:$B,'2025 结构设计订单 '!J:J))</f>
        <v>45930</v>
      </c>
      <c r="L54" s="61" t="str">
        <f>IF((_xlfn.XLOOKUP($C54,'2025 结构设计订单 '!$B:$B,'2025 结构设计订单 '!K:K))=0," ",_xlfn.XLOOKUP($C54,'2025 结构设计订单 '!$B:$B,'2025 结构设计订单 '!K:K))</f>
        <v xml:space="preserve"> </v>
      </c>
      <c r="M54" s="67">
        <f>IF((_xlfn.XLOOKUP($C54,'2025 结构设计订单 '!$B:$B,'2025 结构设计订单 '!M:M))=0," ",_xlfn.XLOOKUP($C54,'2025 结构设计订单 '!$B:$B,'2025 结构设计订单 '!M:M))</f>
        <v>45945</v>
      </c>
      <c r="N54" s="67" t="str">
        <f>IF((_xlfn.XLOOKUP($C54,'2025 结构设计订单 '!$B:$B,'2025 结构设计订单 '!N:N))=0," ",_xlfn.XLOOKUP($C54,'2025 结构设计订单 '!$B:$B,'2025 结构设计订单 '!N:N))</f>
        <v xml:space="preserve"> </v>
      </c>
    </row>
    <row r="55" spans="2:14" ht="15.75">
      <c r="B55" s="58">
        <v>52</v>
      </c>
      <c r="C55" s="54" t="str">
        <f>'2025 结构设计订单 '!B94</f>
        <v>813060/813061</v>
      </c>
      <c r="D55" s="59">
        <f>'2025 结构设计订单 '!C94</f>
        <v>120</v>
      </c>
      <c r="E55" s="59">
        <f>'2025 结构设计订单 '!D94</f>
        <v>220</v>
      </c>
      <c r="F55" s="62" t="str">
        <f>'2025 结构设计订单 '!E94</f>
        <v>Peru</v>
      </c>
      <c r="G55" s="60" t="str">
        <f>'2025 结构设计订单 '!F94</f>
        <v>出口</v>
      </c>
      <c r="H55" s="59">
        <f>'2025 结构设计订单 '!G94</f>
        <v>2</v>
      </c>
      <c r="I55" s="61" t="str">
        <f>IF((_xlfn.XLOOKUP($C55,'2025 结构设计订单 '!$B:$B,'2025 结构设计订单 '!H:H))=0," ",_xlfn.XLOOKUP($C55,'2025 结构设计订单 '!$B:$B,'2025 结构设计订单 '!H:H))</f>
        <v>张金环</v>
      </c>
      <c r="J55" s="61" t="str">
        <f>IF((_xlfn.XLOOKUP($C55,'2025 结构设计订单 '!$B:$B,'2025 结构设计订单 '!I:I))=0," ",_xlfn.XLOOKUP($C55,'2025 结构设计订单 '!$B:$B,'2025 结构设计订单 '!I:I))</f>
        <v>司林杰</v>
      </c>
      <c r="K55" s="67">
        <f>IF((_xlfn.XLOOKUP($C55,'2025 结构设计订单 '!$B:$B,'2025 结构设计订单 '!J:J))=0," ",_xlfn.XLOOKUP($C55,'2025 结构设计订单 '!$B:$B,'2025 结构设计订单 '!J:J))</f>
        <v>45945</v>
      </c>
      <c r="L55" s="61" t="str">
        <f>IF((_xlfn.XLOOKUP($C55,'2025 结构设计订单 '!$B:$B,'2025 结构设计订单 '!K:K))=0," ",_xlfn.XLOOKUP($C55,'2025 结构设计订单 '!$B:$B,'2025 结构设计订单 '!K:K))</f>
        <v xml:space="preserve"> </v>
      </c>
      <c r="M55" s="67" t="str">
        <f>IF((_xlfn.XLOOKUP($C55,'2025 结构设计订单 '!$B:$B,'2025 结构设计订单 '!M:M))=0," ",_xlfn.XLOOKUP($C55,'2025 结构设计订单 '!$B:$B,'2025 结构设计订单 '!M:M))</f>
        <v xml:space="preserve"> </v>
      </c>
      <c r="N55" s="67" t="str">
        <f>IF((_xlfn.XLOOKUP($C55,'2025 结构设计订单 '!$B:$B,'2025 结构设计订单 '!N:N))=0," ",_xlfn.XLOOKUP($C55,'2025 结构设计订单 '!$B:$B,'2025 结构设计订单 '!N:N))</f>
        <v xml:space="preserve"> </v>
      </c>
    </row>
    <row r="56" spans="2:14" ht="15.75" hidden="1">
      <c r="B56" s="58">
        <v>53</v>
      </c>
      <c r="C56" s="54" t="str">
        <f>'2025 结构设计订单 '!B95</f>
        <v>813240/813241</v>
      </c>
      <c r="D56" s="59">
        <f>'2025 结构设计订单 '!C95</f>
        <v>175</v>
      </c>
      <c r="E56" s="59">
        <f>'2025 结构设计订单 '!D95</f>
        <v>220</v>
      </c>
      <c r="F56" s="62" t="str">
        <f>'2025 结构设计订单 '!E95</f>
        <v xml:space="preserve">UAE ADNOC </v>
      </c>
      <c r="G56" s="60" t="str">
        <f>'2025 结构设计订单 '!F95</f>
        <v>出口</v>
      </c>
      <c r="H56" s="59">
        <f>'2025 结构设计订单 '!G95</f>
        <v>2</v>
      </c>
      <c r="I56" s="61" t="str">
        <f>IF((_xlfn.XLOOKUP($C56,'2025 结构设计订单 '!$B:$B,'2025 结构设计订单 '!H:H))=0," ",_xlfn.XLOOKUP($C56,'2025 结构设计订单 '!$B:$B,'2025 结构设计订单 '!H:H))</f>
        <v>李咏梅</v>
      </c>
      <c r="J56" s="61" t="str">
        <f>IF((_xlfn.XLOOKUP($C56,'2025 结构设计订单 '!$B:$B,'2025 结构设计订单 '!I:I))=0," ",_xlfn.XLOOKUP($C56,'2025 结构设计订单 '!$B:$B,'2025 结构设计订单 '!I:I))</f>
        <v>司林杰</v>
      </c>
      <c r="K56" s="67">
        <f>IF((_xlfn.XLOOKUP($C56,'2025 结构设计订单 '!$B:$B,'2025 结构设计订单 '!J:J))=0," ",_xlfn.XLOOKUP($C56,'2025 结构设计订单 '!$B:$B,'2025 结构设计订单 '!J:J))</f>
        <v>45947</v>
      </c>
      <c r="L56" s="61" t="str">
        <f>IF((_xlfn.XLOOKUP($C56,'2025 结构设计订单 '!$B:$B,'2025 结构设计订单 '!K:K))=0," ",_xlfn.XLOOKUP($C56,'2025 结构设计订单 '!$B:$B,'2025 结构设计订单 '!K:K))</f>
        <v xml:space="preserve"> </v>
      </c>
      <c r="M56" s="67">
        <f>IF((_xlfn.XLOOKUP($C56,'2025 结构设计订单 '!$B:$B,'2025 结构设计订单 '!M:M))=0," ",_xlfn.XLOOKUP($C56,'2025 结构设计订单 '!$B:$B,'2025 结构设计订单 '!M:M))</f>
        <v>45947</v>
      </c>
      <c r="N56" s="67" t="str">
        <f>IF((_xlfn.XLOOKUP($C56,'2025 结构设计订单 '!$B:$B,'2025 结构设计订单 '!N:N))=0," ",_xlfn.XLOOKUP($C56,'2025 结构设计订单 '!$B:$B,'2025 结构设计订单 '!N:N))</f>
        <v xml:space="preserve"> </v>
      </c>
    </row>
    <row r="57" spans="2:14" ht="15.75" hidden="1">
      <c r="B57" s="58">
        <v>54</v>
      </c>
      <c r="C57" s="54">
        <f>'2025 结构设计订单 '!B96</f>
        <v>813242</v>
      </c>
      <c r="D57" s="59">
        <f>'2025 结构设计订单 '!C96</f>
        <v>125</v>
      </c>
      <c r="E57" s="59">
        <f>'2025 结构设计订单 '!D96</f>
        <v>400</v>
      </c>
      <c r="F57" s="62" t="str">
        <f>'2025 结构设计订单 '!E96</f>
        <v>Romania_ Vacareni WPP</v>
      </c>
      <c r="G57" s="60" t="str">
        <f>'2025 结构设计订单 '!F96</f>
        <v>出口</v>
      </c>
      <c r="H57" s="59">
        <f>'2025 结构设计订单 '!G96</f>
        <v>1</v>
      </c>
      <c r="I57" s="61" t="str">
        <f>IF((_xlfn.XLOOKUP($C57,'2025 结构设计订单 '!$B:$B,'2025 结构设计订单 '!H:H))=0," ",_xlfn.XLOOKUP($C57,'2025 结构设计订单 '!$B:$B,'2025 结构设计订单 '!H:H))</f>
        <v>戚彬</v>
      </c>
      <c r="J57" s="61" t="str">
        <f>IF((_xlfn.XLOOKUP($C57,'2025 结构设计订单 '!$B:$B,'2025 结构设计订单 '!I:I))=0," ",_xlfn.XLOOKUP($C57,'2025 结构设计订单 '!$B:$B,'2025 结构设计订单 '!I:I))</f>
        <v>王芳</v>
      </c>
      <c r="K57" s="67">
        <f>IF((_xlfn.XLOOKUP($C57,'2025 结构设计订单 '!$B:$B,'2025 结构设计订单 '!J:J))=0," ",_xlfn.XLOOKUP($C57,'2025 结构设计订单 '!$B:$B,'2025 结构设计订单 '!J:J))</f>
        <v>45950</v>
      </c>
      <c r="L57" s="61" t="str">
        <f>IF((_xlfn.XLOOKUP($C57,'2025 结构设计订单 '!$B:$B,'2025 结构设计订单 '!K:K))=0," ",_xlfn.XLOOKUP($C57,'2025 结构设计订单 '!$B:$B,'2025 结构设计订单 '!K:K))</f>
        <v xml:space="preserve"> </v>
      </c>
      <c r="M57" s="67" t="str">
        <f>IF((_xlfn.XLOOKUP($C57,'2025 结构设计订单 '!$B:$B,'2025 结构设计订单 '!M:M))=0," ",_xlfn.XLOOKUP($C57,'2025 结构设计订单 '!$B:$B,'2025 结构设计订单 '!M:M))</f>
        <v xml:space="preserve"> </v>
      </c>
      <c r="N57" s="67" t="str">
        <f>IF((_xlfn.XLOOKUP($C57,'2025 结构设计订单 '!$B:$B,'2025 结构设计订单 '!N:N))=0," ",_xlfn.XLOOKUP($C57,'2025 结构设计订单 '!$B:$B,'2025 结构设计订单 '!N:N))</f>
        <v xml:space="preserve"> </v>
      </c>
    </row>
    <row r="58" spans="2:14" ht="15.75" hidden="1">
      <c r="B58" s="58">
        <v>55</v>
      </c>
      <c r="C58" s="54" t="str">
        <f>'2025 结构设计订单 '!B97</f>
        <v>8RE011</v>
      </c>
      <c r="D58" s="59">
        <f>'2025 结构设计订单 '!C97</f>
        <v>150</v>
      </c>
      <c r="E58" s="59">
        <f>'2025 结构设计订单 '!D97</f>
        <v>380</v>
      </c>
      <c r="F58" s="62" t="str">
        <f>'2025 结构设计订单 '!E97</f>
        <v>Saudi Arabia</v>
      </c>
      <c r="G58" s="60" t="str">
        <f>'2025 结构设计订单 '!F97</f>
        <v>出口</v>
      </c>
      <c r="H58" s="59">
        <f>'2025 结构设计订单 '!G97</f>
        <v>6</v>
      </c>
      <c r="I58" s="61" t="str">
        <f>IF((_xlfn.XLOOKUP($C58,'2025 结构设计订单 '!$B:$B,'2025 结构设计订单 '!H:H))=0," ",_xlfn.XLOOKUP($C58,'2025 结构设计订单 '!$B:$B,'2025 结构设计订单 '!H:H))</f>
        <v>郭运波</v>
      </c>
      <c r="J58" s="61" t="str">
        <f>IF((_xlfn.XLOOKUP($C58,'2025 结构设计订单 '!$B:$B,'2025 结构设计订单 '!I:I))=0," ",_xlfn.XLOOKUP($C58,'2025 结构设计订单 '!$B:$B,'2025 结构设计订单 '!I:I))</f>
        <v>司林杰</v>
      </c>
      <c r="K58" s="67">
        <f>IF((_xlfn.XLOOKUP($C58,'2025 结构设计订单 '!$B:$B,'2025 结构设计订单 '!J:J))=0," ",_xlfn.XLOOKUP($C58,'2025 结构设计订单 '!$B:$B,'2025 结构设计订单 '!J:J))</f>
        <v>45955</v>
      </c>
      <c r="L58" s="61" t="str">
        <f>IF((_xlfn.XLOOKUP($C58,'2025 结构设计订单 '!$B:$B,'2025 结构设计订单 '!K:K))=0," ",_xlfn.XLOOKUP($C58,'2025 结构设计订单 '!$B:$B,'2025 结构设计订单 '!K:K))</f>
        <v xml:space="preserve"> </v>
      </c>
      <c r="M58" s="67">
        <f>IF((_xlfn.XLOOKUP($C58,'2025 结构设计订单 '!$B:$B,'2025 结构设计订单 '!M:M))=0," ",_xlfn.XLOOKUP($C58,'2025 结构设计订单 '!$B:$B,'2025 结构设计订单 '!M:M))</f>
        <v>45951</v>
      </c>
      <c r="N58" s="67" t="str">
        <f>IF((_xlfn.XLOOKUP($C58,'2025 结构设计订单 '!$B:$B,'2025 结构设计订单 '!N:N))=0," ",_xlfn.XLOOKUP($C58,'2025 结构设计订单 '!$B:$B,'2025 结构设计订单 '!N:N))</f>
        <v xml:space="preserve"> </v>
      </c>
    </row>
    <row r="59" spans="2:14" ht="15.75" hidden="1">
      <c r="B59" s="58">
        <v>55</v>
      </c>
      <c r="C59" s="54" t="str">
        <f>'2025 结构设计订单 '!B98</f>
        <v>813235/813236</v>
      </c>
      <c r="D59" s="59">
        <f>'2025 结构设计订单 '!C98</f>
        <v>100</v>
      </c>
      <c r="E59" s="59">
        <f>'2025 结构设计订单 '!D98</f>
        <v>230</v>
      </c>
      <c r="F59" s="62" t="str">
        <f>'2025 结构设计订单 '!E98</f>
        <v>泰国西门子EPC 台湾 reactor</v>
      </c>
      <c r="G59" s="60" t="str">
        <f>'2025 结构设计订单 '!F98</f>
        <v>出口</v>
      </c>
      <c r="H59" s="59">
        <f>'2025 结构设计订单 '!G98</f>
        <v>2</v>
      </c>
      <c r="I59" s="61" t="str">
        <f>IF((_xlfn.XLOOKUP($C59,'2025 结构设计订单 '!$B:$B,'2025 结构设计订单 '!H:H))=0," ",_xlfn.XLOOKUP($C59,'2025 结构设计订单 '!$B:$B,'2025 结构设计订单 '!H:H))</f>
        <v>戚彬</v>
      </c>
      <c r="J59" s="61" t="str">
        <f>IF((_xlfn.XLOOKUP($C59,'2025 结构设计订单 '!$B:$B,'2025 结构设计订单 '!I:I))=0," ",_xlfn.XLOOKUP($C59,'2025 结构设计订单 '!$B:$B,'2025 结构设计订单 '!I:I))</f>
        <v>王芳</v>
      </c>
      <c r="K59" s="67">
        <f>IF((_xlfn.XLOOKUP($C59,'2025 结构设计订单 '!$B:$B,'2025 结构设计订单 '!J:J))=0," ",_xlfn.XLOOKUP($C59,'2025 结构设计订单 '!$B:$B,'2025 结构设计订单 '!J:J))</f>
        <v>45960</v>
      </c>
      <c r="L59" s="61" t="str">
        <f>IF((_xlfn.XLOOKUP($C59,'2025 结构设计订单 '!$B:$B,'2025 结构设计订单 '!K:K))=0," ",_xlfn.XLOOKUP($C59,'2025 结构设计订单 '!$B:$B,'2025 结构设计订单 '!K:K))</f>
        <v xml:space="preserve"> </v>
      </c>
      <c r="M59" s="67" t="str">
        <f>IF((_xlfn.XLOOKUP($C59,'2025 结构设计订单 '!$B:$B,'2025 结构设计订单 '!M:M))=0," ",_xlfn.XLOOKUP($C59,'2025 结构设计订单 '!$B:$B,'2025 结构设计订单 '!M:M))</f>
        <v xml:space="preserve"> </v>
      </c>
      <c r="N59" s="67" t="str">
        <f>IF((_xlfn.XLOOKUP($C59,'2025 结构设计订单 '!$B:$B,'2025 结构设计订单 '!N:N))=0," ",_xlfn.XLOOKUP($C59,'2025 结构设计订单 '!$B:$B,'2025 结构设计订单 '!N:N))</f>
        <v xml:space="preserve"> </v>
      </c>
    </row>
    <row r="60" spans="2:14" ht="15.75" hidden="1">
      <c r="B60" s="58">
        <v>55</v>
      </c>
      <c r="C60" s="54" t="str">
        <f>'2025 结构设计订单 '!B99</f>
        <v>813197-813198</v>
      </c>
      <c r="D60" s="59">
        <f>'2025 结构设计订单 '!C99</f>
        <v>150</v>
      </c>
      <c r="E60" s="59">
        <f>'2025 结构设计订单 '!D99</f>
        <v>230</v>
      </c>
      <c r="F60" s="62" t="str">
        <f>'2025 结构设计订单 '!E99</f>
        <v>Canada_SaskPower</v>
      </c>
      <c r="G60" s="60" t="str">
        <f>'2025 结构设计订单 '!F99</f>
        <v>出口</v>
      </c>
      <c r="H60" s="59">
        <f>'2025 结构设计订单 '!G99</f>
        <v>2</v>
      </c>
      <c r="I60" s="61" t="str">
        <f>IF((_xlfn.XLOOKUP($C60,'2025 结构设计订单 '!$B:$B,'2025 结构设计订单 '!H:H))=0," ",_xlfn.XLOOKUP($C60,'2025 结构设计订单 '!$B:$B,'2025 结构设计订单 '!H:H))</f>
        <v>李咏梅</v>
      </c>
      <c r="J60" s="61" t="str">
        <f>IF((_xlfn.XLOOKUP($C60,'2025 结构设计订单 '!$B:$B,'2025 结构设计订单 '!I:I))=0," ",_xlfn.XLOOKUP($C60,'2025 结构设计订单 '!$B:$B,'2025 结构设计订单 '!I:I))</f>
        <v>王芳</v>
      </c>
      <c r="K60" s="67">
        <f>IF((_xlfn.XLOOKUP($C60,'2025 结构设计订单 '!$B:$B,'2025 结构设计订单 '!J:J))=0," ",_xlfn.XLOOKUP($C60,'2025 结构设计订单 '!$B:$B,'2025 结构设计订单 '!J:J))</f>
        <v>45960</v>
      </c>
      <c r="L60" s="61" t="str">
        <f>IF((_xlfn.XLOOKUP($C60,'2025 结构设计订单 '!$B:$B,'2025 结构设计订单 '!K:K))=0," ",_xlfn.XLOOKUP($C60,'2025 结构设计订单 '!$B:$B,'2025 结构设计订单 '!K:K))</f>
        <v xml:space="preserve"> </v>
      </c>
      <c r="M60" s="67" t="str">
        <f>IF((_xlfn.XLOOKUP($C60,'2025 结构设计订单 '!$B:$B,'2025 结构设计订单 '!M:M))=0," ",_xlfn.XLOOKUP($C60,'2025 结构设计订单 '!$B:$B,'2025 结构设计订单 '!M:M))</f>
        <v xml:space="preserve"> </v>
      </c>
      <c r="N60" s="67" t="str">
        <f>IF((_xlfn.XLOOKUP($C60,'2025 结构设计订单 '!$B:$B,'2025 结构设计订单 '!N:N))=0," ",_xlfn.XLOOKUP($C60,'2025 结构设计订单 '!$B:$B,'2025 结构设计订单 '!N:N))</f>
        <v xml:space="preserve"> </v>
      </c>
    </row>
    <row r="61" spans="2:14" ht="15.75" hidden="1">
      <c r="B61" s="58">
        <v>47</v>
      </c>
      <c r="C61" s="54">
        <v>850621</v>
      </c>
      <c r="D61" s="59">
        <v>180</v>
      </c>
      <c r="E61" s="59">
        <v>220</v>
      </c>
      <c r="F61" s="62" t="s">
        <v>91</v>
      </c>
      <c r="G61" s="60" t="s">
        <v>125</v>
      </c>
      <c r="H61" s="59">
        <v>1</v>
      </c>
      <c r="I61" s="61" t="s">
        <v>16</v>
      </c>
      <c r="J61" s="61" t="s">
        <v>175</v>
      </c>
      <c r="K61" s="67" t="str">
        <f>IF((_xlfn.XLOOKUP($C61,'2025 结构设计订单 '!$B:$B,'2025 结构设计订单 '!J:J))=0," ",_xlfn.XLOOKUP($C61,'2025 结构设计订单 '!$B:$B,'2025 结构设计订单 '!J:J))</f>
        <v xml:space="preserve"> </v>
      </c>
      <c r="L61" s="61" t="str">
        <f>IF((_xlfn.XLOOKUP($C61,'2025 结构设计订单 '!$B:$B,'2025 结构设计订单 '!K:K))=0," ",_xlfn.XLOOKUP($C61,'2025 结构设计订单 '!$B:$B,'2025 结构设计订单 '!K:K))</f>
        <v xml:space="preserve"> </v>
      </c>
      <c r="M61" s="67" t="str">
        <f>IF((_xlfn.XLOOKUP($C61,'2025 结构设计订单 '!$B:$B,'2025 结构设计订单 '!M:M))=0," ",_xlfn.XLOOKUP($C61,'2025 结构设计订单 '!$B:$B,'2025 结构设计订单 '!M:M))</f>
        <v xml:space="preserve"> </v>
      </c>
      <c r="N61" s="67" t="str">
        <f>IF((_xlfn.XLOOKUP($C61,'2025 结构设计订单 '!$B:$B,'2025 结构设计订单 '!N:N))=0," ",_xlfn.XLOOKUP($C61,'2025 结构设计订单 '!$B:$B,'2025 结构设计订单 '!N:N))</f>
        <v xml:space="preserve"> </v>
      </c>
    </row>
  </sheetData>
  <autoFilter ref="B4:N61" xr:uid="{2F63C08F-C3BF-4543-BF70-E18172A19B5E}">
    <filterColumn colId="7">
      <filters>
        <filter val="张金环"/>
        <filter val="陈振东"/>
      </filters>
    </filterColumn>
    <sortState xmlns:xlrd2="http://schemas.microsoft.com/office/spreadsheetml/2017/richdata2" ref="B6:N61">
      <sortCondition ref="K10:K61"/>
    </sortState>
  </autoFilter>
  <mergeCells count="11">
    <mergeCell ref="M3:N3"/>
    <mergeCell ref="B2:N2"/>
    <mergeCell ref="B3:B4"/>
    <mergeCell ref="C3:C4"/>
    <mergeCell ref="D3:D4"/>
    <mergeCell ref="E3:E4"/>
    <mergeCell ref="F3:F4"/>
    <mergeCell ref="G3:G4"/>
    <mergeCell ref="H3:H4"/>
    <mergeCell ref="I3:J3"/>
    <mergeCell ref="K3:L3"/>
  </mergeCells>
  <phoneticPr fontId="11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0A96-D529-471F-93A5-2802B5BEF3A2}">
  <dimension ref="A1:M57"/>
  <sheetViews>
    <sheetView workbookViewId="0">
      <selection activeCell="V20" sqref="V20"/>
    </sheetView>
  </sheetViews>
  <sheetFormatPr defaultRowHeight="14.25"/>
  <sheetData>
    <row r="1" spans="1:13">
      <c r="A1" s="180" t="str" cm="1">
        <f t="array" aca="1" ref="A1" ca="1">A1:A1</f>
        <v>影响设计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3">
      <c r="A2" s="180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1:13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</row>
    <row r="4" spans="1:13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</row>
    <row r="5" spans="1:13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</row>
    <row r="6" spans="1:13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</row>
    <row r="7" spans="1:13">
      <c r="A7" s="187"/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1:13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</row>
    <row r="9" spans="1:13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</row>
    <row r="10" spans="1:13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</row>
    <row r="11" spans="1:13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</row>
    <row r="12" spans="1:13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</row>
    <row r="13" spans="1:13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</row>
    <row r="14" spans="1:13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</row>
    <row r="15" spans="1:13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</row>
    <row r="16" spans="1:13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</row>
    <row r="17" spans="1:13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</row>
    <row r="18" spans="1:13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</row>
    <row r="19" spans="1:13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</row>
    <row r="20" spans="1:13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</row>
    <row r="21" spans="1:13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</row>
    <row r="22" spans="1:13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</row>
    <row r="23" spans="1:13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1:13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</row>
    <row r="25" spans="1:13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</row>
    <row r="26" spans="1:13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</row>
    <row r="27" spans="1:13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</row>
    <row r="28" spans="1:13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</row>
    <row r="29" spans="1:13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</row>
    <row r="30" spans="1:13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</row>
    <row r="31" spans="1:13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</row>
    <row r="32" spans="1:13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</row>
    <row r="33" spans="1:1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</row>
    <row r="34" spans="1:13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1:13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</row>
    <row r="36" spans="1:13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</row>
    <row r="37" spans="1:13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</row>
    <row r="38" spans="1:13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</row>
    <row r="39" spans="1:13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</row>
    <row r="40" spans="1:13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</row>
    <row r="41" spans="1:13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</row>
    <row r="42" spans="1:13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</row>
    <row r="43" spans="1:1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</row>
    <row r="44" spans="1:13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</row>
    <row r="45" spans="1:13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</row>
    <row r="46" spans="1:13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</row>
    <row r="47" spans="1:13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</row>
    <row r="48" spans="1:13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</row>
    <row r="49" spans="1:13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</row>
    <row r="50" spans="1:13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</row>
    <row r="51" spans="1:13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</row>
    <row r="52" spans="1:13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</row>
    <row r="53" spans="1:1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</row>
    <row r="54" spans="1:13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</row>
    <row r="55" spans="1:13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</row>
    <row r="56" spans="1:13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</row>
    <row r="57" spans="1:13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2DEB-26EE-4435-B8DC-2C3E0F1AEA32}">
  <dimension ref="A3:H47"/>
  <sheetViews>
    <sheetView zoomScale="40" zoomScaleNormal="40" workbookViewId="0">
      <selection activeCell="C16" sqref="C16"/>
    </sheetView>
  </sheetViews>
  <sheetFormatPr defaultColWidth="8.265625" defaultRowHeight="25.5" customHeight="1"/>
  <cols>
    <col min="1" max="1" width="8.265625" style="1"/>
    <col min="2" max="2" width="16.265625" style="1" bestFit="1" customWidth="1"/>
    <col min="3" max="3" width="58.265625" style="1" bestFit="1" customWidth="1"/>
    <col min="4" max="4" width="28.265625" style="1" customWidth="1"/>
    <col min="5" max="5" width="20.265625" style="3" customWidth="1"/>
    <col min="6" max="7" width="27.265625" style="1" bestFit="1" customWidth="1"/>
    <col min="8" max="8" width="81.265625" style="2" customWidth="1"/>
    <col min="9" max="16384" width="8.265625" style="1"/>
  </cols>
  <sheetData>
    <row r="3" spans="1:8" ht="25.5" customHeight="1">
      <c r="D3" s="34"/>
      <c r="E3" s="34"/>
      <c r="F3" s="34"/>
      <c r="G3" s="34"/>
    </row>
    <row r="4" spans="1:8" ht="25.5" customHeight="1">
      <c r="D4" s="34"/>
      <c r="E4" s="34"/>
      <c r="F4" s="34"/>
      <c r="G4" s="34"/>
    </row>
    <row r="5" spans="1:8" ht="25.5" customHeight="1">
      <c r="D5" s="34"/>
      <c r="E5" s="34"/>
      <c r="F5" s="34"/>
      <c r="G5" s="34"/>
    </row>
    <row r="6" spans="1:8" ht="20.25" customHeight="1">
      <c r="D6" s="34"/>
      <c r="E6" s="34"/>
      <c r="F6" s="34"/>
      <c r="G6" s="34"/>
    </row>
    <row r="7" spans="1:8" ht="20.25" customHeight="1">
      <c r="D7" s="34"/>
      <c r="E7" s="34"/>
      <c r="F7" s="34"/>
      <c r="G7" s="34"/>
    </row>
    <row r="8" spans="1:8" ht="25.5" customHeight="1" thickBot="1">
      <c r="B8" s="35"/>
      <c r="C8" s="35"/>
      <c r="D8" s="35"/>
      <c r="E8" s="36"/>
      <c r="F8" s="35"/>
      <c r="G8" s="35"/>
      <c r="H8" s="37"/>
    </row>
    <row r="9" spans="1:8" s="5" customFormat="1" ht="33" customHeight="1" thickBot="1">
      <c r="A9" s="4"/>
      <c r="B9" s="275" t="s">
        <v>0</v>
      </c>
      <c r="C9" s="277" t="s">
        <v>1</v>
      </c>
      <c r="D9" s="281" t="s">
        <v>21</v>
      </c>
      <c r="E9" s="279" t="s">
        <v>2</v>
      </c>
      <c r="F9" s="283" t="s">
        <v>19</v>
      </c>
      <c r="G9" s="284"/>
      <c r="H9" s="273" t="s">
        <v>3</v>
      </c>
    </row>
    <row r="10" spans="1:8" s="5" customFormat="1" ht="57.75" customHeight="1" thickBot="1">
      <c r="A10" s="4"/>
      <c r="B10" s="276"/>
      <c r="C10" s="278"/>
      <c r="D10" s="282"/>
      <c r="E10" s="280"/>
      <c r="F10" s="6" t="s">
        <v>4</v>
      </c>
      <c r="G10" s="6" t="s">
        <v>5</v>
      </c>
      <c r="H10" s="274"/>
    </row>
    <row r="11" spans="1:8" ht="60" customHeight="1">
      <c r="B11" s="23"/>
      <c r="C11" s="24"/>
      <c r="D11" s="24"/>
      <c r="E11" s="25"/>
      <c r="F11" s="26"/>
      <c r="G11" s="27"/>
      <c r="H11" s="28"/>
    </row>
    <row r="12" spans="1:8" ht="60" customHeight="1">
      <c r="B12" s="23"/>
      <c r="C12" s="24"/>
      <c r="D12" s="24"/>
      <c r="E12" s="25"/>
      <c r="F12" s="26"/>
      <c r="G12" s="26"/>
      <c r="H12" s="28"/>
    </row>
    <row r="13" spans="1:8" ht="60" customHeight="1">
      <c r="B13" s="29"/>
      <c r="C13" s="30"/>
      <c r="D13" s="30"/>
      <c r="E13" s="31"/>
      <c r="F13" s="32"/>
      <c r="G13" s="26"/>
      <c r="H13" s="28"/>
    </row>
    <row r="14" spans="1:8" ht="60" customHeight="1">
      <c r="B14" s="29"/>
      <c r="C14" s="30"/>
      <c r="D14" s="30"/>
      <c r="E14" s="31"/>
      <c r="F14" s="32"/>
      <c r="G14" s="32"/>
      <c r="H14" s="33"/>
    </row>
    <row r="15" spans="1:8" ht="60" customHeight="1">
      <c r="B15" s="23"/>
      <c r="C15" s="24"/>
      <c r="D15" s="24"/>
      <c r="E15" s="25"/>
      <c r="F15" s="26"/>
      <c r="G15" s="26"/>
      <c r="H15" s="28"/>
    </row>
    <row r="16" spans="1:8" ht="60" customHeight="1">
      <c r="B16" s="23"/>
      <c r="C16" s="24"/>
      <c r="D16" s="24"/>
      <c r="E16" s="25"/>
      <c r="F16" s="26"/>
      <c r="G16" s="26"/>
      <c r="H16" s="28"/>
    </row>
    <row r="17" spans="2:8" ht="60" customHeight="1">
      <c r="B17" s="23"/>
      <c r="C17" s="24"/>
      <c r="D17" s="24"/>
      <c r="E17" s="25"/>
      <c r="F17" s="26"/>
      <c r="G17" s="26"/>
      <c r="H17" s="28"/>
    </row>
    <row r="18" spans="2:8" ht="60" customHeight="1">
      <c r="B18" s="29"/>
      <c r="C18" s="30"/>
      <c r="D18" s="30"/>
      <c r="E18" s="31"/>
      <c r="F18" s="32"/>
      <c r="G18" s="32"/>
      <c r="H18" s="33"/>
    </row>
    <row r="19" spans="2:8" ht="60" customHeight="1">
      <c r="B19" s="29"/>
      <c r="C19" s="30"/>
      <c r="D19" s="30"/>
      <c r="E19" s="31"/>
      <c r="F19" s="32"/>
      <c r="G19" s="32"/>
      <c r="H19" s="33"/>
    </row>
    <row r="20" spans="2:8" ht="60" customHeight="1">
      <c r="B20" s="29"/>
      <c r="C20" s="30"/>
      <c r="D20" s="30"/>
      <c r="E20" s="31"/>
      <c r="F20" s="32"/>
      <c r="G20" s="32"/>
      <c r="H20" s="33"/>
    </row>
    <row r="21" spans="2:8" ht="60" customHeight="1">
      <c r="B21" s="29"/>
      <c r="C21" s="30"/>
      <c r="D21" s="30"/>
      <c r="E21" s="31"/>
      <c r="F21" s="32"/>
      <c r="G21" s="32"/>
      <c r="H21" s="33"/>
    </row>
    <row r="22" spans="2:8" ht="60" customHeight="1">
      <c r="B22" s="29"/>
      <c r="C22" s="30"/>
      <c r="D22" s="30"/>
      <c r="E22" s="31"/>
      <c r="F22" s="32"/>
      <c r="G22" s="32"/>
      <c r="H22" s="33"/>
    </row>
    <row r="23" spans="2:8" ht="60" customHeight="1">
      <c r="B23" s="29"/>
      <c r="C23" s="30"/>
      <c r="D23" s="30"/>
      <c r="E23" s="31"/>
      <c r="F23" s="32"/>
      <c r="G23" s="32"/>
      <c r="H23" s="33"/>
    </row>
    <row r="24" spans="2:8" ht="60" customHeight="1">
      <c r="B24" s="29"/>
      <c r="C24" s="30"/>
      <c r="D24" s="30"/>
      <c r="E24" s="31"/>
      <c r="F24" s="32"/>
      <c r="G24" s="32"/>
      <c r="H24" s="33"/>
    </row>
    <row r="25" spans="2:8" ht="60" customHeight="1">
      <c r="B25" s="29"/>
      <c r="C25" s="30"/>
      <c r="D25" s="30"/>
      <c r="E25" s="31"/>
      <c r="F25" s="32"/>
      <c r="G25" s="32"/>
      <c r="H25" s="33"/>
    </row>
    <row r="26" spans="2:8" ht="60" customHeight="1">
      <c r="B26" s="7"/>
      <c r="C26" s="8"/>
      <c r="D26" s="8"/>
      <c r="E26" s="9"/>
      <c r="F26" s="10"/>
      <c r="G26" s="10"/>
      <c r="H26" s="11"/>
    </row>
    <row r="27" spans="2:8" ht="60" customHeight="1">
      <c r="B27" s="7"/>
      <c r="C27" s="8"/>
      <c r="D27" s="8"/>
      <c r="E27" s="9"/>
      <c r="F27" s="10"/>
      <c r="G27" s="10"/>
      <c r="H27" s="11"/>
    </row>
    <row r="28" spans="2:8" ht="60" customHeight="1">
      <c r="B28" s="7"/>
      <c r="C28" s="8"/>
      <c r="D28" s="8"/>
      <c r="E28" s="9"/>
      <c r="F28" s="10"/>
      <c r="G28" s="10"/>
      <c r="H28" s="11"/>
    </row>
    <row r="29" spans="2:8" ht="60" customHeight="1">
      <c r="B29" s="7"/>
      <c r="C29" s="8"/>
      <c r="D29" s="8"/>
      <c r="E29" s="9"/>
      <c r="F29" s="10"/>
      <c r="G29" s="10"/>
      <c r="H29" s="11"/>
    </row>
    <row r="30" spans="2:8" ht="60" customHeight="1">
      <c r="B30" s="7"/>
      <c r="C30" s="8"/>
      <c r="D30" s="8"/>
      <c r="E30" s="9"/>
      <c r="F30" s="10"/>
      <c r="G30" s="10"/>
      <c r="H30" s="11"/>
    </row>
    <row r="31" spans="2:8" ht="60" customHeight="1">
      <c r="B31" s="7"/>
      <c r="C31" s="8"/>
      <c r="D31" s="8"/>
      <c r="E31" s="9"/>
      <c r="F31" s="10"/>
      <c r="G31" s="10"/>
      <c r="H31" s="11"/>
    </row>
    <row r="32" spans="2:8" ht="60" customHeight="1">
      <c r="B32" s="7"/>
      <c r="C32" s="8"/>
      <c r="D32" s="8"/>
      <c r="E32" s="9"/>
      <c r="F32" s="10"/>
      <c r="G32" s="10"/>
      <c r="H32" s="11"/>
    </row>
    <row r="33" spans="2:8" ht="60" customHeight="1">
      <c r="B33" s="7"/>
      <c r="C33" s="8"/>
      <c r="D33" s="8"/>
      <c r="E33" s="9"/>
      <c r="F33" s="10"/>
      <c r="G33" s="10"/>
      <c r="H33" s="11"/>
    </row>
    <row r="34" spans="2:8" ht="60" customHeight="1">
      <c r="B34" s="7"/>
      <c r="C34" s="8"/>
      <c r="D34" s="8"/>
      <c r="E34" s="9"/>
      <c r="F34" s="10"/>
      <c r="G34" s="10"/>
      <c r="H34" s="11"/>
    </row>
    <row r="35" spans="2:8" ht="60" customHeight="1">
      <c r="B35" s="7"/>
      <c r="C35" s="8"/>
      <c r="D35" s="8"/>
      <c r="E35" s="9"/>
      <c r="F35" s="10"/>
      <c r="G35" s="10"/>
      <c r="H35" s="11"/>
    </row>
    <row r="36" spans="2:8" ht="60" customHeight="1">
      <c r="B36" s="7"/>
      <c r="C36" s="8"/>
      <c r="D36" s="8"/>
      <c r="E36" s="9"/>
      <c r="F36" s="10"/>
      <c r="G36" s="10"/>
      <c r="H36" s="11"/>
    </row>
    <row r="37" spans="2:8" ht="60" customHeight="1">
      <c r="B37" s="7"/>
      <c r="C37" s="8"/>
      <c r="D37" s="8"/>
      <c r="E37" s="9"/>
      <c r="F37" s="10"/>
      <c r="G37" s="10"/>
      <c r="H37" s="11"/>
    </row>
    <row r="38" spans="2:8" ht="60" customHeight="1">
      <c r="B38" s="7"/>
      <c r="C38" s="8"/>
      <c r="D38" s="8"/>
      <c r="E38" s="9"/>
      <c r="F38" s="10"/>
      <c r="G38" s="10"/>
      <c r="H38" s="11"/>
    </row>
    <row r="39" spans="2:8" ht="60" customHeight="1">
      <c r="B39" s="7"/>
      <c r="C39" s="8"/>
      <c r="D39" s="8"/>
      <c r="E39" s="9"/>
      <c r="F39" s="10"/>
      <c r="G39" s="10"/>
      <c r="H39" s="11"/>
    </row>
    <row r="40" spans="2:8" ht="60" customHeight="1">
      <c r="B40" s="7"/>
      <c r="C40" s="8"/>
      <c r="D40" s="8"/>
      <c r="E40" s="9"/>
      <c r="F40" s="10"/>
      <c r="G40" s="10"/>
      <c r="H40" s="11"/>
    </row>
    <row r="41" spans="2:8" ht="60" customHeight="1">
      <c r="B41" s="7"/>
      <c r="C41" s="8"/>
      <c r="D41" s="8"/>
      <c r="E41" s="9"/>
      <c r="F41" s="10"/>
      <c r="G41" s="10"/>
      <c r="H41" s="11"/>
    </row>
    <row r="42" spans="2:8" ht="60" customHeight="1">
      <c r="B42" s="7"/>
      <c r="C42" s="8"/>
      <c r="D42" s="8"/>
      <c r="E42" s="9"/>
      <c r="F42" s="10"/>
      <c r="G42" s="10"/>
      <c r="H42" s="11"/>
    </row>
    <row r="43" spans="2:8" ht="60" customHeight="1">
      <c r="B43" s="7"/>
      <c r="C43" s="8"/>
      <c r="D43" s="8"/>
      <c r="E43" s="9"/>
      <c r="F43" s="10"/>
      <c r="G43" s="10"/>
      <c r="H43" s="11"/>
    </row>
    <row r="44" spans="2:8" ht="60" customHeight="1">
      <c r="B44" s="7"/>
      <c r="C44" s="8"/>
      <c r="D44" s="8"/>
      <c r="E44" s="9"/>
      <c r="F44" s="10"/>
      <c r="G44" s="10"/>
      <c r="H44" s="11"/>
    </row>
    <row r="45" spans="2:8" ht="60" customHeight="1">
      <c r="B45" s="7"/>
      <c r="C45" s="8"/>
      <c r="D45" s="8"/>
      <c r="E45" s="9"/>
      <c r="F45" s="10"/>
      <c r="G45" s="10"/>
      <c r="H45" s="11"/>
    </row>
    <row r="46" spans="2:8" ht="60" customHeight="1" thickBot="1">
      <c r="B46" s="12"/>
      <c r="C46" s="13"/>
      <c r="D46" s="13"/>
      <c r="E46" s="14"/>
      <c r="F46" s="15"/>
      <c r="G46" s="15"/>
      <c r="H46" s="16"/>
    </row>
    <row r="47" spans="2:8" ht="60" customHeight="1" thickBot="1">
      <c r="B47" s="17">
        <v>812645</v>
      </c>
      <c r="C47" s="18" t="s">
        <v>11</v>
      </c>
      <c r="D47" s="19" t="s">
        <v>12</v>
      </c>
      <c r="E47" s="20" t="s">
        <v>13</v>
      </c>
      <c r="F47" s="21">
        <v>44755</v>
      </c>
      <c r="G47" s="21">
        <v>44762</v>
      </c>
      <c r="H47" s="22"/>
    </row>
  </sheetData>
  <mergeCells count="6">
    <mergeCell ref="H9:H10"/>
    <mergeCell ref="B9:B10"/>
    <mergeCell ref="C9:C10"/>
    <mergeCell ref="E9:E10"/>
    <mergeCell ref="D9:D10"/>
    <mergeCell ref="F9:G9"/>
  </mergeCells>
  <phoneticPr fontId="11" type="noConversion"/>
  <conditionalFormatting sqref="D11:D47">
    <cfRule type="containsText" dxfId="3" priority="1" operator="containsText" text="y">
      <formula>NOT(ISERROR(SEARCH("y",D11)))</formula>
    </cfRule>
    <cfRule type="containsText" dxfId="2" priority="2" operator="containsText" text="n">
      <formula>NOT(ISERROR(SEARCH("n",D11)))</formula>
    </cfRule>
    <cfRule type="containsText" dxfId="1" priority="3" operator="containsText" text="n">
      <formula>NOT(ISERROR(SEARCH("n",D11)))</formula>
    </cfRule>
    <cfRule type="containsText" dxfId="0" priority="4" operator="containsText" text="y">
      <formula>NOT(ISERROR(SEARCH("y",D11)))</formula>
    </cfRule>
  </conditionalFormatting>
  <pageMargins left="0.25" right="0.25" top="0.75" bottom="0.75" header="0.3" footer="0.3"/>
  <pageSetup paperSize="2058" orientation="portrait" horizontalDpi="300" verticalDpi="30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5A7BB36731B84EA28F75EA1DD640D6" ma:contentTypeVersion="4" ma:contentTypeDescription="Create a new document." ma:contentTypeScope="" ma:versionID="c40029fe3137b715025a034625ace2ee">
  <xsd:schema xmlns:xsd="http://www.w3.org/2001/XMLSchema" xmlns:xs="http://www.w3.org/2001/XMLSchema" xmlns:p="http://schemas.microsoft.com/office/2006/metadata/properties" xmlns:ns2="26897ef5-01c1-4474-b174-14dbc14400cf" targetNamespace="http://schemas.microsoft.com/office/2006/metadata/properties" ma:root="true" ma:fieldsID="04409bf67b2444f6fec1d1177d4ca9e3" ns2:_="">
    <xsd:import namespace="26897ef5-01c1-4474-b174-14dbc1440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97ef5-01c1-4474-b174-14dbc1440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5F04AB-A600-497F-B86C-70E9D80F06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80ABAB-307D-4E99-84A9-313E1B7FE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897ef5-01c1-4474-b174-14dbc1440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405192-92FB-4B1C-A8EB-C8A7D478495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结构设计订单 </vt:lpstr>
      <vt:lpstr>2026结构设计订单</vt:lpstr>
      <vt:lpstr>问题汇总</vt:lpstr>
      <vt:lpstr>提图计划</vt:lpstr>
      <vt:lpstr>Sheet1</vt:lpstr>
      <vt:lpstr>出口订单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Gao, Wei Ting</dc:creator>
  <cp:keywords/>
  <dc:description/>
  <cp:lastModifiedBy>Li, Yong Mei</cp:lastModifiedBy>
  <cp:revision/>
  <dcterms:created xsi:type="dcterms:W3CDTF">2024-04-01T12:20:16Z</dcterms:created>
  <dcterms:modified xsi:type="dcterms:W3CDTF">2026-08-10T05:23:06Z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2024-04-01T12:36:56Z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3b424520-bcdf-495a-9ced-b11dccaf8144</vt:lpwstr>
  </property>
  <property fmtid="{D5CDD505-2E9C-101B-9397-08002B2CF9AE}" pid="8" name="MSIP_Label_36791f77-3d39-4d72-9277-ac879ec799ed_ContentBits">
    <vt:lpwstr>0</vt:lpwstr>
  </property>
  <property fmtid="{D5CDD505-2E9C-101B-9397-08002B2CF9AE}" pid="9" name="ContentTypeId">
    <vt:lpwstr>0x0101009D5A7BB36731B84EA28F75EA1DD640D6</vt:lpwstr>
  </property>
</Properties>
</file>