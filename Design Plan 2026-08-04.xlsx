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40.231.237.188\documents\CAD_CENTER\Working_place\Design_Modification\设计计划\"/>
    </mc:Choice>
  </mc:AlternateContent>
  <xr:revisionPtr revIDLastSave="0" documentId="13_ncr:1_{A05A68FF-EC09-49B7-9995-EAF509DFE5D4}" xr6:coauthVersionLast="47" xr6:coauthVersionMax="47" xr10:uidLastSave="{00000000-0000-0000-0000-000000000000}"/>
  <bookViews>
    <workbookView xWindow="-25710" yWindow="-110" windowWidth="25820" windowHeight="13900" tabRatio="165" xr2:uid="{F7BD3FC8-7C72-4AF6-A5B0-91EB14DC75B3}"/>
  </bookViews>
  <sheets>
    <sheet name="Sheet" sheetId="1" r:id="rId1"/>
  </sheets>
  <definedNames>
    <definedName name="_xlnm._FilterDatabase" localSheetId="0" hidden="1">Sheet!$A$1:$A$638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41" i="1" l="1"/>
  <c r="W541" i="1"/>
  <c r="Y606" i="1" l="1"/>
  <c r="W606" i="1"/>
  <c r="Y602" i="1"/>
  <c r="W602" i="1"/>
  <c r="Y600" i="1"/>
  <c r="W600" i="1"/>
  <c r="Y598" i="1"/>
  <c r="W598" i="1"/>
  <c r="W610" i="1"/>
  <c r="Y610" i="1" s="1"/>
  <c r="Y633" i="1"/>
  <c r="W633" i="1"/>
  <c r="Y635" i="1"/>
  <c r="W635" i="1"/>
  <c r="Y631" i="1"/>
  <c r="W631" i="1"/>
  <c r="Y592" i="1"/>
  <c r="W592" i="1"/>
  <c r="W511" i="1"/>
  <c r="Y511" i="1"/>
  <c r="Y487" i="1"/>
  <c r="W487" i="1"/>
  <c r="Y485" i="1"/>
  <c r="W485" i="1"/>
  <c r="Y483" i="1"/>
  <c r="W483" i="1"/>
  <c r="Y481" i="1"/>
  <c r="X481" i="1"/>
  <c r="W481" i="1"/>
  <c r="V481" i="1"/>
  <c r="Y468" i="1"/>
  <c r="W468" i="1"/>
  <c r="Y532" i="1" l="1"/>
  <c r="W532" i="1"/>
  <c r="Y574" i="1"/>
  <c r="W574" i="1"/>
  <c r="Y568" i="1"/>
  <c r="W568" i="1"/>
  <c r="Y564" i="1"/>
  <c r="W564" i="1"/>
  <c r="Y578" i="1"/>
  <c r="W578" i="1"/>
  <c r="Y576" i="1"/>
  <c r="W576" i="1"/>
  <c r="Y552" i="1"/>
  <c r="W552" i="1"/>
  <c r="Y637" i="1"/>
  <c r="W637" i="1"/>
  <c r="W517" i="1"/>
  <c r="Y500" i="1"/>
  <c r="W500" i="1"/>
  <c r="Y494" i="1"/>
  <c r="W494" i="1"/>
  <c r="Y462" i="1"/>
  <c r="X462" i="1"/>
  <c r="W462" i="1"/>
  <c r="V462" i="1"/>
  <c r="Y466" i="1"/>
  <c r="W466" i="1"/>
  <c r="Y459" i="1"/>
  <c r="W459" i="1"/>
  <c r="Y455" i="1"/>
  <c r="W455" i="1"/>
  <c r="Y448" i="1"/>
  <c r="W448" i="1"/>
  <c r="Y442" i="1"/>
  <c r="W442" i="1"/>
  <c r="Y427" i="1"/>
  <c r="W427" i="1"/>
  <c r="W415" i="1"/>
  <c r="Y390" i="1"/>
  <c r="W390" i="1"/>
  <c r="Y388" i="1"/>
  <c r="W388" i="1"/>
  <c r="W386" i="1"/>
  <c r="Y384" i="1"/>
  <c r="W384" i="1"/>
  <c r="Y377" i="1"/>
  <c r="W377" i="1"/>
  <c r="Y373" i="1"/>
  <c r="W373" i="1"/>
  <c r="Y371" i="1"/>
  <c r="W371" i="1"/>
  <c r="Y325" i="1" l="1"/>
  <c r="W325" i="1"/>
  <c r="Y353" i="1" l="1"/>
  <c r="W353" i="1"/>
  <c r="Y362" i="1"/>
  <c r="W362" i="1"/>
  <c r="Y408" i="1"/>
  <c r="W408" i="1"/>
  <c r="Y433" i="1"/>
  <c r="W433" i="1"/>
  <c r="Y401" i="1"/>
  <c r="W401" i="1"/>
  <c r="Y399" i="1"/>
  <c r="W399" i="1"/>
  <c r="A422" i="1" l="1"/>
  <c r="A447" i="1"/>
  <c r="Y366" i="1"/>
  <c r="W366" i="1"/>
  <c r="Y364" i="1"/>
  <c r="W364" i="1"/>
  <c r="Y397" i="1"/>
  <c r="W397" i="1"/>
  <c r="Y395" i="1"/>
  <c r="W395" i="1"/>
  <c r="Y406" i="1"/>
  <c r="W406" i="1"/>
  <c r="Y403" i="1"/>
  <c r="W403" i="1"/>
  <c r="Y414" i="1"/>
  <c r="W414" i="1"/>
  <c r="Y360" i="1"/>
  <c r="W360" i="1"/>
  <c r="Y297" i="1"/>
  <c r="W281" i="1"/>
  <c r="Y305" i="1"/>
  <c r="W305" i="1"/>
  <c r="Y429" i="1"/>
  <c r="W429" i="1"/>
  <c r="Y425" i="1" l="1"/>
  <c r="W425" i="1"/>
  <c r="Y334" i="1"/>
  <c r="W334" i="1"/>
  <c r="Y332" i="1"/>
  <c r="Y329" i="1"/>
  <c r="Y279" i="1"/>
  <c r="A426" i="1"/>
  <c r="W423" i="1"/>
  <c r="Y423" i="1"/>
  <c r="A404" i="1"/>
  <c r="Y276" i="1"/>
  <c r="W276" i="1"/>
  <c r="W329" i="1"/>
  <c r="W332" i="1"/>
  <c r="Y336" i="1"/>
  <c r="W336" i="1"/>
  <c r="Y296" i="1"/>
  <c r="W296" i="1"/>
  <c r="Y312" i="1"/>
  <c r="W312" i="1"/>
  <c r="Y314" i="1"/>
  <c r="W314" i="1"/>
  <c r="Y342" i="1"/>
  <c r="W342" i="1"/>
  <c r="Y294" i="1"/>
  <c r="W294" i="1"/>
  <c r="Y287" i="1"/>
  <c r="W287" i="1"/>
  <c r="A280" i="1" l="1"/>
  <c r="A282" i="1"/>
  <c r="Y340" i="1"/>
  <c r="W340" i="1"/>
  <c r="Y316" i="1"/>
  <c r="W316" i="1"/>
  <c r="Y283" i="1"/>
  <c r="W283" i="1"/>
  <c r="Y347" i="1"/>
  <c r="W347" i="1"/>
  <c r="Y245" i="1"/>
  <c r="Y256" i="1"/>
  <c r="Y213" i="1"/>
  <c r="W213" i="1"/>
  <c r="Y268" i="1"/>
  <c r="W268" i="1"/>
  <c r="Y321" i="1"/>
  <c r="W321" i="1"/>
  <c r="Y318" i="1"/>
  <c r="W318" i="1"/>
  <c r="Y285" i="1"/>
  <c r="W285" i="1"/>
  <c r="Y270" i="1"/>
  <c r="W270" i="1"/>
  <c r="Y263" i="1"/>
  <c r="Y259" i="1"/>
  <c r="W259" i="1"/>
  <c r="Y254" i="1"/>
  <c r="W254" i="1"/>
  <c r="W256" i="1"/>
  <c r="BG217" i="1" l="1"/>
  <c r="Y274" i="1" l="1"/>
  <c r="W274" i="1"/>
  <c r="Y323" i="1"/>
  <c r="W323" i="1"/>
  <c r="W228" i="1" l="1"/>
  <c r="Y208" i="1"/>
  <c r="W208" i="1"/>
  <c r="W263" i="1"/>
  <c r="Y237" i="1"/>
  <c r="W237" i="1"/>
  <c r="Y292" i="1" l="1"/>
  <c r="Y250" i="1"/>
  <c r="W250" i="1"/>
  <c r="Y226" i="1"/>
  <c r="W226" i="1"/>
  <c r="Y261" i="1"/>
  <c r="W261" i="1"/>
  <c r="Y199" i="1"/>
  <c r="Y193" i="1"/>
  <c r="W193" i="1"/>
  <c r="Y252" i="1"/>
  <c r="W252" i="1"/>
  <c r="Y204" i="1"/>
  <c r="W204" i="1"/>
  <c r="Y221" i="1"/>
  <c r="W221" i="1"/>
  <c r="Y272" i="1"/>
  <c r="W272" i="1"/>
  <c r="Y412" i="1"/>
  <c r="W412" i="1"/>
  <c r="Y239" i="1"/>
  <c r="W239" i="1"/>
  <c r="A319" i="1" l="1"/>
  <c r="Y210" i="1" l="1"/>
  <c r="W210" i="1"/>
  <c r="Y232" i="1"/>
  <c r="W232" i="1"/>
  <c r="A222" i="1"/>
  <c r="Y217" i="1"/>
  <c r="W217" i="1"/>
  <c r="W265" i="1"/>
  <c r="W292" i="1" l="1"/>
  <c r="A304" i="1"/>
  <c r="A302" i="1"/>
  <c r="A291" i="1"/>
  <c r="Y243" i="1"/>
  <c r="Y219" i="1"/>
  <c r="W219" i="1"/>
  <c r="A178" i="1"/>
  <c r="A176" i="1"/>
  <c r="A163" i="1"/>
  <c r="A156" i="1"/>
  <c r="A147" i="1"/>
  <c r="A136" i="1"/>
  <c r="BC125" i="1"/>
  <c r="BC124" i="1"/>
  <c r="A114" i="1"/>
  <c r="A112" i="1"/>
  <c r="W102" i="1"/>
  <c r="A94" i="1"/>
  <c r="A59" i="1"/>
  <c r="A44" i="1"/>
  <c r="A28" i="1"/>
  <c r="A17" i="1"/>
  <c r="AA50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Luo, Jie (EM TP NSW MPT STCL BA P)</author>
    <author>tc={48FEAA0B-A253-47B0-AB26-062A7F946A25}</author>
    <author>Chen, Zhen Dong</author>
    <author>Gao, Wei Ting (SE GP T NP PT STCL EN MD)</author>
    <author>tc={8D212627-1A3E-4ED2-99FC-A8821BC99136}</author>
    <author>tc={5E4D191A-723E-4C04-93D9-399A653DB563}</author>
    <author>tc={C84597C5-AE56-46A1-A2E6-D351859F7331}</author>
    <author>Li, Yong Mei</author>
    <author>Jiang, Li Ping</author>
    <author>tc={A3FBB732-EB74-4787-80F1-66FF26DF6432}</author>
    <author>Gao, Wei Ting</author>
    <author>Guo, Yun Bo</author>
    <author>Si, Lin Jie</author>
    <author>Dong, Li Qiao</author>
    <author>tc={08112148-D119-43B4-91D5-493542507753}</author>
    <author>tc={57F08B7C-053B-4770-A4C9-4DEA26E19B7C}</author>
    <author>tc={43A4F5B2-F767-4FBA-979B-B9C194D89C04}</author>
    <author>tc={F1355B90-8A8E-4BBB-A2C5-025F71C6EA31}</author>
    <author>tc={218D1CFA-82E0-4BF5-A059-618D10D79F1A}</author>
  </authors>
  <commentList>
    <comment ref="V9" authorId="0" shapeId="0" xr:uid="{3CD89308-F00B-4205-AF2C-A3318069F2F3}">
      <text>
        <r>
          <rPr>
            <b/>
            <sz val="9"/>
            <color indexed="81"/>
            <rFont val="Tahoma"/>
            <family val="2"/>
          </rPr>
          <t>Luo, Jie (EM TP NSW MPT STCL BA P):</t>
        </r>
        <r>
          <rPr>
            <sz val="9"/>
            <color indexed="81"/>
            <rFont val="Tahoma"/>
            <family val="2"/>
          </rPr>
          <t xml:space="preserve">
由3-30更新
</t>
        </r>
      </text>
    </comment>
    <comment ref="V11" authorId="0" shapeId="0" xr:uid="{6B006912-47E8-4C98-950E-98066020991C}">
      <text>
        <r>
          <rPr>
            <b/>
            <sz val="9"/>
            <color indexed="81"/>
            <rFont val="Tahoma"/>
            <family val="2"/>
          </rPr>
          <t>Luo, Jie (EM TP NSW MPT STCL BA P):</t>
        </r>
        <r>
          <rPr>
            <sz val="9"/>
            <color indexed="81"/>
            <rFont val="Tahoma"/>
            <family val="2"/>
          </rPr>
          <t xml:space="preserve">
由3-30更新
</t>
        </r>
      </text>
    </comment>
    <comment ref="AJ14" authorId="1" shapeId="0" xr:uid="{48FEAA0B-A253-47B0-AB26-062A7F946A25}">
      <text>
        <t>[Threaded comment]
Your version of Excel allows you to read this threaded comment; however, any edits to it will get removed if the file is opened in a newer version of Excel. Learn more: https://go.microsoft.com/fwlink/?linkid=870924
Comment:
    电算 2022-10-26日完成</t>
      </text>
    </comment>
    <comment ref="AL19" authorId="2" shapeId="0" xr:uid="{B28B2ED4-381D-44E3-8D30-DA164B90FCB2}">
      <text>
        <r>
          <rPr>
            <sz val="10"/>
            <color theme="1"/>
            <rFont val="Arial"/>
            <family val="2"/>
          </rPr>
          <t>Chen, Zhen Dong:
设计院确认晚，并有参数变更</t>
        </r>
      </text>
    </comment>
    <comment ref="AN21" authorId="3" shapeId="0" xr:uid="{1785A8BE-298B-42DD-ACD5-3D105978F2DE}">
      <text>
        <r>
          <rPr>
            <b/>
            <sz val="9"/>
            <color indexed="81"/>
            <rFont val="Tahoma"/>
            <family val="2"/>
          </rPr>
          <t>Gao, Wei Ting (SE GP T NP PT STCL EN MD):</t>
        </r>
        <r>
          <rPr>
            <sz val="9"/>
            <color indexed="81"/>
            <rFont val="Tahoma"/>
            <family val="2"/>
          </rPr>
          <t xml:space="preserve">
项目经理11/21通知可以下订单</t>
        </r>
      </text>
    </comment>
    <comment ref="AL23" authorId="2" shapeId="0" xr:uid="{5C599077-AC98-4990-A121-E3B39ECB4574}">
      <text>
        <r>
          <rPr>
            <sz val="10"/>
            <color theme="1"/>
            <rFont val="Arial"/>
            <family val="2"/>
          </rPr>
          <t>Chen, Zhen Dong:
客户不断变更CT参数，截止2022/12/20尚未确定变更及付费。</t>
        </r>
      </text>
    </comment>
    <comment ref="AS23" authorId="2" shapeId="0" xr:uid="{1428C4E9-A63C-42FC-B160-69B7097EC38A}">
      <text>
        <r>
          <rPr>
            <sz val="10"/>
            <color theme="1"/>
            <rFont val="Arial"/>
            <family val="2"/>
          </rPr>
          <t>Chen, Zhen Dong:
截止2022-12-20，CT参数、高压电缆终端不明确，导致无法结束设计。</t>
        </r>
      </text>
    </comment>
    <comment ref="AR37" authorId="4" shapeId="0" xr:uid="{8D212627-1A3E-4ED2-99FC-A8821BC99136}">
      <text>
        <t>[Threaded comment]
Your version of Excel allows you to read this threaded comment; however, any edits to it will get removed if the file is opened in a newer version of Excel. Learn more: https://go.microsoft.com/fwlink/?linkid=870924
Comment:
    1/28日接到客户要求增加运输支架</t>
      </text>
    </comment>
    <comment ref="AM76" authorId="5" shapeId="0" xr:uid="{5E4D191A-723E-4C04-93D9-399A653DB56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图纸确认时间为5月13日
</t>
      </text>
    </comment>
    <comment ref="Y78" authorId="6" shapeId="0" xr:uid="{C84597C5-AE56-46A1-A2E6-D351859F7331}">
      <text>
        <t>[Threaded comment]
Your version of Excel allows you to read this threaded comment; however, any edits to it will get removed if the file is opened in a newer version of Excel. Learn more: https://go.microsoft.com/fwlink/?linkid=870924
Comment:
    9-30本体二次已确认</t>
      </text>
    </comment>
    <comment ref="AM127" authorId="7" shapeId="0" xr:uid="{60099B84-D99E-4121-88B5-C92800FBD2C3}">
      <text>
        <r>
          <rPr>
            <b/>
            <sz val="9"/>
            <color indexed="81"/>
            <rFont val="Tahoma"/>
            <family val="2"/>
          </rPr>
          <t>Si, Lin Jie:
7月31日订单放入PLM中，120状态。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T156" authorId="2" shapeId="0" xr:uid="{A146A72B-C768-46F3-B48C-D299C4664FBA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在线监测接口未定，技术协议未签</t>
        </r>
      </text>
    </comment>
    <comment ref="AJ162" authorId="8" shapeId="0" xr:uid="{C749E96B-BD71-4CB4-80DB-36AD84986095}">
      <text>
        <r>
          <rPr>
            <sz val="9"/>
            <color indexed="81"/>
            <rFont val="Tahoma"/>
            <family val="2"/>
          </rPr>
          <t xml:space="preserve">华明开关
</t>
        </r>
      </text>
    </comment>
    <comment ref="AN163" authorId="9" shapeId="0" xr:uid="{A3FBB732-EB74-4787-80F1-66FF26DF6432}">
      <text>
        <t>[Threaded comment]
Your version of Excel allows you to read this threaded comment; however, any edits to it will get removed if the file is opened in a newer version of Excel. Learn more: https://go.microsoft.com/fwlink/?linkid=870924
Comment:
    仪表订单已放到PLM中，230状态。2023年12月27号收到客户确认。</t>
      </text>
    </comment>
    <comment ref="P197" authorId="10" shapeId="0" xr:uid="{A6C8B90C-DF22-475B-80A9-C201FE9CF017}">
      <text>
        <r>
          <rPr>
            <b/>
            <sz val="9"/>
            <color indexed="81"/>
            <rFont val="Tahoma"/>
            <family val="2"/>
          </rPr>
          <t>Gao, Wei Ting: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>只剩高压</t>
        </r>
      </text>
    </comment>
    <comment ref="AM255" authorId="8" shapeId="0" xr:uid="{14EFDB70-C5DA-421A-9C9E-D7C02CF38012}">
      <text>
        <r>
          <rPr>
            <sz val="9"/>
            <color indexed="81"/>
            <rFont val="Tahoma"/>
            <family val="2"/>
          </rPr>
          <t xml:space="preserve">图纸于9月27号确认
</t>
        </r>
      </text>
    </comment>
    <comment ref="AK260" authorId="11" shapeId="0" xr:uid="{B2504B85-22A2-4BE0-894E-D22D962FA14C}">
      <text>
        <r>
          <rPr>
            <b/>
            <sz val="9"/>
            <color indexed="81"/>
            <rFont val="Tahoma"/>
            <family val="2"/>
          </rPr>
          <t>Guo, Yun Bo:</t>
        </r>
        <r>
          <rPr>
            <sz val="9"/>
            <color indexed="81"/>
            <rFont val="Tahoma"/>
            <family val="2"/>
          </rPr>
          <t xml:space="preserve">
客户一直未确认</t>
        </r>
      </text>
    </comment>
    <comment ref="AF277" authorId="2" shapeId="0" xr:uid="{2AA80653-D937-45FF-82FE-AF33E81796C2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根据PN评审后更新</t>
        </r>
      </text>
    </comment>
    <comment ref="AG277" authorId="2" shapeId="0" xr:uid="{0F7C39DA-788C-413E-AEA5-0D4F288D2FB4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根据PN评审后更新</t>
        </r>
      </text>
    </comment>
    <comment ref="AH277" authorId="2" shapeId="0" xr:uid="{8600EA40-49ED-4186-90B8-0C5B6ADCB682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根据PN评审后更新</t>
        </r>
      </text>
    </comment>
    <comment ref="AI277" authorId="2" shapeId="0" xr:uid="{FB8F64A8-5DB5-4C23-AE5D-C8C4D4E5A172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根据PN评审后更新</t>
        </r>
      </text>
    </comment>
    <comment ref="AM280" authorId="12" shapeId="0" xr:uid="{3BC01260-4133-49D6-8D2F-C90122D572A6}">
      <text>
        <r>
          <rPr>
            <sz val="10"/>
            <color theme="1"/>
            <rFont val="SimHei"/>
            <family val="2"/>
            <charset val="134"/>
          </rPr>
          <t>客户确认晚于设计计划</t>
        </r>
      </text>
    </comment>
    <comment ref="AN280" authorId="12" shapeId="0" xr:uid="{F397B66F-19CB-4232-8AE4-5F64769FC176}">
      <text>
        <r>
          <rPr>
            <sz val="10"/>
            <color theme="1"/>
            <rFont val="SimHei"/>
            <family val="2"/>
            <charset val="134"/>
          </rPr>
          <t xml:space="preserve">客户未确认，项目经理同意先释放订单
</t>
        </r>
      </text>
    </comment>
    <comment ref="AT282" authorId="2" shapeId="0" xr:uid="{8140BE92-76A2-4B00-8E32-2276306C7076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图纸未完全确认</t>
        </r>
      </text>
    </comment>
    <comment ref="AN284" authorId="12" shapeId="0" xr:uid="{462BF9DB-FACA-464E-BD95-A62532294CA6}">
      <text>
        <r>
          <rPr>
            <sz val="10"/>
            <color theme="1"/>
            <rFont val="SimHei"/>
            <family val="2"/>
            <charset val="134"/>
          </rPr>
          <t xml:space="preserve">客户确认晚于设计计划
</t>
        </r>
      </text>
    </comment>
    <comment ref="AR295" authorId="2" shapeId="0" xr:uid="{C7628203-CBEB-42AF-BBC7-FB89A5970066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客户更改风扇、吸湿器等附件</t>
        </r>
      </text>
    </comment>
    <comment ref="AS295" authorId="2" shapeId="0" xr:uid="{F2951955-F9BB-4CDA-BAA5-7E6AB26B0403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客户更改风扇、吸湿器等附件</t>
        </r>
      </text>
    </comment>
    <comment ref="AT295" authorId="2" shapeId="0" xr:uid="{E48B132D-A094-4E7C-9DC2-C2710D723D2D}">
      <text>
        <r>
          <rPr>
            <b/>
            <sz val="9"/>
            <color indexed="81"/>
            <rFont val="Tahoma"/>
            <family val="2"/>
          </rPr>
          <t>Chen, Zhen Dong:</t>
        </r>
        <r>
          <rPr>
            <sz val="9"/>
            <color indexed="81"/>
            <rFont val="Tahoma"/>
            <family val="2"/>
          </rPr>
          <t xml:space="preserve">
客户更改风扇、吸湿器等附件</t>
        </r>
      </text>
    </comment>
    <comment ref="AM299" authorId="12" shapeId="0" xr:uid="{108E6B10-1A27-4864-929D-5FDBFEF06B6B}">
      <text>
        <r>
          <rPr>
            <sz val="9"/>
            <color indexed="81"/>
            <rFont val="Tahoma"/>
            <family val="2"/>
          </rPr>
          <t xml:space="preserve">客户确认图纸晚于设计计划
</t>
        </r>
      </text>
    </comment>
    <comment ref="AM302" authorId="12" shapeId="0" xr:uid="{A67B9147-A629-478C-A681-4F1A041EDF55}">
      <text>
        <r>
          <rPr>
            <sz val="9"/>
            <color indexed="81"/>
            <rFont val="Tahoma"/>
            <family val="2"/>
          </rPr>
          <t>2025-2-12客户确认控制箱图纸</t>
        </r>
      </text>
    </comment>
    <comment ref="AM304" authorId="13" shapeId="0" xr:uid="{D9C3A230-6BC9-465A-A2D9-0C16B39FF378}">
      <text>
        <r>
          <rPr>
            <sz val="9"/>
            <color indexed="81"/>
            <rFont val="Tahoma"/>
            <family val="2"/>
          </rPr>
          <t xml:space="preserve">客户确认较晚
</t>
        </r>
      </text>
    </comment>
    <comment ref="AM308" authorId="13" shapeId="0" xr:uid="{9B6332D1-D206-4EEC-8B03-55C3B6A94BAF}">
      <text>
        <r>
          <rPr>
            <sz val="9"/>
            <color indexed="81"/>
            <rFont val="Tahoma"/>
            <family val="2"/>
          </rPr>
          <t xml:space="preserve">客户未确认，已先发订单
3.25客户已确认
</t>
        </r>
      </text>
    </comment>
    <comment ref="AM311" authorId="12" shapeId="0" xr:uid="{AB3C8F60-3354-4F1C-80A1-C1BF3B432F0C}">
      <text>
        <r>
          <rPr>
            <sz val="9"/>
            <color indexed="81"/>
            <rFont val="Tahoma"/>
            <family val="2"/>
          </rPr>
          <t xml:space="preserve">客户确认晚于计划
</t>
        </r>
      </text>
    </comment>
    <comment ref="AE315" authorId="14" shapeId="0" xr:uid="{08112148-D119-43B4-91D5-493542507753}">
      <text>
        <t>[Threaded comment]
Your version of Excel allows you to read this threaded comment; however, any edits to it will get removed if the file is opened in a newer version of Excel. Learn more: https://go.microsoft.com/fwlink/?linkid=870924
Comment:
    算单更新增加铁芯窗高</t>
      </text>
    </comment>
    <comment ref="AR326" authorId="7" shapeId="0" xr:uid="{23479C5A-03F3-4FC9-B18D-2395C296BFB7}">
      <text>
        <r>
          <rPr>
            <b/>
            <sz val="9"/>
            <color indexed="81"/>
            <rFont val="Tahoma"/>
            <family val="2"/>
          </rPr>
          <t>客户更改冷却方式 至今未确认</t>
        </r>
      </text>
    </comment>
    <comment ref="AN330" authorId="12" shapeId="0" xr:uid="{3D265046-DD5F-4726-ACB4-1D40FC811A50}">
      <text>
        <r>
          <rPr>
            <b/>
            <sz val="9"/>
            <color indexed="81"/>
            <rFont val="Tahoma"/>
            <family val="2"/>
          </rPr>
          <t>客户确认晚于计划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33" authorId="12" shapeId="0" xr:uid="{161772AA-774F-44EE-AB36-A4038861A54F}">
      <text>
        <r>
          <rPr>
            <b/>
            <sz val="9"/>
            <color indexed="81"/>
            <rFont val="Tahoma"/>
            <family val="2"/>
          </rPr>
          <t>客户确认晚于计划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343" authorId="12" shapeId="0" xr:uid="{7763F22B-4ADA-4726-B9F7-FA207403212A}">
      <text>
        <r>
          <rPr>
            <b/>
            <sz val="9"/>
            <color indexed="81"/>
            <rFont val="Tahoma"/>
            <family val="2"/>
          </rPr>
          <t>客户未确认，2025-6-7先释放控制箱和远控屏订单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343" authorId="12" shapeId="0" xr:uid="{0FFDA630-D0DD-46FB-AB25-DC41FEDD0D77}">
      <text>
        <r>
          <rPr>
            <b/>
            <sz val="9"/>
            <color indexed="81"/>
            <rFont val="Tahoma"/>
            <family val="2"/>
          </rPr>
          <t>客户未确认，2025-6-6释放AKM温度计和MESSKO油位计订单，2025-6-7释放气体继电器、压力释放阀、压力突发继电器以及西门子测控装置订单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360" authorId="7" shapeId="0" xr:uid="{7A918067-9CF1-4131-A2E6-A8B574AD0EDC}">
      <text>
        <r>
          <rPr>
            <sz val="9"/>
            <color indexed="81"/>
            <rFont val="Tahoma"/>
            <family val="2"/>
          </rPr>
          <t xml:space="preserve">
2025-02-16日改为MR</t>
        </r>
      </text>
    </comment>
    <comment ref="AK360" authorId="7" shapeId="0" xr:uid="{D16C74E6-5B1C-4624-BEC1-665E9F466929}">
      <text>
        <r>
          <rPr>
            <b/>
            <sz val="9"/>
            <color indexed="81"/>
            <rFont val="Tahoma"/>
            <family val="2"/>
          </rPr>
          <t>Li, Yong Mei:</t>
        </r>
        <r>
          <rPr>
            <sz val="9"/>
            <color indexed="81"/>
            <rFont val="Tahoma"/>
            <family val="2"/>
          </rPr>
          <t xml:space="preserve">
套管图纸没有确认</t>
        </r>
      </text>
    </comment>
    <comment ref="AK374" authorId="7" shapeId="0" xr:uid="{C72FF3E2-7626-4BB9-9A25-22D2DAD10D74}">
      <text>
        <r>
          <rPr>
            <sz val="9"/>
            <color indexed="81"/>
            <rFont val="Tahoma"/>
            <family val="2"/>
          </rPr>
          <t>套管型号及参数客户未确认</t>
        </r>
      </text>
    </comment>
    <comment ref="AM376" authorId="15" shapeId="0" xr:uid="{57F08B7C-053B-4770-A4C9-4DEA26E19B7C}">
      <text>
        <t>[Threaded comment]
Your version of Excel allows you to read this threaded comment; however, any edits to it will get removed if the file is opened in a newer version of Excel. Learn more: https://go.microsoft.com/fwlink/?linkid=870924
Comment:
    设计院尚未确认图纸
Reply:
    九月17日询问项目经理，说这项目不着急发订单</t>
      </text>
    </comment>
    <comment ref="AM378" authorId="16" shapeId="0" xr:uid="{43A4F5B2-F767-4FBA-979B-B9C194D89C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设计院确认图纸晚于计划
</t>
      </text>
    </comment>
    <comment ref="AN378" authorId="17" shapeId="0" xr:uid="{F1355B90-8A8E-4BBB-A2C5-025F71C6EA3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除开关压力释放阀外均以释放
</t>
      </text>
    </comment>
    <comment ref="AN380" authorId="13" shapeId="0" xr:uid="{20A09EC4-1392-4247-9C38-F2FD7E30565C}">
      <text>
        <r>
          <rPr>
            <b/>
            <sz val="9"/>
            <color indexed="81"/>
            <rFont val="Tahoma"/>
            <family val="2"/>
          </rPr>
          <t>Dong, Li Qiao:</t>
        </r>
        <r>
          <rPr>
            <sz val="9"/>
            <color indexed="81"/>
            <rFont val="Tahoma"/>
            <family val="2"/>
          </rPr>
          <t xml:space="preserve">
待澄清，发不了
</t>
        </r>
      </text>
    </comment>
    <comment ref="AN383" authorId="18" shapeId="0" xr:uid="{218D1CFA-82E0-4BF5-A059-618D10D79F1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0820prd
</t>
      </text>
    </comment>
    <comment ref="AN389" authorId="12" shapeId="0" xr:uid="{43EF378F-3696-42E2-84E3-1EC087E38282}">
      <text>
        <r>
          <rPr>
            <sz val="9"/>
            <color indexed="81"/>
            <rFont val="Tahoma"/>
            <family val="2"/>
          </rPr>
          <t xml:space="preserve">客户未确认二次图纸，8月12日先释放监测仪表订单。
</t>
        </r>
      </text>
    </comment>
    <comment ref="AM411" authorId="12" shapeId="0" xr:uid="{C04C70A7-AB21-4BDB-B606-0AE9E8F48B5F}">
      <text>
        <r>
          <rPr>
            <b/>
            <sz val="9"/>
            <color indexed="81"/>
            <rFont val="Tahoma"/>
            <family val="2"/>
          </rPr>
          <t>客户确认晚于设计计划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11" authorId="12" shapeId="0" xr:uid="{9F8FE0FA-9982-476D-958A-424D3393CEB2}">
      <text>
        <r>
          <rPr>
            <sz val="9"/>
            <color indexed="81"/>
            <rFont val="Tahoma"/>
            <family val="2"/>
          </rPr>
          <t xml:space="preserve">2025-11-4先释放仪表订单
</t>
        </r>
      </text>
    </comment>
    <comment ref="AN422" authorId="13" shapeId="0" xr:uid="{4523DD7B-4BB7-4E28-8AE2-9AF66D630CD3}">
      <text>
        <r>
          <rPr>
            <b/>
            <sz val="9"/>
            <color indexed="81"/>
            <rFont val="Tahoma"/>
            <family val="2"/>
          </rPr>
          <t>Dong, Li Qiao:</t>
        </r>
        <r>
          <rPr>
            <sz val="9"/>
            <color indexed="81"/>
            <rFont val="Tahoma"/>
            <family val="2"/>
          </rPr>
          <t xml:space="preserve">
没外形图，发不了PRD</t>
        </r>
      </text>
    </comment>
    <comment ref="AB425" authorId="7" shapeId="0" xr:uid="{7930C657-4A31-474C-90BE-AD9A2709F11F}">
      <text>
        <r>
          <rPr>
            <b/>
            <sz val="9"/>
            <color indexed="81"/>
            <rFont val="Tahoma"/>
            <family val="2"/>
          </rPr>
          <t>813251/3252 PIF5 6支170kV套管做高压试验套管，将813016南非项目剩余的3支进口ABB 145kV套管用做零相试验套管</t>
        </r>
      </text>
    </comment>
    <comment ref="AN426" authorId="12" shapeId="0" xr:uid="{ECB2356D-21EA-4AB4-BA29-4B7FE3272E79}">
      <text>
        <r>
          <rPr>
            <b/>
            <sz val="9"/>
            <color indexed="81"/>
            <rFont val="Tahoma"/>
            <family val="2"/>
          </rPr>
          <t>客户确认日期2025-11-2</t>
        </r>
      </text>
    </comment>
    <comment ref="AN428" authorId="7" shapeId="0" xr:uid="{6F2BEC90-D198-49B6-9D4C-0937C5BF8F6C}">
      <text>
        <r>
          <rPr>
            <sz val="9"/>
            <color indexed="81"/>
            <rFont val="Tahoma"/>
            <family val="2"/>
          </rPr>
          <t xml:space="preserve">
客户2025-11-25确认</t>
        </r>
      </text>
    </comment>
    <comment ref="AM439" authorId="13" shapeId="0" xr:uid="{07B59E61-C56B-416C-A144-8A2AA7FCF68C}">
      <text>
        <r>
          <rPr>
            <b/>
            <sz val="9"/>
            <color indexed="81"/>
            <rFont val="Tahoma"/>
            <family val="2"/>
          </rPr>
          <t>Dong, Li Qiao:</t>
        </r>
        <r>
          <rPr>
            <sz val="9"/>
            <color indexed="81"/>
            <rFont val="Tahoma"/>
            <family val="2"/>
          </rPr>
          <t xml:space="preserve">
一月12下检修订单</t>
        </r>
      </text>
    </comment>
    <comment ref="N440" authorId="7" shapeId="0" xr:uid="{BD5D5BD4-6DF0-4C5F-8DF2-F46B27D69AB1}">
      <text>
        <r>
          <rPr>
            <b/>
            <sz val="9"/>
            <color indexed="81"/>
            <rFont val="Tahoma"/>
            <family val="2"/>
          </rPr>
          <t>Li, Yong Mei:</t>
        </r>
        <r>
          <rPr>
            <sz val="9"/>
            <color indexed="81"/>
            <rFont val="Tahoma"/>
            <family val="2"/>
          </rPr>
          <t xml:space="preserve">
2025-02-16日改为MR</t>
        </r>
      </text>
    </comment>
    <comment ref="AA440" authorId="8" shapeId="0" xr:uid="{20571053-3767-427A-B50B-EF1B3F6BD0DD}">
      <text>
        <r>
          <rPr>
            <sz val="9"/>
            <color indexed="81"/>
            <rFont val="Tahoma"/>
            <family val="2"/>
          </rPr>
          <t>2026/2/7邮件通知：
两台共用6支和新战略库存500KV套管。
需2套试验布置（需具备2套试验套管倒着用）</t>
        </r>
      </text>
    </comment>
    <comment ref="AD440" authorId="7" shapeId="0" xr:uid="{676C2485-1B4D-4BF7-9B2F-DAF44ABDEAE5}">
      <text>
        <r>
          <rPr>
            <b/>
            <sz val="9"/>
            <color indexed="81"/>
            <rFont val="Tahoma"/>
            <family val="2"/>
          </rPr>
          <t>Li, Yong Mei:</t>
        </r>
        <r>
          <rPr>
            <sz val="9"/>
            <color indexed="81"/>
            <rFont val="Tahoma"/>
            <family val="2"/>
          </rPr>
          <t xml:space="preserve">
因本项目做短路试验，先期提图按照螺栓连接箱盖</t>
        </r>
      </text>
    </comment>
    <comment ref="AN441" authorId="12" shapeId="0" xr:uid="{D90410C6-929E-4752-B810-C104D684B46F}">
      <text>
        <r>
          <rPr>
            <b/>
            <sz val="9"/>
            <color indexed="81"/>
            <rFont val="Tahoma"/>
            <family val="2"/>
          </rPr>
          <t>2025-10-11先释放仪表订单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445" authorId="12" shapeId="0" xr:uid="{DF5C428D-960E-4E3C-A3D3-39F1AA4B19E4}">
      <text>
        <r>
          <rPr>
            <b/>
            <sz val="9"/>
            <color indexed="81"/>
            <rFont val="Tahoma"/>
            <family val="2"/>
          </rPr>
          <t>2025-12-11收到PO，按照武汉厂的执行，先释放部分监测仪表订单。
1/12 释放油位计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484" authorId="12" shapeId="0" xr:uid="{8C93732F-2129-4115-B86C-F3053AC1AC8E}">
      <text>
        <r>
          <rPr>
            <b/>
            <sz val="9"/>
            <color indexed="81"/>
            <rFont val="Tahoma"/>
            <family val="2"/>
          </rPr>
          <t>2026-4-25先释放订单。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J505" authorId="8" shapeId="0" xr:uid="{22C99A9A-392D-4214-BE52-5B564E639B9F}">
      <text>
        <r>
          <rPr>
            <sz val="9"/>
            <color indexed="81"/>
            <rFont val="Tahoma"/>
            <family val="2"/>
          </rPr>
          <t xml:space="preserve">4/23: KP插拔头
</t>
        </r>
      </text>
    </comment>
    <comment ref="AM525" authorId="12" shapeId="0" xr:uid="{C571DED1-96AA-4A58-AB4D-3BA3055983C2}">
      <text>
        <r>
          <rPr>
            <b/>
            <sz val="9"/>
            <color indexed="81"/>
            <rFont val="Tahoma"/>
            <family val="2"/>
          </rPr>
          <t>7/30/26先释放控制箱订单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525" authorId="12" shapeId="0" xr:uid="{A680C0B7-20D8-40FA-8E4D-B0FFFEDBB68D}">
      <text>
        <r>
          <rPr>
            <b/>
            <sz val="9"/>
            <color indexed="81"/>
            <rFont val="Tahoma"/>
            <family val="2"/>
          </rPr>
          <t>2026-7-16先释放监测仪表订单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M529" authorId="12" shapeId="0" xr:uid="{4C81566E-310E-420F-AFE3-F933B8D79A8E}">
      <text>
        <r>
          <rPr>
            <b/>
            <sz val="9"/>
            <color indexed="81"/>
            <rFont val="Tahoma"/>
            <family val="2"/>
          </rPr>
          <t>7/30/26先释放控制箱订单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529" authorId="12" shapeId="0" xr:uid="{D173811B-EEC9-4A2A-8FEC-C85849EA2B53}">
      <text>
        <r>
          <rPr>
            <b/>
            <sz val="9"/>
            <color indexed="81"/>
            <rFont val="Tahoma"/>
            <family val="2"/>
          </rPr>
          <t>2026-7-27先释放监测仪表订单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542" authorId="12" shapeId="0" xr:uid="{A9A6A755-5447-4BEA-AC6E-80221D4765BD}">
      <text>
        <r>
          <rPr>
            <b/>
            <sz val="9"/>
            <color indexed="81"/>
            <rFont val="Tahoma"/>
            <family val="2"/>
          </rPr>
          <t>2026-7-29先释放监测仪表订单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544" authorId="12" shapeId="0" xr:uid="{D3C4B174-3837-46F3-ACF4-A4495D90F7F9}">
      <text>
        <r>
          <rPr>
            <b/>
            <sz val="9"/>
            <color indexed="81"/>
            <rFont val="Tahoma"/>
            <family val="2"/>
          </rPr>
          <t>2026-8-3先释放监测仪表订单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546" authorId="12" shapeId="0" xr:uid="{8BB2C464-DC52-43BD-9CAE-FE1BC16FEB14}">
      <text>
        <r>
          <rPr>
            <b/>
            <sz val="9"/>
            <color indexed="81"/>
            <rFont val="Tahoma"/>
            <family val="2"/>
          </rPr>
          <t>8月5日先释放订单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N551" authorId="12" shapeId="0" xr:uid="{B819C844-D683-4E0E-B162-EAF08C32C76F}">
      <text>
        <r>
          <rPr>
            <b/>
            <sz val="9"/>
            <color indexed="81"/>
            <rFont val="Tahoma"/>
            <family val="2"/>
          </rPr>
          <t>2026-7-31先释放监测仪表订单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<sst xmlns="http://schemas.openxmlformats.org/spreadsheetml/2006/main" count="3426" uniqueCount="1027">
  <si>
    <t>设计时间表</t>
  </si>
  <si>
    <t>MD</t>
  </si>
  <si>
    <t>PM</t>
  </si>
  <si>
    <t>订单号</t>
  </si>
  <si>
    <t>Order type</t>
  </si>
  <si>
    <t>内部相似占比%</t>
  </si>
  <si>
    <t>外部相似占比%</t>
  </si>
  <si>
    <t>容量 MVA</t>
  </si>
  <si>
    <t>电压 KV</t>
  </si>
  <si>
    <t>台数</t>
  </si>
  <si>
    <t>客户</t>
  </si>
  <si>
    <t>设计小组</t>
  </si>
  <si>
    <t>开关型号</t>
  </si>
  <si>
    <t>开关供应商</t>
  </si>
  <si>
    <t>套管供应商</t>
  </si>
  <si>
    <t>其他长周期物料/供应商</t>
  </si>
  <si>
    <t>商务合同是否有或者有效</t>
  </si>
  <si>
    <t>预付款是否收到或者不适用</t>
  </si>
  <si>
    <t>备注</t>
  </si>
  <si>
    <t>长周期物料是否可以提前下单</t>
  </si>
  <si>
    <t>一次图纸提交</t>
  </si>
  <si>
    <t>一次图纸确认</t>
  </si>
  <si>
    <t>二次图纸提交</t>
  </si>
  <si>
    <t>二次图纸确认</t>
  </si>
  <si>
    <t>是否分体  大架子</t>
  </si>
  <si>
    <t>是否试验套管</t>
  </si>
  <si>
    <t>开关数量</t>
  </si>
  <si>
    <t>焊接箱沿</t>
  </si>
  <si>
    <t>矽钢片</t>
  </si>
  <si>
    <t>铁芯明细表图纸</t>
  </si>
  <si>
    <t>线圈明细表图纸</t>
  </si>
  <si>
    <t>套装明细表图纸</t>
  </si>
  <si>
    <t>引线明细表图纸</t>
  </si>
  <si>
    <t>开关</t>
  </si>
  <si>
    <t>套管</t>
  </si>
  <si>
    <t>互感器</t>
  </si>
  <si>
    <t>端子箱</t>
  </si>
  <si>
    <t>仪表</t>
  </si>
  <si>
    <t xml:space="preserve">油箱 /箱盖 </t>
  </si>
  <si>
    <t>储油柜升高座联管</t>
  </si>
  <si>
    <t>外部安装备品备件</t>
  </si>
  <si>
    <t>month</t>
  </si>
  <si>
    <t>new</t>
  </si>
  <si>
    <t>计划时间</t>
  </si>
  <si>
    <t>Chile</t>
  </si>
  <si>
    <t>李咏梅</t>
  </si>
  <si>
    <t>8/11/2022            PV bushing</t>
  </si>
  <si>
    <t>Oct.2022</t>
  </si>
  <si>
    <t>完成时间</t>
  </si>
  <si>
    <t>Si chuan wanfu</t>
  </si>
  <si>
    <t>毕海宁</t>
  </si>
  <si>
    <t>Zhe Jiang wenzhou</t>
  </si>
  <si>
    <t>分体大架子</t>
  </si>
  <si>
    <t>镜像布置</t>
  </si>
  <si>
    <t>10//13/22</t>
  </si>
  <si>
    <t>similar</t>
  </si>
  <si>
    <t>812655/2656</t>
  </si>
  <si>
    <t>Sichuan mianyang</t>
  </si>
  <si>
    <t>Nov.22</t>
  </si>
  <si>
    <t>Shanxi yuncheng repairing</t>
  </si>
  <si>
    <t>惠树武</t>
  </si>
  <si>
    <t>na</t>
  </si>
  <si>
    <t>原开关</t>
  </si>
  <si>
    <t>原套管</t>
  </si>
  <si>
    <t>812710-2716</t>
  </si>
  <si>
    <t>He bei</t>
  </si>
  <si>
    <t>陈振东</t>
  </si>
  <si>
    <t>812696-2697</t>
  </si>
  <si>
    <t>Australia</t>
  </si>
  <si>
    <t>李洪杰</t>
  </si>
  <si>
    <t>812657-2666</t>
  </si>
  <si>
    <t>Saudi NEOM Green Hydrogen</t>
  </si>
  <si>
    <t>是</t>
  </si>
  <si>
    <t>试验套管需具备3台同时试验条件</t>
  </si>
  <si>
    <t>2022年9月份设计计划，图纸一直未确认</t>
  </si>
  <si>
    <t>812699-2702</t>
  </si>
  <si>
    <t>Shan dong Bandao</t>
  </si>
  <si>
    <t>张金环</t>
  </si>
  <si>
    <t>试验套管需具备4台连续试验条件</t>
  </si>
  <si>
    <t>Dec.22</t>
  </si>
  <si>
    <t>Shanxi linfen repairing</t>
  </si>
  <si>
    <t>x</t>
  </si>
  <si>
    <t>返修</t>
  </si>
  <si>
    <t>油箱是否返修</t>
  </si>
  <si>
    <t>812717-2719</t>
  </si>
  <si>
    <t>Qingdao xin en</t>
  </si>
  <si>
    <t>李咏梅</t>
    <phoneticPr fontId="0" type="noConversion"/>
  </si>
  <si>
    <r>
      <t>3</t>
    </r>
    <r>
      <rPr>
        <sz val="8"/>
        <rFont val="宋体"/>
        <family val="2"/>
        <charset val="134"/>
      </rPr>
      <t>套300</t>
    </r>
    <r>
      <rPr>
        <sz val="8"/>
        <rFont val="Arial"/>
        <family val="2"/>
      </rPr>
      <t>KV</t>
    </r>
  </si>
  <si>
    <t>812687-2688</t>
  </si>
  <si>
    <t>Zhangpu liuao</t>
  </si>
  <si>
    <t>毕海宁</t>
    <phoneticPr fontId="0" type="noConversion"/>
  </si>
  <si>
    <r>
      <t>3</t>
    </r>
    <r>
      <rPr>
        <sz val="8"/>
        <rFont val="宋体"/>
        <family val="2"/>
        <charset val="134"/>
      </rPr>
      <t>套300</t>
    </r>
    <r>
      <rPr>
        <sz val="8"/>
        <rFont val="Arial"/>
        <family val="2"/>
      </rPr>
      <t>KV+4</t>
    </r>
    <r>
      <rPr>
        <sz val="8"/>
        <rFont val="宋体"/>
        <family val="2"/>
        <charset val="134"/>
      </rPr>
      <t>套110</t>
    </r>
    <r>
      <rPr>
        <sz val="8"/>
        <rFont val="Arial"/>
        <family val="2"/>
      </rPr>
      <t>KV</t>
    </r>
  </si>
  <si>
    <t>Hubei Xiaoganhanchuan</t>
  </si>
  <si>
    <t>SE Matallana Spain</t>
  </si>
  <si>
    <t>Jan.23</t>
  </si>
  <si>
    <t>812727-2728</t>
  </si>
  <si>
    <t>Zhan jiang xuwen</t>
  </si>
  <si>
    <t>郭运波</t>
    <phoneticPr fontId="0" type="noConversion"/>
  </si>
  <si>
    <r>
      <rPr>
        <sz val="8"/>
        <rFont val="宋体"/>
        <family val="2"/>
        <charset val="134"/>
      </rPr>
      <t>三套300</t>
    </r>
    <r>
      <rPr>
        <sz val="8"/>
        <rFont val="Arial"/>
        <family val="2"/>
      </rPr>
      <t>KV+4</t>
    </r>
    <r>
      <rPr>
        <sz val="8"/>
        <rFont val="宋体"/>
        <family val="2"/>
        <charset val="134"/>
      </rPr>
      <t>套110</t>
    </r>
    <r>
      <rPr>
        <sz val="8"/>
        <rFont val="Arial"/>
        <family val="2"/>
      </rPr>
      <t>KV</t>
    </r>
  </si>
  <si>
    <t>812705/2706</t>
  </si>
  <si>
    <t>CARTAGO A2 Sevilla Spain</t>
  </si>
  <si>
    <t>Jia xing</t>
  </si>
  <si>
    <t>02/13/23</t>
  </si>
  <si>
    <t>02/21/23</t>
  </si>
  <si>
    <t>Feb.23</t>
  </si>
  <si>
    <t>02/14/23</t>
  </si>
  <si>
    <t>812678-2680</t>
  </si>
  <si>
    <t>Spain POTENCIA 420 kV</t>
  </si>
  <si>
    <t>郭运波</t>
  </si>
  <si>
    <t>ABB 套管9/16</t>
  </si>
  <si>
    <t>02/27/23</t>
  </si>
  <si>
    <t>812675与812678内部相同，外部冷却方式不同（812675冷却器）</t>
  </si>
  <si>
    <t>02/17/23</t>
  </si>
  <si>
    <t>Shan dong weifang</t>
  </si>
  <si>
    <t>02/22/23</t>
  </si>
  <si>
    <t>02/28/23</t>
  </si>
  <si>
    <t>812675-2677</t>
  </si>
  <si>
    <t>ABB 套管9/5</t>
  </si>
  <si>
    <t>812675与812678内部相同，外部冷却方式不同（812678片散+油泵）</t>
  </si>
  <si>
    <t>850498/499</t>
  </si>
  <si>
    <t>hangzhou repairing</t>
  </si>
  <si>
    <t>旧站改造扩容</t>
  </si>
  <si>
    <t>使用原先的</t>
  </si>
  <si>
    <t>02/26/23</t>
  </si>
  <si>
    <t>2/28/23</t>
  </si>
  <si>
    <t xml:space="preserve">返厂维修 </t>
  </si>
  <si>
    <t>03/15/23</t>
  </si>
  <si>
    <t>Gansu</t>
  </si>
  <si>
    <t>02/18/23</t>
  </si>
  <si>
    <t>02/24/23</t>
  </si>
  <si>
    <t>02/23/23</t>
  </si>
  <si>
    <t>03/13/23</t>
  </si>
  <si>
    <t>03/24/23</t>
  </si>
  <si>
    <t>3/18/23</t>
  </si>
  <si>
    <t>03/17/23</t>
  </si>
  <si>
    <t>2/23/23</t>
  </si>
  <si>
    <t>图纸还未确认</t>
  </si>
  <si>
    <t>冷却器 2/24/2023</t>
  </si>
  <si>
    <t>3/20/23</t>
  </si>
  <si>
    <t>03/29/23</t>
  </si>
  <si>
    <t>812689-2691</t>
  </si>
  <si>
    <t>Liaoning Panjin</t>
  </si>
  <si>
    <t>3/15/23</t>
  </si>
  <si>
    <t>03/16/23</t>
  </si>
  <si>
    <t>03/27/23</t>
  </si>
  <si>
    <t>01/17/23</t>
  </si>
  <si>
    <t>12/22/22</t>
  </si>
  <si>
    <t>3/21/2023</t>
  </si>
  <si>
    <t>3/24/2023</t>
  </si>
  <si>
    <t>Hubei Enshi</t>
  </si>
  <si>
    <t>3/14/23</t>
  </si>
  <si>
    <t>03/14/23</t>
  </si>
  <si>
    <t>01/18/23</t>
  </si>
  <si>
    <t>AU Golden Plain</t>
  </si>
  <si>
    <t>陈振东</t>
    <phoneticPr fontId="0" type="noConversion"/>
  </si>
  <si>
    <t>3/22/22 </t>
  </si>
  <si>
    <t>812720-23</t>
  </si>
  <si>
    <t>03/20/23</t>
  </si>
  <si>
    <t>03/28/23</t>
  </si>
  <si>
    <t>02/20/23</t>
  </si>
  <si>
    <t>03/21/23</t>
  </si>
  <si>
    <t>Mar.23</t>
  </si>
  <si>
    <t xml:space="preserve">similar </t>
  </si>
  <si>
    <t>3/13/2023      冷却器</t>
  </si>
  <si>
    <t>Shan dong yantai</t>
  </si>
  <si>
    <t>郑瑞阳</t>
    <phoneticPr fontId="0" type="noConversion"/>
  </si>
  <si>
    <t> 12/05/2022</t>
  </si>
  <si>
    <t>3/31/23</t>
  </si>
  <si>
    <t>2/27/23</t>
  </si>
  <si>
    <t>03/31/23</t>
  </si>
  <si>
    <t>03/23/23</t>
  </si>
  <si>
    <t>03/22/23</t>
  </si>
  <si>
    <t>812761-2763</t>
  </si>
  <si>
    <t>same</t>
  </si>
  <si>
    <t>Qinghai</t>
  </si>
  <si>
    <t>油箱3/31上午/，箱盖4/6</t>
  </si>
  <si>
    <t>Shan dong weihai</t>
  </si>
  <si>
    <t>01/30/23 </t>
  </si>
  <si>
    <t>812736-2737</t>
  </si>
  <si>
    <t>ShanDong Zaozhuang</t>
  </si>
  <si>
    <t>04/20/23</t>
  </si>
  <si>
    <t>Belgium</t>
  </si>
  <si>
    <t>是(用812775~2778替代）</t>
  </si>
  <si>
    <t>4/16/23</t>
  </si>
  <si>
    <t>4/25/23</t>
  </si>
  <si>
    <t>4/14/23</t>
  </si>
  <si>
    <t>4/23/23</t>
  </si>
  <si>
    <t>Apr.23</t>
  </si>
  <si>
    <t>812758~2760</t>
  </si>
  <si>
    <t>Jiang xi</t>
  </si>
  <si>
    <t>812652/2653</t>
  </si>
  <si>
    <t>Zhe Jiang Quzhou</t>
  </si>
  <si>
    <t>ShanDong Liaocheng</t>
  </si>
  <si>
    <t>19/12/2022 </t>
  </si>
  <si>
    <t>19/02/2023</t>
  </si>
  <si>
    <t>812396-2398</t>
  </si>
  <si>
    <t>Chengdu</t>
  </si>
  <si>
    <t>赵元海</t>
  </si>
  <si>
    <t>水冷却器</t>
  </si>
  <si>
    <t>LV+HV 共6支试验套管，第一台中压试验套管用656套管替代</t>
  </si>
  <si>
    <t>Wuxi redian</t>
  </si>
  <si>
    <t>19/01/2023</t>
  </si>
  <si>
    <t>16/03/2023</t>
  </si>
  <si>
    <t>May.23</t>
  </si>
  <si>
    <t>冷却器已提供订单</t>
  </si>
  <si>
    <t>Romania Arefu</t>
  </si>
  <si>
    <t>12/20/22 </t>
  </si>
  <si>
    <t> 12/20/22</t>
  </si>
  <si>
    <t>2/15/23              HSP 套管</t>
  </si>
  <si>
    <t>NGCP</t>
  </si>
  <si>
    <t>ShanDong Qixia</t>
  </si>
  <si>
    <t>June.23</t>
  </si>
  <si>
    <t>客户没确认</t>
  </si>
  <si>
    <t>812738-2741</t>
  </si>
  <si>
    <t>Qingdao haiwanhuaxue</t>
  </si>
  <si>
    <t>是</t>
    <phoneticPr fontId="0" type="noConversion"/>
  </si>
  <si>
    <r>
      <t>3</t>
    </r>
    <r>
      <rPr>
        <sz val="8"/>
        <rFont val="宋体"/>
        <family val="2"/>
        <charset val="134"/>
      </rPr>
      <t>支高压</t>
    </r>
  </si>
  <si>
    <t>STCL试验中变</t>
  </si>
  <si>
    <t>Spain</t>
  </si>
  <si>
    <t>3支40.5KV</t>
  </si>
  <si>
    <t>812775-2778</t>
  </si>
  <si>
    <t>July.23</t>
  </si>
  <si>
    <t>Hebei baoxi</t>
  </si>
  <si>
    <t>812748-2749</t>
  </si>
  <si>
    <t>Philippines</t>
  </si>
  <si>
    <t>812587-2589</t>
  </si>
  <si>
    <t>导变812587</t>
  </si>
  <si>
    <t>UK</t>
  </si>
  <si>
    <t>8月份武汉V800007</t>
  </si>
  <si>
    <t>只有内部设计</t>
  </si>
  <si>
    <t>Shanxi shuozhou repairing</t>
  </si>
  <si>
    <t>郑瑞阳</t>
  </si>
  <si>
    <t>812809-2811</t>
  </si>
  <si>
    <t>Gansu Jinchang hexi</t>
  </si>
  <si>
    <t>8/10/2023  冷却器</t>
  </si>
  <si>
    <t>Aug.23</t>
  </si>
  <si>
    <t>812796-2797</t>
  </si>
  <si>
    <t>similar 812795</t>
  </si>
  <si>
    <t>HeNan zhengzhou</t>
  </si>
  <si>
    <t>12/30/22 </t>
  </si>
  <si>
    <t> 1/20/23</t>
  </si>
  <si>
    <t> 1/10/23</t>
  </si>
  <si>
    <t>未确认</t>
  </si>
  <si>
    <t>812782-2783</t>
  </si>
  <si>
    <t>Egpyt Kom Ombo 500MW PV</t>
  </si>
  <si>
    <t>Sep.23</t>
  </si>
  <si>
    <t>23FY</t>
  </si>
  <si>
    <t>Zhejiang jiangmen</t>
  </si>
  <si>
    <t>设计总数</t>
  </si>
  <si>
    <t>出口数量</t>
  </si>
  <si>
    <t>Australia Wambo WF</t>
  </si>
  <si>
    <t>国内数量</t>
  </si>
  <si>
    <t>出口占比</t>
  </si>
  <si>
    <t>812798-2803</t>
  </si>
  <si>
    <t>客户未确认</t>
  </si>
  <si>
    <t>812743-2745-2746</t>
  </si>
  <si>
    <t xml:space="preserve">Portugal </t>
  </si>
  <si>
    <t>5/8/23HSP 套管</t>
  </si>
  <si>
    <t>812828-2830</t>
  </si>
  <si>
    <t>OKI-2 New PDS System(Indonesia)</t>
  </si>
  <si>
    <t>3支300kV试验套管</t>
  </si>
  <si>
    <t>812812-2813</t>
  </si>
  <si>
    <t>similar
812620</t>
  </si>
  <si>
    <t>AnHui LiuanShandu</t>
  </si>
  <si>
    <t>出口</t>
  </si>
  <si>
    <t>国内</t>
  </si>
  <si>
    <t>Hunan Yiyang Daijiazhou</t>
  </si>
  <si>
    <t>Oct.23</t>
  </si>
  <si>
    <t>812785~2787</t>
  </si>
  <si>
    <t>Saudi Arabia Neom Green Statcom</t>
  </si>
  <si>
    <t>无</t>
  </si>
  <si>
    <t>NA</t>
  </si>
  <si>
    <t>12/08/2022 </t>
  </si>
  <si>
    <r>
      <t xml:space="preserve">7/242023        </t>
    </r>
    <r>
      <rPr>
        <sz val="8"/>
        <color rgb="FFFF0000"/>
        <rFont val="Arial"/>
        <family val="2"/>
      </rPr>
      <t>PV 套管</t>
    </r>
  </si>
  <si>
    <t>Nov.23</t>
  </si>
  <si>
    <t>没有开关</t>
  </si>
  <si>
    <t>812817-2822</t>
  </si>
  <si>
    <t>LiaoNing Fengtian</t>
  </si>
  <si>
    <t>差基础</t>
  </si>
  <si>
    <t>短路试验要求</t>
  </si>
  <si>
    <t>Shanxi Jinzhong repairing</t>
  </si>
  <si>
    <t>812779-2780</t>
  </si>
  <si>
    <t>Canada</t>
  </si>
  <si>
    <t>9/4 高压套管 PCORE</t>
  </si>
  <si>
    <t>10/25/23</t>
  </si>
  <si>
    <t>11/30/23</t>
  </si>
  <si>
    <t>Dec.23</t>
  </si>
  <si>
    <t>812789-2792</t>
  </si>
  <si>
    <t>12/29/23</t>
  </si>
  <si>
    <t>11/22/23</t>
  </si>
  <si>
    <t>11/16/23</t>
  </si>
  <si>
    <t>12/14/23</t>
  </si>
  <si>
    <t>GuangdongJiangmen</t>
  </si>
  <si>
    <t>12/20/23</t>
  </si>
  <si>
    <t>11/23/23</t>
  </si>
  <si>
    <t>12/26/23</t>
  </si>
  <si>
    <t>旧开关</t>
  </si>
  <si>
    <t>12/21/23</t>
  </si>
  <si>
    <t>Shanxi yuncheng linjin repairing</t>
  </si>
  <si>
    <t>2023-12-</t>
  </si>
  <si>
    <t>12/18/23</t>
  </si>
  <si>
    <t>12/28/23</t>
  </si>
  <si>
    <t>11/15/23</t>
  </si>
  <si>
    <t>预计11月份拆解测量</t>
  </si>
  <si>
    <t>812750-2751</t>
  </si>
  <si>
    <t>HuBei</t>
  </si>
  <si>
    <t xml:space="preserve">Armenian NPP </t>
  </si>
  <si>
    <t>01/13/24</t>
  </si>
  <si>
    <t>11/26/23</t>
  </si>
  <si>
    <t>12/27/23</t>
  </si>
  <si>
    <t>01/18/24</t>
  </si>
  <si>
    <t>Jan.24</t>
  </si>
  <si>
    <t>10/23/203</t>
  </si>
  <si>
    <t>10/26/23</t>
  </si>
  <si>
    <t>客户还在修改参数</t>
  </si>
  <si>
    <t>850596-597</t>
  </si>
  <si>
    <t>Zhejiang Ningbo taoyuan</t>
  </si>
  <si>
    <t>Spain REE</t>
  </si>
  <si>
    <t>01/15/24</t>
  </si>
  <si>
    <t>01/19/24</t>
  </si>
  <si>
    <t>9/7/ ABB 套管</t>
  </si>
  <si>
    <t>2023/10/23
套管参数澄清</t>
  </si>
  <si>
    <t>9/7/ABB 套管</t>
  </si>
  <si>
    <t>12/28/20236</t>
  </si>
  <si>
    <t>11/24/23</t>
  </si>
  <si>
    <t>812839~2841</t>
  </si>
  <si>
    <t xml:space="preserve">Chile SE Gabriela </t>
  </si>
  <si>
    <t>高伟廷</t>
  </si>
  <si>
    <t>法国传奇   12/21/2023</t>
  </si>
  <si>
    <t>850585~588</t>
  </si>
  <si>
    <t>Guang xi Liuzhou 500KVshaTang</t>
  </si>
  <si>
    <t>812815/2816</t>
  </si>
  <si>
    <t>AnHui Lingyun</t>
  </si>
  <si>
    <t>Feb.24</t>
  </si>
  <si>
    <t>812832/2833</t>
  </si>
  <si>
    <t>UAE_Habshan_Transco</t>
  </si>
  <si>
    <t>MR</t>
  </si>
  <si>
    <t>10/30/203</t>
  </si>
  <si>
    <t>HV 3支300kV 中性点1支110kV</t>
  </si>
  <si>
    <t>02/27&amp;3/5/2024</t>
  </si>
  <si>
    <t>施乐百风机</t>
  </si>
  <si>
    <t>Spain VALLE SOLAR-GENIA</t>
  </si>
  <si>
    <t>812580-2852</t>
  </si>
  <si>
    <t>Shandong Weifang NiHe 500kV</t>
  </si>
  <si>
    <t>12/21/2023</t>
  </si>
  <si>
    <t>Zhejiang Jinhua lanhua</t>
  </si>
  <si>
    <t>Mar.24</t>
  </si>
  <si>
    <t>TZ-TBEA_220kV 9LOT</t>
  </si>
  <si>
    <t>812857-2858</t>
  </si>
  <si>
    <t>812931-2933</t>
  </si>
  <si>
    <t>Ma HuiLing</t>
  </si>
  <si>
    <t>戚彬</t>
  </si>
  <si>
    <t>合肥ABB</t>
  </si>
  <si>
    <t>泰州新源、魏德曼</t>
  </si>
  <si>
    <t>Yes</t>
  </si>
  <si>
    <t>NO</t>
  </si>
  <si>
    <t>已完成审批流程</t>
  </si>
  <si>
    <t>交货期急</t>
  </si>
  <si>
    <t xml:space="preserve"> Indonesia Data Center</t>
  </si>
  <si>
    <t>MR suzhou</t>
  </si>
  <si>
    <t>沈阳传奇</t>
  </si>
  <si>
    <t>N/A</t>
  </si>
  <si>
    <t>Apr.24</t>
  </si>
  <si>
    <t>812842/2843</t>
  </si>
  <si>
    <t>Trech Shenyang</t>
  </si>
  <si>
    <t>MFC 收到</t>
  </si>
  <si>
    <t>SE Belgium  Navagne</t>
  </si>
  <si>
    <t xml:space="preserve">Trech Shenyang
</t>
  </si>
  <si>
    <t>Canada Kiewit OPH2_Green Hydrogen Project</t>
  </si>
  <si>
    <t>Trech Shenyang 
9月初</t>
  </si>
  <si>
    <t>套管已批准</t>
  </si>
  <si>
    <t>812807-2808</t>
  </si>
  <si>
    <t>Australia_ Supernode Station</t>
  </si>
  <si>
    <t>HSP</t>
  </si>
  <si>
    <t>300kV试验套管3支/台</t>
  </si>
  <si>
    <t>1/25/2025    HSP套管</t>
  </si>
  <si>
    <t>HeBei ChengDe</t>
  </si>
  <si>
    <t>X</t>
  </si>
  <si>
    <t>zhida</t>
  </si>
  <si>
    <t>铁芯利旧</t>
  </si>
  <si>
    <t>Canada Napanee Battery Energy Storage</t>
  </si>
  <si>
    <t>Meramec CT/30 weeks、Doble monitor</t>
  </si>
  <si>
    <t>CT Meramec, USA</t>
  </si>
  <si>
    <t>Australia Yurika SWANBANK project</t>
  </si>
  <si>
    <t>李红杰</t>
  </si>
  <si>
    <t>客户更改绝缘水平</t>
  </si>
  <si>
    <t>开关更改厂家，重新设计</t>
  </si>
  <si>
    <t>812901~2903&amp;2905~2911</t>
  </si>
  <si>
    <t xml:space="preserve">ADNOC Hail &amp; Gasha </t>
  </si>
  <si>
    <t>Zhida</t>
  </si>
  <si>
    <t>OLTC 提图但未批准</t>
  </si>
  <si>
    <t>3个300kV试验套管</t>
  </si>
  <si>
    <t>ZheJiang Jia Xing Nanhu</t>
  </si>
  <si>
    <t>Chile Solar Cell</t>
  </si>
  <si>
    <t>PV</t>
  </si>
  <si>
    <r>
      <t xml:space="preserve">3/7/2024                    PV </t>
    </r>
    <r>
      <rPr>
        <sz val="8"/>
        <rFont val="微软雅黑"/>
        <family val="2"/>
        <charset val="134"/>
      </rPr>
      <t>套管</t>
    </r>
  </si>
  <si>
    <t>Peru Solar Plant</t>
  </si>
  <si>
    <t>HV套管未批准，其他套管已批准</t>
  </si>
  <si>
    <t>PV 套管</t>
  </si>
  <si>
    <t>812915-2920</t>
  </si>
  <si>
    <t>Canada_Oneida Project</t>
  </si>
  <si>
    <t>QTMS，7023 硅钢片</t>
  </si>
  <si>
    <t>导变</t>
  </si>
  <si>
    <t>Australia Wellington BESS</t>
  </si>
  <si>
    <t>RIP(Trench Zhida)</t>
  </si>
  <si>
    <t>光纤quolitrol</t>
  </si>
  <si>
    <t>No</t>
  </si>
  <si>
    <t>Australia King Rocks WF project</t>
  </si>
  <si>
    <t>AKM温度表、在线监测</t>
  </si>
  <si>
    <t>2/8/HSP套管</t>
  </si>
  <si>
    <t>812941-2942</t>
  </si>
  <si>
    <t>Romania Iepuresti project</t>
  </si>
  <si>
    <t>Trench Shenyang</t>
  </si>
  <si>
    <t>812836/2837</t>
  </si>
  <si>
    <t>Romania  Statcom system</t>
  </si>
  <si>
    <t>2/18HSP 套管</t>
  </si>
  <si>
    <t>812871~2899</t>
  </si>
  <si>
    <t xml:space="preserve">Iraq </t>
  </si>
  <si>
    <t>Trench ShenYang</t>
  </si>
  <si>
    <t>hot project only</t>
  </si>
  <si>
    <t>812865-2866</t>
  </si>
  <si>
    <t>Chile Horizonte</t>
  </si>
  <si>
    <t>3/6 PV 套管</t>
  </si>
  <si>
    <t>812945/2946</t>
  </si>
  <si>
    <t>UAE ADNOC BAB FAR NORTH</t>
  </si>
  <si>
    <t xml:space="preserve"> Lithuania  Akmene II</t>
  </si>
  <si>
    <t>Hua Ming</t>
  </si>
  <si>
    <t>812929-2930</t>
  </si>
  <si>
    <t>UAE ADNOC</t>
  </si>
  <si>
    <t>812952/2953</t>
  </si>
  <si>
    <t>France_Paris_225kV_Data4 project</t>
  </si>
  <si>
    <t>812950/2951</t>
  </si>
  <si>
    <t>CA Gigafactory in Quebec</t>
  </si>
  <si>
    <t>Trench Shen Yang ECTA RIP</t>
  </si>
  <si>
    <t>光纤 quolitrol</t>
  </si>
  <si>
    <t>812938~2940</t>
  </si>
  <si>
    <t>UK GLP Project Olympus</t>
  </si>
  <si>
    <t>Trench &amp; Zhida</t>
  </si>
  <si>
    <t>KP 插拔头</t>
  </si>
  <si>
    <t>812921-2922</t>
  </si>
  <si>
    <t>HeFei</t>
  </si>
  <si>
    <t>812755-2757</t>
  </si>
  <si>
    <t>Fujian</t>
  </si>
  <si>
    <t>812936/2937</t>
  </si>
  <si>
    <t>Ningbo Hongtang</t>
  </si>
  <si>
    <t>812752-2753</t>
  </si>
  <si>
    <t>TBD</t>
  </si>
  <si>
    <t>812855-2856</t>
  </si>
  <si>
    <t>Zhejiang Hangzhou ZhuQiao</t>
  </si>
  <si>
    <t>HuNAN</t>
  </si>
  <si>
    <t>812860-2862</t>
  </si>
  <si>
    <t>Australia WPC, NREP project</t>
  </si>
  <si>
    <t>HSP 套管</t>
  </si>
  <si>
    <t>Romania  Brazi Vest Substation</t>
  </si>
  <si>
    <t>812846~2848</t>
  </si>
  <si>
    <t xml:space="preserve">Portugal Startcampus EHV SS </t>
  </si>
  <si>
    <t>812645-2651</t>
  </si>
  <si>
    <t>Zhida 500 RIP</t>
  </si>
  <si>
    <t>光纤测温，锐开代理的进口监测</t>
  </si>
  <si>
    <t>图纸已批复</t>
  </si>
  <si>
    <t>812958-2962</t>
  </si>
  <si>
    <t>Australia GPWF2</t>
  </si>
  <si>
    <t>开关二次是否确认</t>
  </si>
  <si>
    <t>郑瑞阳</t>
    <phoneticPr fontId="60" type="noConversion"/>
  </si>
  <si>
    <t>高伟廷</t>
    <phoneticPr fontId="60" type="noConversion"/>
  </si>
  <si>
    <t>May.24</t>
  </si>
  <si>
    <t>4台连续排产是否够 用？</t>
  </si>
  <si>
    <t>急 2024/9</t>
  </si>
  <si>
    <t>812912/2913</t>
  </si>
  <si>
    <t>Shen Neng hainan</t>
  </si>
  <si>
    <t>812965/2966</t>
  </si>
  <si>
    <t>Australia Culcairn Solar Farm project</t>
  </si>
  <si>
    <t>Ji Lin Baicheng Fujia</t>
  </si>
  <si>
    <t>RO Cornatelu</t>
  </si>
  <si>
    <t>智达</t>
  </si>
  <si>
    <t>合肥ABB，低压智达</t>
  </si>
  <si>
    <t>李咏梅</t>
    <phoneticPr fontId="60" type="noConversion"/>
  </si>
  <si>
    <t>陈振东</t>
    <phoneticPr fontId="60" type="noConversion"/>
  </si>
  <si>
    <t>郭运波</t>
    <phoneticPr fontId="60" type="noConversion"/>
  </si>
  <si>
    <t>戚彬</t>
    <phoneticPr fontId="60" type="noConversion"/>
  </si>
  <si>
    <t>Trench Shen Yang</t>
  </si>
  <si>
    <t>yes</t>
  </si>
  <si>
    <t>Trench Shenyang + Zhida</t>
  </si>
  <si>
    <t>Same</t>
  </si>
  <si>
    <t>812779/2780</t>
  </si>
  <si>
    <t>Australia Wambo Wind Farm stage 2</t>
  </si>
  <si>
    <t>Huaming</t>
  </si>
  <si>
    <t>Trench Shenyang + zhida</t>
  </si>
  <si>
    <t>Tranmix 2000, DGA MS 9,Fiber Optic Quolitrol</t>
  </si>
  <si>
    <t>高中-甲供, 其他智达</t>
  </si>
  <si>
    <t>与812832一样</t>
  </si>
  <si>
    <t>HeFei AnQing</t>
  </si>
  <si>
    <t>Hua ming</t>
  </si>
  <si>
    <t>UK Thurrock</t>
  </si>
  <si>
    <t>812967-2972</t>
  </si>
  <si>
    <t>RO PV Butimanu</t>
  </si>
  <si>
    <t>June.2024</t>
  </si>
  <si>
    <t>利旧</t>
    <phoneticPr fontId="60" type="noConversion"/>
  </si>
  <si>
    <t>5.29供应商反馈图纸发往客户确认</t>
  </si>
  <si>
    <t>用旧CT</t>
  </si>
  <si>
    <t>Saudi NEOM GRID PACKAGE Project</t>
  </si>
  <si>
    <t>Shen Yang Trench/Zhida</t>
  </si>
  <si>
    <t>利旧</t>
  </si>
  <si>
    <t>huaming</t>
  </si>
  <si>
    <t>已进行流程审批</t>
  </si>
  <si>
    <t xml:space="preserve">ABB </t>
  </si>
  <si>
    <t xml:space="preserve">Zhida </t>
  </si>
  <si>
    <t>确认增加电压抽头价格</t>
  </si>
  <si>
    <t>设计订单6/18</t>
  </si>
  <si>
    <t>急</t>
  </si>
  <si>
    <t>导变812698</t>
  </si>
  <si>
    <t>否</t>
  </si>
  <si>
    <t>6/12/2024 MFC</t>
  </si>
  <si>
    <t>5/17 OLTC</t>
  </si>
  <si>
    <t>导变 812657 NEOM</t>
  </si>
  <si>
    <t>4/8/2024套管批复</t>
  </si>
  <si>
    <t>未提交</t>
  </si>
  <si>
    <t>套管更改为带均压球</t>
  </si>
  <si>
    <t>4/30 LCC、5/9 OLTC</t>
  </si>
  <si>
    <t>高压套管确认，低压及开关未确认</t>
  </si>
  <si>
    <t>6/19 LCC</t>
  </si>
  <si>
    <t>July.2024</t>
  </si>
  <si>
    <t>邢晓静</t>
    <phoneticPr fontId="60" type="noConversion"/>
  </si>
  <si>
    <t>06/18/24</t>
  </si>
  <si>
    <t>06/28/24</t>
  </si>
  <si>
    <t>06/30/24</t>
  </si>
  <si>
    <t>04/20/24</t>
  </si>
  <si>
    <t>07/15/24</t>
  </si>
  <si>
    <t>07/18/24</t>
  </si>
  <si>
    <t>06/21/24</t>
  </si>
  <si>
    <t>06/26/24</t>
  </si>
  <si>
    <t>05/24/24</t>
  </si>
  <si>
    <t>06/15/24</t>
  </si>
  <si>
    <t>06/24/24</t>
  </si>
  <si>
    <t>电算确认按照原开关执行</t>
  </si>
  <si>
    <t>3支500kV试验套管</t>
  </si>
  <si>
    <r>
      <t>外置</t>
    </r>
    <r>
      <rPr>
        <sz val="8"/>
        <color rgb="FF0000FF"/>
        <rFont val="Arial"/>
        <family val="2"/>
      </rPr>
      <t>CT</t>
    </r>
    <r>
      <rPr>
        <sz val="8"/>
        <color rgb="FF0000FF"/>
        <rFont val="宋体"/>
        <family val="2"/>
        <charset val="134"/>
      </rPr>
      <t>未确认</t>
    </r>
  </si>
  <si>
    <t xml:space="preserve">Romania  Draganesti Olt </t>
  </si>
  <si>
    <r>
      <t>AKM温度表、在线监测，</t>
    </r>
    <r>
      <rPr>
        <sz val="8"/>
        <color rgb="FFFF0000"/>
        <rFont val="Arial"/>
        <family val="2"/>
      </rPr>
      <t>光纤监测</t>
    </r>
  </si>
  <si>
    <t>812985~2993</t>
  </si>
  <si>
    <t>XinJiang Naomaohu 750kV</t>
  </si>
  <si>
    <t>Shanxi linfen zhengzhuang repairing</t>
  </si>
  <si>
    <t>山西朔州翠微2号主变返厂大修</t>
  </si>
  <si>
    <t>山西运城桃园2号主变返厂大修</t>
  </si>
  <si>
    <t>山西运城临晋3号主变返厂大修</t>
  </si>
  <si>
    <t>Australia _CPP Williamsdale BESS</t>
  </si>
  <si>
    <r>
      <rPr>
        <b/>
        <sz val="8"/>
        <rFont val="Arial"/>
        <family val="2"/>
      </rPr>
      <t>计划时间</t>
    </r>
    <r>
      <rPr>
        <b/>
        <sz val="8"/>
        <color rgb="FF0000FF"/>
        <rFont val="Arial"/>
        <family val="2"/>
      </rPr>
      <t xml:space="preserve"> 完成时间</t>
    </r>
  </si>
  <si>
    <t>Aug.2024</t>
  </si>
  <si>
    <t>812998/999</t>
  </si>
  <si>
    <t>812996/2997</t>
  </si>
  <si>
    <t xml:space="preserve"> Indonesia Vantage Data Center KL</t>
  </si>
  <si>
    <t>Indonesia  _BCEI Johor Bahru Project</t>
  </si>
  <si>
    <t>STCL testing transformer</t>
  </si>
  <si>
    <t xml:space="preserve"> Spain REE reactors</t>
  </si>
  <si>
    <t xml:space="preserve"> Portugal REN </t>
  </si>
  <si>
    <t>813001-3003</t>
  </si>
  <si>
    <t>813006-3015</t>
  </si>
  <si>
    <t>Philippines TERRA NE 2 Solar Power Project</t>
  </si>
  <si>
    <t xml:space="preserve">CA Napanee Simple Cycle </t>
  </si>
  <si>
    <t>进口ABB</t>
  </si>
  <si>
    <t>Sep.2024</t>
  </si>
  <si>
    <t>进口ABB 8/21</t>
  </si>
  <si>
    <t>苏州MR</t>
  </si>
  <si>
    <t>500kV 魏德曼</t>
  </si>
  <si>
    <t>MR NO Load</t>
  </si>
  <si>
    <t>8/9 是</t>
  </si>
  <si>
    <t>智达干式 灰色</t>
  </si>
  <si>
    <t>Trench Shen Yang RIP</t>
  </si>
  <si>
    <t>n/A</t>
  </si>
  <si>
    <t>传奇-高中，低压智达</t>
  </si>
  <si>
    <t>3个开关</t>
  </si>
  <si>
    <t>3支40.5kV试验套管</t>
  </si>
  <si>
    <t>4支40.5kV试验套管</t>
  </si>
  <si>
    <t>9月2号提供成型件，其它9/5结束</t>
  </si>
  <si>
    <t>8月29号提供成型件，其它9/5结束</t>
  </si>
  <si>
    <t>Romania Trivalea Mosteni</t>
  </si>
  <si>
    <t>813017~3019</t>
  </si>
  <si>
    <t xml:space="preserve">South Africa_ ESKOM </t>
  </si>
  <si>
    <t>UAE Transco Mobile S/S at Liwa West, Hameem &amp; Haffar</t>
  </si>
  <si>
    <t>24FY</t>
  </si>
  <si>
    <t>813021/3022</t>
  </si>
  <si>
    <t xml:space="preserve">Romania Banca </t>
  </si>
  <si>
    <t>Oct.2024</t>
  </si>
  <si>
    <t>RO Calafat</t>
  </si>
  <si>
    <t>进口ABB 9/20/2024</t>
  </si>
  <si>
    <t>812955~2957</t>
  </si>
  <si>
    <t>3支300kV西电套管</t>
  </si>
  <si>
    <t>9/27/2024 LCC</t>
  </si>
  <si>
    <t>6/17/2024 LCC
8/26/2024OLTC</t>
  </si>
  <si>
    <t>光纤</t>
  </si>
  <si>
    <t>8/2/8/2024</t>
  </si>
  <si>
    <t>Trench Shen yang</t>
  </si>
  <si>
    <t xml:space="preserve">Mexico Las Glorias </t>
  </si>
  <si>
    <t>唐山乐亭月坨岛海上风电</t>
  </si>
  <si>
    <t>Nov.2024</t>
  </si>
  <si>
    <t>原铁芯</t>
  </si>
  <si>
    <t>10/22/24</t>
  </si>
  <si>
    <t>10/16/24</t>
  </si>
  <si>
    <t>10/18/24</t>
  </si>
  <si>
    <t>08/22/24</t>
  </si>
  <si>
    <t>09/20/24</t>
  </si>
  <si>
    <t>10/17/24</t>
  </si>
  <si>
    <t>10/28/204</t>
  </si>
  <si>
    <t>09/25/24</t>
  </si>
  <si>
    <t>10/25/24</t>
  </si>
  <si>
    <t>05/21/24</t>
  </si>
  <si>
    <t>10/30/24</t>
  </si>
  <si>
    <t>09/28/24</t>
  </si>
  <si>
    <t>是(错层)</t>
  </si>
  <si>
    <r>
      <t>11/10/2024,</t>
    </r>
    <r>
      <rPr>
        <sz val="8"/>
        <color rgb="FFFF0000"/>
        <rFont val="Arial"/>
        <family val="2"/>
      </rPr>
      <t xml:space="preserve"> 进口铁芯饼10月份已提供</t>
    </r>
  </si>
  <si>
    <t>已改MR</t>
  </si>
  <si>
    <t>Venezuela project</t>
  </si>
  <si>
    <t>813046-3048</t>
  </si>
  <si>
    <t>Si chuan 500kV</t>
  </si>
  <si>
    <t>813029-3031</t>
  </si>
  <si>
    <t>Finland_Kristinestad &amp; Anttila SVC PLUS</t>
  </si>
  <si>
    <t>MR无载</t>
  </si>
  <si>
    <t>simialr</t>
  </si>
  <si>
    <t>813050~3053</t>
  </si>
  <si>
    <t>Peru SUNNY II Solar Plant</t>
  </si>
  <si>
    <t>813055-3057</t>
  </si>
  <si>
    <t>Egypt SCATEC</t>
  </si>
  <si>
    <t>813058-3059</t>
  </si>
  <si>
    <t>813060/3061</t>
  </si>
  <si>
    <t>Hang zhou WanAn</t>
  </si>
  <si>
    <t>813069-3070</t>
  </si>
  <si>
    <t>Supernode BESS stage 3 project</t>
  </si>
  <si>
    <t>HSP 12/2</t>
  </si>
  <si>
    <t>Dec.2024</t>
  </si>
  <si>
    <t>10/28/2024
客户把华明改为MR</t>
  </si>
  <si>
    <t>10/15/2024
改RIP套管</t>
  </si>
  <si>
    <t>11/8/2024 零相套管厂家没确定</t>
  </si>
  <si>
    <t>邢晓静</t>
  </si>
  <si>
    <t>9/14/2024/2024-11-26</t>
  </si>
  <si>
    <t>设计评审</t>
  </si>
  <si>
    <t>占用3支试验套管</t>
  </si>
  <si>
    <t>813065-3068</t>
  </si>
  <si>
    <t>Indonesia Amazon</t>
  </si>
  <si>
    <t>型号没确定</t>
  </si>
  <si>
    <t>电压等级没确定</t>
  </si>
  <si>
    <t>2024-11-27通知改为智达</t>
  </si>
  <si>
    <t>智达，西电</t>
  </si>
  <si>
    <t>和新</t>
  </si>
  <si>
    <t>ABB</t>
  </si>
  <si>
    <t>ABB 智达</t>
  </si>
  <si>
    <t>瑞士ABB</t>
  </si>
  <si>
    <t>France Trench</t>
  </si>
  <si>
    <t>MR VM</t>
  </si>
  <si>
    <t>Yes, only 2 Units</t>
  </si>
  <si>
    <t>sensformer +H2guard</t>
  </si>
  <si>
    <t>ABB OLTC</t>
  </si>
  <si>
    <t>ZheJiang Jiaxing jianshan</t>
  </si>
  <si>
    <t>813075-3076-3077</t>
  </si>
  <si>
    <r>
      <t>湖北省军山</t>
    </r>
    <r>
      <rPr>
        <sz val="10"/>
        <color rgb="FF000000"/>
        <rFont val="Arial"/>
        <family val="2"/>
      </rPr>
      <t>500kV</t>
    </r>
    <r>
      <rPr>
        <sz val="10"/>
        <color rgb="FF000000"/>
        <rFont val="微软雅黑"/>
        <family val="2"/>
        <charset val="134"/>
      </rPr>
      <t>变电站</t>
    </r>
  </si>
  <si>
    <t>813081-3087</t>
  </si>
  <si>
    <t>UAE Masdar Renewable&amp; Bess Project</t>
  </si>
  <si>
    <t>Jan.25</t>
  </si>
  <si>
    <t>HSP套管8/24</t>
  </si>
  <si>
    <t>AU CWO SVC 4</t>
  </si>
  <si>
    <t>813079/3080</t>
  </si>
  <si>
    <t>Laos_老挝SAVAN 300MW风电项目_</t>
  </si>
  <si>
    <t>813072/3073</t>
  </si>
  <si>
    <t>Romania PV Visina Project</t>
  </si>
  <si>
    <t>与812755相似</t>
  </si>
  <si>
    <t>813095-3096</t>
  </si>
  <si>
    <t xml:space="preserve"> Portugal REN</t>
  </si>
  <si>
    <t>1/8/25 HSP</t>
  </si>
  <si>
    <t xml:space="preserve">Peru Caraveli </t>
  </si>
  <si>
    <t>813097/3098</t>
  </si>
  <si>
    <t>AU Tailem Bend III</t>
  </si>
  <si>
    <t>Hungary PV park Sihalom 220kV Solarpro Holding 
Project</t>
  </si>
  <si>
    <t>813099/3100</t>
  </si>
  <si>
    <t>出线装置先按3月中旬</t>
  </si>
  <si>
    <t>813101~3103</t>
  </si>
  <si>
    <t>UAE Haffar</t>
  </si>
  <si>
    <t>Feb.25</t>
  </si>
  <si>
    <t>813115-3123</t>
  </si>
  <si>
    <t>Mar.25</t>
  </si>
  <si>
    <t>813108/3109</t>
  </si>
  <si>
    <t>Chile VERANO ENERGY - PV Domeyko</t>
  </si>
  <si>
    <t>ABB套管瑞典+ comem 2/21/26</t>
  </si>
  <si>
    <t>Apr.25</t>
  </si>
  <si>
    <t>Egypt Nagaa Hammadi</t>
  </si>
  <si>
    <t>813026-3027</t>
  </si>
  <si>
    <t>Nigeria PPI 尼日利亚</t>
  </si>
  <si>
    <t>Egypt Kom Ombo(Shanghai Electric)</t>
  </si>
  <si>
    <t>PV,Comem 2/10</t>
  </si>
  <si>
    <r>
      <rPr>
        <strike/>
        <sz val="8"/>
        <color rgb="FF000000"/>
        <rFont val="Arial"/>
        <family val="2"/>
      </rPr>
      <t>瑞典ABB</t>
    </r>
    <r>
      <rPr>
        <sz val="8"/>
        <color indexed="8"/>
        <rFont val="Arial"/>
        <family val="2"/>
      </rPr>
      <t xml:space="preserve"> MR</t>
    </r>
  </si>
  <si>
    <t>813090~3093</t>
  </si>
  <si>
    <t>UK Statera Energy Framework - Grid Transformers for various BESS sites</t>
  </si>
  <si>
    <t>813111~313</t>
  </si>
  <si>
    <t>Shandong Binzhou 渤海变500千伏变电站新建工程项目</t>
  </si>
  <si>
    <t>813130-3032</t>
  </si>
  <si>
    <t>Shandong Qindao 观龙500kV变电站主变扩建工程项目</t>
  </si>
  <si>
    <t>813145-3147</t>
  </si>
  <si>
    <t>813125-3126</t>
  </si>
  <si>
    <t>audi Arabia Aramco Asia project</t>
  </si>
  <si>
    <t>等待PTC评审</t>
  </si>
  <si>
    <t>算单更新增加铁芯窗高</t>
  </si>
  <si>
    <t>3支220kV试验套管/台</t>
  </si>
  <si>
    <t xml:space="preserve"> </t>
  </si>
  <si>
    <t>占用6支库存试验套管</t>
  </si>
  <si>
    <t>带降噪隔音板+外罩房子</t>
  </si>
  <si>
    <t>华明开关</t>
  </si>
  <si>
    <t>Jiangsu tushan220KV</t>
  </si>
  <si>
    <t>Romania Scornicesti</t>
  </si>
  <si>
    <t>12/3/20024</t>
  </si>
  <si>
    <t>Hexin, Zhi Da</t>
  </si>
  <si>
    <t>Yes,but 8th is No</t>
  </si>
  <si>
    <t>Trench ShenYang.ZHida</t>
  </si>
  <si>
    <t>HuaMing</t>
  </si>
  <si>
    <t>hua Ming</t>
  </si>
  <si>
    <t>传奇</t>
  </si>
  <si>
    <t>PV &amp; Comem</t>
  </si>
  <si>
    <t>shenyang hexin</t>
  </si>
  <si>
    <t>ZhiDa</t>
  </si>
  <si>
    <t>813155/3156</t>
  </si>
  <si>
    <t>Vietnam 500kV Shunt Reactor</t>
  </si>
  <si>
    <t>813157/3158</t>
  </si>
  <si>
    <t>Vietnam CPMB_500kV Shunt Reactor</t>
  </si>
  <si>
    <t>Romania Trepezita</t>
  </si>
  <si>
    <t>广西防城港220kV潭松站1号主变返厂</t>
  </si>
  <si>
    <t>May.25</t>
  </si>
  <si>
    <t>June.25</t>
  </si>
  <si>
    <t>x 利旧</t>
  </si>
  <si>
    <t>2025-04-15 dome</t>
  </si>
  <si>
    <t>04/22/25</t>
  </si>
  <si>
    <t>02/26/2025</t>
  </si>
  <si>
    <t>4/22/2025 dome</t>
  </si>
  <si>
    <t>无开关</t>
  </si>
  <si>
    <t>3只300kV试验套管</t>
  </si>
  <si>
    <t>New</t>
  </si>
  <si>
    <t>HVhHV0法国传奇 5/6</t>
  </si>
  <si>
    <t>813175-77</t>
  </si>
  <si>
    <t>山东官亭500千伏变电站主变扩建工程</t>
  </si>
  <si>
    <t>813178-80</t>
  </si>
  <si>
    <t>山东济南500千伏主变增容工程</t>
  </si>
  <si>
    <t>813170-73</t>
  </si>
  <si>
    <t xml:space="preserve">Philippines GIGA 6 ACEN North Wind </t>
  </si>
  <si>
    <t>广州设计</t>
  </si>
  <si>
    <t>813161-62</t>
  </si>
  <si>
    <t xml:space="preserve">Romania Corbii Mari </t>
  </si>
  <si>
    <t>MR VRS</t>
  </si>
  <si>
    <t>Trafo Gran Teno</t>
  </si>
  <si>
    <r>
      <t>宁德霞浦海上风电场B</t>
    </r>
    <r>
      <rPr>
        <sz val="10"/>
        <color theme="1"/>
        <rFont val="DengXian"/>
      </rPr>
      <t>区项目</t>
    </r>
  </si>
  <si>
    <r>
      <t>山西朔州供电公司</t>
    </r>
    <r>
      <rPr>
        <sz val="11"/>
        <color theme="1"/>
        <rFont val="Aptos"/>
        <family val="2"/>
      </rPr>
      <t>220kV</t>
    </r>
    <r>
      <rPr>
        <sz val="11"/>
        <color theme="1"/>
        <rFont val="宋体"/>
        <family val="3"/>
        <charset val="134"/>
      </rPr>
      <t>亲和变电站</t>
    </r>
    <r>
      <rPr>
        <sz val="11"/>
        <color theme="1"/>
        <rFont val="Aptos"/>
        <family val="2"/>
      </rPr>
      <t>1</t>
    </r>
    <r>
      <rPr>
        <sz val="11"/>
        <color theme="1"/>
        <rFont val="宋体"/>
        <family val="3"/>
        <charset val="134"/>
      </rPr>
      <t>号主变返厂大修</t>
    </r>
  </si>
  <si>
    <t>Trench Shen Yang/Zhida</t>
  </si>
  <si>
    <t>5/12/2025部分内容未确认</t>
  </si>
  <si>
    <t>05/13/25</t>
  </si>
  <si>
    <t>05/16/25</t>
  </si>
  <si>
    <t>05/21/25</t>
  </si>
  <si>
    <t>客户更改冷却参数，油箱，散热器更改</t>
  </si>
  <si>
    <t>813151-3152</t>
  </si>
  <si>
    <t>813191/3192</t>
  </si>
  <si>
    <t>宁德霞浦电抗器</t>
  </si>
  <si>
    <t>Chile Algarrobal (offer to Spain SE)</t>
  </si>
  <si>
    <t xml:space="preserve">Philippines Meralco
</t>
  </si>
  <si>
    <t>July.25</t>
  </si>
  <si>
    <t>813195-3196</t>
  </si>
  <si>
    <t>Senegal CEGELEC Maroc</t>
  </si>
  <si>
    <t>法国传奇6/27</t>
  </si>
  <si>
    <t>Poland BC Wind</t>
  </si>
  <si>
    <t>Aug.25</t>
  </si>
  <si>
    <t>器身二次打压</t>
  </si>
  <si>
    <t>2025-0420</t>
  </si>
  <si>
    <t>06/18/2025</t>
  </si>
  <si>
    <t>06/23/25</t>
  </si>
  <si>
    <t>06/26/25</t>
  </si>
  <si>
    <t>7/11/25     出线装置7/7</t>
  </si>
  <si>
    <t>7/10/25，   出线装置7/4</t>
  </si>
  <si>
    <t>813197/3198</t>
  </si>
  <si>
    <t>Canada _ SaskPowerTableLand SVC project</t>
  </si>
  <si>
    <t>813181/3182</t>
  </si>
  <si>
    <t>Vietnam QUANG TRACH Reactor</t>
  </si>
  <si>
    <t>813165-3167</t>
  </si>
  <si>
    <t>813168-3169</t>
  </si>
  <si>
    <t>山西大同220kV御东变电站1号主变返厂大修</t>
  </si>
  <si>
    <t>山西吕梁110kV凤城3#主变返修</t>
  </si>
  <si>
    <t>813205-3207</t>
  </si>
  <si>
    <t>UAE TRANSCO_N-20016 NEW 220/33 KV ICAD-N SUBSTATION</t>
  </si>
  <si>
    <t>潍坊500千伏变电站主变扩建工程</t>
  </si>
  <si>
    <t>山东渔盐500千伏变电站新建工程</t>
  </si>
  <si>
    <t>陶驿（菏泽Ⅳ）500千伏变电站新建工程</t>
  </si>
  <si>
    <t>深圳能源汕尾红海湾六海上风电项目</t>
  </si>
  <si>
    <t>Malaysia Samalaju 275KV</t>
  </si>
  <si>
    <t>07/13/25</t>
  </si>
  <si>
    <t>07/16/25</t>
  </si>
  <si>
    <t>07/15/25</t>
  </si>
  <si>
    <t>3个散热器支架</t>
  </si>
  <si>
    <t>3个500kV,7GE 72.5kV</t>
  </si>
  <si>
    <t>7/222025</t>
  </si>
  <si>
    <t>8/1/2025 最晚上午</t>
  </si>
  <si>
    <t>813215-3217</t>
  </si>
  <si>
    <t>广州富山&amp;昌岗站主变返厂大修</t>
  </si>
  <si>
    <t>813208-3210</t>
  </si>
  <si>
    <t>813211-3213</t>
  </si>
  <si>
    <t xml:space="preserve"> Spain IGNIS Lote</t>
  </si>
  <si>
    <t>South Africa _ Eskom</t>
  </si>
  <si>
    <t>CA Enbridge_Seven Star</t>
  </si>
  <si>
    <t>史乾坤</t>
  </si>
  <si>
    <t>周骞</t>
  </si>
  <si>
    <t>林立润</t>
  </si>
  <si>
    <t>邓亮</t>
  </si>
  <si>
    <t>张勇</t>
  </si>
  <si>
    <t>庄琰</t>
  </si>
  <si>
    <t>黄丹慧</t>
  </si>
  <si>
    <t>周坤</t>
  </si>
  <si>
    <t>Zhi Da</t>
  </si>
  <si>
    <t>DGA/fiber optic/UHF</t>
  </si>
  <si>
    <t>813037-3043</t>
  </si>
  <si>
    <t>Fiber Rugged</t>
  </si>
  <si>
    <t>传奇+智达</t>
  </si>
  <si>
    <t>MR利旧</t>
  </si>
  <si>
    <t>耐克森电缆终端、EMB气体继电器</t>
  </si>
  <si>
    <t>Trench</t>
  </si>
  <si>
    <t>MR  NLTC tap changer</t>
  </si>
  <si>
    <t xml:space="preserve">Trench China OIP for HV&amp;HVN/ RIP for IPB on LV. </t>
  </si>
  <si>
    <t>合肥Hitachi</t>
  </si>
  <si>
    <t xml:space="preserve">Trench/Zhida </t>
  </si>
  <si>
    <t xml:space="preserve">MR </t>
  </si>
  <si>
    <t>江苏智达</t>
  </si>
  <si>
    <t>No MFC</t>
  </si>
  <si>
    <t>蒙网.珠斯楞主变扩建工程</t>
  </si>
  <si>
    <t>项目经理</t>
  </si>
  <si>
    <t>未确认图纸</t>
  </si>
  <si>
    <t>Taiwan Formosa 6 Offshore substation project</t>
  </si>
  <si>
    <t>Taiwan Formosa 6 Offshore substation project 电抗器</t>
  </si>
  <si>
    <t>Sep.25</t>
  </si>
  <si>
    <t xml:space="preserve">Romania VACARENI WPP </t>
  </si>
  <si>
    <t>813245-3250</t>
  </si>
  <si>
    <r>
      <t>蒙东苏左</t>
    </r>
    <r>
      <rPr>
        <sz val="10"/>
        <color rgb="FF000000"/>
        <rFont val="Arial"/>
        <family val="2"/>
      </rPr>
      <t>500</t>
    </r>
    <r>
      <rPr>
        <sz val="10"/>
        <color rgb="FF000000"/>
        <rFont val="宋体"/>
        <family val="3"/>
        <charset val="134"/>
      </rPr>
      <t>千伏变电站新建工程</t>
    </r>
  </si>
  <si>
    <t>813240/3241</t>
  </si>
  <si>
    <t>UAE ADNOC HABSHAN GAS COMPRESSOR PLANT_Phase 2</t>
  </si>
  <si>
    <t>Oct.25</t>
  </si>
  <si>
    <t>08/29/25</t>
  </si>
  <si>
    <t>09/16/25</t>
  </si>
  <si>
    <t>算单更改重新设计</t>
  </si>
  <si>
    <t>客户未确认接口箱图纸</t>
  </si>
  <si>
    <t>3只300kV+3只72.5kV试验套管</t>
  </si>
  <si>
    <t>850731&amp;732</t>
  </si>
  <si>
    <t xml:space="preserve">Australia Golden Plains BESS </t>
  </si>
  <si>
    <t>Portgual REN</t>
  </si>
  <si>
    <t>PIF5</t>
  </si>
  <si>
    <t>813255/3256</t>
  </si>
  <si>
    <t>Canada_Brighton Mountain Wind Farm</t>
  </si>
  <si>
    <t xml:space="preserve">Trench </t>
  </si>
  <si>
    <t>813220/3221</t>
  </si>
  <si>
    <t xml:space="preserve">Australia Punch Creek Project </t>
  </si>
  <si>
    <t>813238/3239</t>
  </si>
  <si>
    <t>813251/3252</t>
  </si>
  <si>
    <t>铁芯利旧?</t>
  </si>
  <si>
    <t>Nov.25</t>
  </si>
  <si>
    <t>813258~3263</t>
  </si>
  <si>
    <t>浙江礼贤500kV变电站</t>
  </si>
  <si>
    <t>813265/3266</t>
  </si>
  <si>
    <t xml:space="preserve">Paraguay, RFQ REACTOR </t>
  </si>
  <si>
    <t>Dec.25</t>
  </si>
  <si>
    <t>11/31/25</t>
  </si>
  <si>
    <t>2025-10--9</t>
  </si>
  <si>
    <t>850732交货期更着急</t>
  </si>
  <si>
    <t>每台4支电压大于 145kV套管,</t>
  </si>
  <si>
    <t>要求26年5月底交货</t>
  </si>
  <si>
    <t>16/06/2025</t>
  </si>
  <si>
    <t>23/07/025</t>
  </si>
  <si>
    <t>01/20/26</t>
  </si>
  <si>
    <t>12/29/25</t>
  </si>
  <si>
    <t>02/13/26</t>
  </si>
  <si>
    <t>03/21/26</t>
  </si>
  <si>
    <t>02/20/26</t>
  </si>
  <si>
    <t>01/15/26</t>
  </si>
  <si>
    <t>02/15/26</t>
  </si>
  <si>
    <t>5/6/2025</t>
  </si>
  <si>
    <t>8/20/25</t>
  </si>
  <si>
    <t>813267-70</t>
  </si>
  <si>
    <t>Vietnam Laos_EDH TECHNOLOGY  Phila WPP</t>
  </si>
  <si>
    <t>风机 施乐百</t>
  </si>
  <si>
    <t>智达+和新</t>
  </si>
  <si>
    <t>11/25/25</t>
  </si>
  <si>
    <t>STWH</t>
  </si>
  <si>
    <t>11/14/25</t>
  </si>
  <si>
    <t>12/30/25</t>
  </si>
  <si>
    <t>03/30/26</t>
  </si>
  <si>
    <t>12/31/25</t>
  </si>
  <si>
    <t xml:space="preserve">Romania Trivalea Mosteni </t>
  </si>
  <si>
    <t>11/27/2025</t>
  </si>
  <si>
    <t>12/31/2025</t>
  </si>
  <si>
    <t>813275-3276</t>
  </si>
  <si>
    <t>Australia Powercor Mt Cotterll</t>
  </si>
  <si>
    <t>813279-3280</t>
  </si>
  <si>
    <t>Malaysia MY Vantage 二期 酯油</t>
  </si>
  <si>
    <t>813292-3293</t>
  </si>
  <si>
    <t>Townsville Supernode BESS</t>
  </si>
  <si>
    <t>813271-3273</t>
  </si>
  <si>
    <t>Australia Powercor Truganina</t>
  </si>
  <si>
    <t>Romania Valter Maracineanu</t>
  </si>
  <si>
    <t xml:space="preserve">Romania Yarok Romania </t>
  </si>
  <si>
    <t>Jan.26</t>
  </si>
  <si>
    <t>11/26/2025（端子箱支撑）</t>
  </si>
  <si>
    <t>pm通知暂停</t>
  </si>
  <si>
    <t>025/11/13</t>
  </si>
  <si>
    <t>813295-3300</t>
  </si>
  <si>
    <t>宁夏闽宁750千伏变电站新建工程</t>
  </si>
  <si>
    <t>813301-3302</t>
  </si>
  <si>
    <t>北京青云220kV输变电工程</t>
  </si>
  <si>
    <t xml:space="preserve">需检查 </t>
  </si>
  <si>
    <t>是否利旧？</t>
  </si>
  <si>
    <t>Romania_Pestera project</t>
  </si>
  <si>
    <t>813303-3319</t>
  </si>
  <si>
    <t>813288-3289</t>
  </si>
  <si>
    <t>Spain REE La Secuita&amp;Litoral 400kV Shunt Reactor</t>
  </si>
  <si>
    <t>813290-3291</t>
  </si>
  <si>
    <t>REE SE San Fost &amp;Meco 220kV Shunt Reactor</t>
  </si>
  <si>
    <t>Romania Pestera project</t>
  </si>
  <si>
    <t>11/28/25</t>
  </si>
  <si>
    <t>10/17/25</t>
  </si>
  <si>
    <t xml:space="preserve">  </t>
  </si>
  <si>
    <t>Feb.26</t>
  </si>
  <si>
    <t>813225~3230</t>
    <phoneticPr fontId="60" type="noConversion"/>
  </si>
  <si>
    <t xml:space="preserve"> no</t>
  </si>
  <si>
    <t>26/01/26</t>
  </si>
  <si>
    <t>武汉厂图纸未确认</t>
  </si>
  <si>
    <t>01/23/26</t>
  </si>
  <si>
    <t>155 MVAr</t>
  </si>
  <si>
    <r>
      <rPr>
        <sz val="8"/>
        <color rgb="FFFF0000"/>
        <rFont val="Arial"/>
        <family val="2"/>
      </rPr>
      <t>HSP</t>
    </r>
    <r>
      <rPr>
        <sz val="8"/>
        <rFont val="Arial"/>
        <family val="2"/>
      </rPr>
      <t xml:space="preserve"> 3/3/25</t>
    </r>
  </si>
  <si>
    <t>Kelvion冷却器（10个月）</t>
  </si>
  <si>
    <t>所有订单号</t>
  </si>
  <si>
    <t xml:space="preserve">Peru Alupar </t>
  </si>
  <si>
    <t>Australia _LSBP Lower Wonga Solar Farm</t>
  </si>
  <si>
    <t>暂停排产</t>
  </si>
  <si>
    <t>Mar.26</t>
  </si>
  <si>
    <t>冷却器</t>
  </si>
  <si>
    <t>Romania Noria 2 project</t>
  </si>
  <si>
    <t xml:space="preserve"> 散热器</t>
  </si>
  <si>
    <t>风机</t>
  </si>
  <si>
    <t>813326/3327</t>
  </si>
  <si>
    <t>Malaysia Serian</t>
  </si>
  <si>
    <t>813329-3331</t>
  </si>
  <si>
    <t>South Africa ESKOM</t>
  </si>
  <si>
    <t xml:space="preserve"> Spain REE电抗器</t>
  </si>
  <si>
    <t>Apr.26</t>
  </si>
  <si>
    <t>813352/53/55/56</t>
  </si>
  <si>
    <t>Vietnam Laos Phakao project</t>
  </si>
  <si>
    <t>813283/85/86/87</t>
  </si>
  <si>
    <t>2/112026</t>
  </si>
  <si>
    <t>不适用</t>
  </si>
  <si>
    <t>813337-3338</t>
  </si>
  <si>
    <t xml:space="preserve">Malaysia_Equinix JHB03 Data center </t>
  </si>
  <si>
    <t>Romania CEF Arad</t>
  </si>
  <si>
    <t>813345-3351</t>
  </si>
  <si>
    <t xml:space="preserve">Romania Iron Gates </t>
  </si>
  <si>
    <t>试验套管替代 试验</t>
  </si>
  <si>
    <t>广东院珠海高栏一海上风电</t>
  </si>
  <si>
    <t>May.26</t>
  </si>
  <si>
    <t>813236-3237</t>
  </si>
  <si>
    <t>Google project</t>
  </si>
  <si>
    <t>Koncar风机</t>
  </si>
  <si>
    <t>3支500kV 试验套管</t>
  </si>
  <si>
    <t>HSP套管提前下发
2025-08-20</t>
  </si>
  <si>
    <t>813368-70</t>
  </si>
  <si>
    <t>甘肃酒泉玉门750千伏变电站主变扩建工程变电工程</t>
  </si>
  <si>
    <t>郑州500千伏变电站增容改造工程</t>
  </si>
  <si>
    <t>油箱返厂</t>
  </si>
  <si>
    <t>813385-3386</t>
  </si>
  <si>
    <t>Poland Gryfino project</t>
  </si>
  <si>
    <t>813375-3380</t>
  </si>
  <si>
    <t>813381-3383</t>
  </si>
  <si>
    <t>June.26</t>
  </si>
  <si>
    <t>开关利旧</t>
  </si>
  <si>
    <t>风扇Krenz-FS26,</t>
  </si>
  <si>
    <t>813387-3388-3389</t>
  </si>
  <si>
    <t>Romania Mintia</t>
  </si>
  <si>
    <t>813340-3341-3342-3343</t>
  </si>
  <si>
    <t>1/7/26进口ABB</t>
  </si>
  <si>
    <t>进口ABB提前下发</t>
  </si>
  <si>
    <t>配合降噪方案调整设计细节</t>
  </si>
  <si>
    <t>05/22/26</t>
  </si>
  <si>
    <t>05/29/26</t>
  </si>
  <si>
    <t>Romania Mintia project</t>
  </si>
  <si>
    <t>Romania Rosiori &amp; Ungheni</t>
  </si>
  <si>
    <t>山西运城绛县2#主变返厂大修</t>
  </si>
  <si>
    <t>813357-3359，813392</t>
  </si>
  <si>
    <t>追加一台813392</t>
  </si>
  <si>
    <t>813340/3341改为与813342/3343相同设计</t>
  </si>
  <si>
    <t>813408-3409</t>
  </si>
  <si>
    <t>山东创新沙特SEC项目电抗器</t>
  </si>
  <si>
    <t>813399-3401</t>
  </si>
  <si>
    <t>Romania_ CERNAVODA</t>
  </si>
  <si>
    <t>813405-3407</t>
  </si>
  <si>
    <t>Indonesia 150kV DCI H3</t>
  </si>
  <si>
    <t>813395-3398</t>
  </si>
  <si>
    <t>UK Statera Energy-Chickerell&amp;Cullum BESS Projects</t>
  </si>
  <si>
    <t>July.2026</t>
  </si>
  <si>
    <t>06/18/26</t>
  </si>
  <si>
    <t>3支420kV,3支52kV</t>
  </si>
  <si>
    <t>6只300kV试验套管</t>
  </si>
  <si>
    <t>未签合同</t>
  </si>
  <si>
    <t>813410-3411</t>
  </si>
  <si>
    <t xml:space="preserve">Australia Parron Developments and Atmos Renewables </t>
  </si>
  <si>
    <r>
      <rPr>
        <sz val="10"/>
        <color theme="1"/>
        <rFont val="微软雅黑"/>
        <family val="2"/>
        <charset val="134"/>
      </rPr>
      <t>沙特</t>
    </r>
    <r>
      <rPr>
        <sz val="12"/>
        <color theme="1"/>
        <rFont val="Aptos"/>
        <family val="2"/>
      </rPr>
      <t>SEC</t>
    </r>
    <r>
      <rPr>
        <sz val="12"/>
        <color theme="1"/>
        <rFont val="DengXian"/>
      </rPr>
      <t>电抗器中变</t>
    </r>
    <phoneticPr fontId="60" type="noConversion"/>
  </si>
  <si>
    <t>Peru_Photovoltaic Power Plant Lupi</t>
    <phoneticPr fontId="60" type="noConversion"/>
  </si>
  <si>
    <r>
      <rPr>
        <sz val="8"/>
        <color rgb="FFFF0000"/>
        <rFont val="微软雅黑"/>
        <family val="2"/>
        <charset val="134"/>
      </rPr>
      <t>武汉厂设计，需导入</t>
    </r>
    <r>
      <rPr>
        <sz val="8"/>
        <color rgb="FFFF0000"/>
        <rFont val="Arial"/>
        <family val="2"/>
      </rPr>
      <t>PLM</t>
    </r>
    <r>
      <rPr>
        <sz val="8"/>
        <color rgb="FFFF0000"/>
        <rFont val="微软雅黑"/>
        <family val="2"/>
        <charset val="134"/>
      </rPr>
      <t>系统</t>
    </r>
    <phoneticPr fontId="60" type="noConversion"/>
  </si>
  <si>
    <t>813362-3363</t>
  </si>
  <si>
    <t>UK_IGP-Cottam West Burton</t>
  </si>
  <si>
    <t>试验套管型号及 数量</t>
  </si>
  <si>
    <t>印尼OKI-3 期项目</t>
  </si>
  <si>
    <t>Vietnam 500kV DongNai2_Package 14</t>
  </si>
  <si>
    <t>Aug.2026</t>
  </si>
  <si>
    <t>闫霞</t>
  </si>
  <si>
    <t>是/2个冷却器分体大架子</t>
  </si>
  <si>
    <t>无风机</t>
  </si>
  <si>
    <t>07/24/26</t>
  </si>
  <si>
    <t>07/17/26</t>
  </si>
  <si>
    <t>武汉厂未完成设计</t>
  </si>
  <si>
    <t>07/22/26</t>
  </si>
  <si>
    <t>07/28/26</t>
  </si>
  <si>
    <t>浙江温州横阳变</t>
  </si>
  <si>
    <t>李世升</t>
  </si>
  <si>
    <t>是，大架子利旧 项目经理协调温升试验</t>
  </si>
  <si>
    <t>07/28//2026</t>
  </si>
  <si>
    <t>8/05/26冷却器</t>
  </si>
  <si>
    <t>8/15/2026</t>
  </si>
  <si>
    <t>利旧，再增加2组</t>
  </si>
  <si>
    <t>出线装置需提前出图</t>
  </si>
  <si>
    <t>等offer PM070</t>
  </si>
  <si>
    <t>油箱需要提前下发，813355油箱给酯油项目当油罐用</t>
  </si>
  <si>
    <t>0804/26</t>
  </si>
  <si>
    <t>项目经理通知，延后6个月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</si>
</sst>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dd/yy;@"/>
    <numFmt numFmtId="165" formatCode="[$-409]d\-mmm\-yy;@"/>
    <numFmt numFmtId="166" formatCode="m/d/yy;@"/>
    <numFmt numFmtId="167" formatCode="0.0%"/>
  </numFmts>
  <fonts count="108">
    <font>
      <sz val="10"/>
      <color theme="1"/>
      <name val="SimHe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8"/>
      <color rgb="FF0000FF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1"/>
      <name val="Calibri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indexed="8"/>
      <name val="Arial"/>
      <family val="2"/>
    </font>
    <font>
      <sz val="7"/>
      <name val="Arial"/>
      <family val="2"/>
    </font>
    <font>
      <sz val="9"/>
      <color indexed="8"/>
      <name val="Arial"/>
      <family val="2"/>
    </font>
    <font>
      <sz val="8"/>
      <color rgb="FF0000FF"/>
      <name val="Arial"/>
      <family val="2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sz val="10"/>
      <color rgb="FF000000"/>
      <name val="Tahoma"/>
      <family val="2"/>
    </font>
    <font>
      <sz val="1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11"/>
      <name val="Calibri"/>
      <family val="2"/>
    </font>
    <font>
      <sz val="8"/>
      <name val="宋体"/>
      <family val="2"/>
      <charset val="134"/>
    </font>
    <font>
      <sz val="10"/>
      <color rgb="FF000000"/>
      <name val="Arial"/>
      <family val="2"/>
    </font>
    <font>
      <sz val="8"/>
      <name val="Arial"/>
      <family val="2"/>
      <charset val="134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b/>
      <sz val="8"/>
      <color rgb="FFFF3300"/>
      <name val="Arial"/>
      <family val="2"/>
    </font>
    <font>
      <sz val="11"/>
      <color theme="1"/>
      <name val="Calibri"/>
      <family val="2"/>
    </font>
    <font>
      <b/>
      <sz val="10"/>
      <color rgb="FFFF0000"/>
      <name val="Arial"/>
      <family val="2"/>
    </font>
    <font>
      <b/>
      <sz val="11"/>
      <color rgb="FFFF3300"/>
      <name val="Calibri"/>
      <family val="2"/>
    </font>
    <font>
      <sz val="8"/>
      <color rgb="FF0070C0"/>
      <name val="Arial"/>
      <family val="2"/>
    </font>
    <font>
      <sz val="8"/>
      <color rgb="FFFF3300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</font>
    <font>
      <sz val="7"/>
      <color theme="1"/>
      <name val="Arial"/>
      <family val="2"/>
    </font>
    <font>
      <sz val="9"/>
      <color rgb="FF000000"/>
      <name val="Arial"/>
      <family val="2"/>
    </font>
    <font>
      <sz val="10"/>
      <color theme="0"/>
      <name val="Arial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8"/>
      <color theme="1"/>
      <name val="Calibri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8"/>
      <color rgb="FF0070C0"/>
      <name val="Arial"/>
      <family val="2"/>
    </font>
    <font>
      <b/>
      <sz val="9"/>
      <color rgb="FFFF0000"/>
      <name val="Arial"/>
      <family val="2"/>
    </font>
    <font>
      <sz val="8"/>
      <name val="微软雅黑"/>
      <family val="2"/>
      <charset val="134"/>
    </font>
    <font>
      <sz val="11"/>
      <color rgb="FF212121"/>
      <name val="DengXi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宋体"/>
      <family val="3"/>
      <charset val="134"/>
    </font>
    <font>
      <sz val="9"/>
      <name val="SimHei"/>
      <family val="2"/>
      <charset val="134"/>
    </font>
    <font>
      <sz val="8"/>
      <color rgb="FF002060"/>
      <name val="Arial"/>
      <family val="2"/>
    </font>
    <font>
      <sz val="8"/>
      <color rgb="FF0000FF"/>
      <name val="宋体"/>
      <family val="2"/>
      <charset val="134"/>
    </font>
    <font>
      <sz val="9"/>
      <color rgb="FFFF0000"/>
      <name val="SimHei"/>
      <family val="2"/>
      <charset val="134"/>
    </font>
    <font>
      <sz val="8"/>
      <color rgb="FF0000FF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11"/>
      <color theme="1"/>
      <name val="Aptos"/>
      <family val="2"/>
    </font>
    <font>
      <sz val="9"/>
      <name val="Arial"/>
      <family val="2"/>
    </font>
    <font>
      <sz val="9"/>
      <color theme="1"/>
      <name val="SimHei"/>
      <family val="2"/>
      <charset val="134"/>
    </font>
    <font>
      <sz val="8"/>
      <color theme="1"/>
      <name val="SimHei"/>
      <family val="2"/>
      <charset val="134"/>
    </font>
    <font>
      <sz val="10"/>
      <color rgb="FF000000"/>
      <name val="微软雅黑"/>
      <family val="2"/>
      <charset val="134"/>
    </font>
    <font>
      <sz val="8"/>
      <color rgb="FFFF0000"/>
      <name val="Arial"/>
      <family val="2"/>
    </font>
    <font>
      <sz val="8"/>
      <name val="Arial"/>
      <family val="2"/>
    </font>
    <font>
      <sz val="8"/>
      <color rgb="FF00B0F0"/>
      <name val="Arial"/>
      <family val="2"/>
    </font>
    <font>
      <sz val="10"/>
      <color rgb="FFFF0000"/>
      <name val="SimHei"/>
      <family val="2"/>
      <charset val="134"/>
    </font>
    <font>
      <sz val="9"/>
      <color theme="1"/>
      <name val="宋体"/>
      <family val="3"/>
      <charset val="134"/>
    </font>
    <font>
      <strike/>
      <sz val="8"/>
      <color rgb="FF000000"/>
      <name val="Arial"/>
      <family val="2"/>
    </font>
    <font>
      <sz val="12"/>
      <color theme="1"/>
      <name val="Aptos"/>
      <family val="2"/>
    </font>
    <font>
      <sz val="12"/>
      <color theme="1"/>
      <name val="DengXian"/>
    </font>
    <font>
      <sz val="7"/>
      <color rgb="FF0000FF"/>
      <name val="Arial"/>
      <family val="2"/>
    </font>
    <font>
      <sz val="10"/>
      <name val="SimHei"/>
      <family val="2"/>
      <charset val="134"/>
    </font>
    <font>
      <sz val="10"/>
      <color theme="1"/>
      <name val="宋体"/>
      <family val="3"/>
      <charset val="134"/>
    </font>
    <font>
      <sz val="12"/>
      <color theme="1"/>
      <name val="Calibri"/>
      <family val="2"/>
      <scheme val="minor"/>
    </font>
    <font>
      <sz val="10"/>
      <color theme="1"/>
      <name val="Aptos"/>
      <family val="2"/>
    </font>
    <font>
      <sz val="10"/>
      <color theme="1"/>
      <name val="DengXian"/>
    </font>
    <font>
      <sz val="11"/>
      <color theme="1"/>
      <name val="宋体"/>
      <family val="3"/>
      <charset val="134"/>
    </font>
    <font>
      <sz val="10.5"/>
      <name val="Arial"/>
      <family val="2"/>
    </font>
    <font>
      <sz val="11"/>
      <name val="宋体"/>
      <family val="3"/>
      <charset val="134"/>
    </font>
    <font>
      <b/>
      <sz val="11"/>
      <name val="Arial"/>
      <family val="2"/>
    </font>
    <font>
      <sz val="10"/>
      <color rgb="FF000000"/>
      <name val="宋体"/>
      <family val="3"/>
      <charset val="134"/>
    </font>
    <font>
      <b/>
      <sz val="9"/>
      <color theme="1"/>
      <name val="Arial"/>
      <family val="2"/>
    </font>
    <font>
      <sz val="9"/>
      <color rgb="FF000000"/>
      <name val="Microsoft YaHei UI"/>
      <family val="2"/>
      <charset val="134"/>
    </font>
    <font>
      <sz val="7"/>
      <color rgb="FFFF0000"/>
      <name val="Arial"/>
      <family val="2"/>
    </font>
    <font>
      <sz val="11"/>
      <color rgb="FF000000"/>
      <name val="Aptos"/>
      <family val="2"/>
    </font>
    <font>
      <sz val="11"/>
      <color theme="1"/>
      <name val="等线"/>
      <family val="3"/>
      <charset val="134"/>
    </font>
    <font>
      <b/>
      <sz val="11"/>
      <name val="Calibri"/>
      <family val="2"/>
      <charset val="134"/>
    </font>
    <font>
      <sz val="7"/>
      <name val="Arial"/>
      <family val="2"/>
      <charset val="134"/>
    </font>
    <font>
      <b/>
      <sz val="8"/>
      <color rgb="FF00B0F0"/>
      <name val="Arial"/>
      <family val="2"/>
    </font>
    <font>
      <sz val="10"/>
      <color rgb="FF000000"/>
      <name val="宋体"/>
      <family val="3"/>
      <charset val="134"/>
    </font>
    <font>
      <b/>
      <sz val="11"/>
      <color rgb="FFFF0000"/>
      <name val="Calibri"/>
      <family val="2"/>
      <charset val="134"/>
    </font>
    <font>
      <sz val="12"/>
      <color rgb="FFFF0000"/>
      <name val="Arial"/>
      <family val="2"/>
    </font>
    <font>
      <sz val="11"/>
      <color indexed="8"/>
      <name val="Calibri"/>
      <family val="2"/>
      <scheme val="minor"/>
    </font>
    <font>
      <sz val="11"/>
      <name val="Aptos"/>
      <family val="2"/>
    </font>
    <font>
      <sz val="10"/>
      <color theme="1"/>
      <name val="微软雅黑"/>
      <family val="2"/>
      <charset val="134"/>
    </font>
    <font>
      <sz val="10"/>
      <color theme="1"/>
      <name val="Arial"/>
      <family val="2"/>
      <charset val="134"/>
    </font>
    <font>
      <sz val="8"/>
      <color rgb="FFFF0000"/>
      <name val="微软雅黑"/>
      <family val="2"/>
      <charset val="134"/>
    </font>
    <font>
      <sz val="8"/>
      <color rgb="FFFF0000"/>
      <name val="Arial"/>
      <family val="2"/>
      <charset val="134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CC"/>
        <bgColor indexed="64"/>
      </patternFill>
    </fill>
    <fill>
      <patternFill patternType="lightVertical"/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FB85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BFBFBF"/>
        <bgColor rgb="FF000000"/>
      </patternFill>
    </fill>
    <fill>
      <patternFill patternType="lightVertical">
        <f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3300"/>
        <bgColor rgb="FF000000"/>
      </patternFill>
    </fill>
    <fill>
      <patternFill patternType="solid">
        <fgColor rgb="FFFF33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1FA8E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5">
    <xf numFmtId="0" fontId="0" fillId="0" borderId="0"/>
    <xf numFmtId="0" fontId="9" fillId="0" borderId="0"/>
    <xf numFmtId="165" fontId="18" fillId="0" borderId="0"/>
    <xf numFmtId="165" fontId="7" fillId="0" borderId="0"/>
    <xf numFmtId="165" fontId="5" fillId="0" borderId="0"/>
    <xf numFmtId="165" fontId="5" fillId="0" borderId="0"/>
    <xf numFmtId="165" fontId="4" fillId="0" borderId="0"/>
    <xf numFmtId="165" fontId="4" fillId="0" borderId="0"/>
    <xf numFmtId="165" fontId="4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165" fontId="1" fillId="0" borderId="0"/>
    <xf numFmtId="0" fontId="102" fillId="0" borderId="0"/>
  </cellStyleXfs>
  <cellXfs count="64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8" fillId="2" borderId="0" xfId="0" applyFont="1" applyFill="1"/>
    <xf numFmtId="1" fontId="0" fillId="2" borderId="0" xfId="0" applyNumberFormat="1" applyFill="1"/>
    <xf numFmtId="164" fontId="10" fillId="3" borderId="0" xfId="1" applyNumberFormat="1" applyFont="1" applyFill="1" applyAlignment="1">
      <alignment vertical="top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14" fontId="0" fillId="2" borderId="0" xfId="0" applyNumberFormat="1" applyFill="1"/>
    <xf numFmtId="0" fontId="0" fillId="0" borderId="2" xfId="0" applyBorder="1" applyAlignment="1">
      <alignment horizontal="center" vertical="center" wrapText="1" shrinkToFit="1"/>
    </xf>
    <xf numFmtId="0" fontId="0" fillId="0" borderId="3" xfId="0" applyBorder="1" applyAlignment="1">
      <alignment vertical="center" wrapText="1" shrinkToFit="1"/>
    </xf>
    <xf numFmtId="0" fontId="0" fillId="4" borderId="3" xfId="0" applyFill="1" applyBorder="1" applyAlignment="1">
      <alignment horizontal="center" vertical="center" wrapText="1" shrinkToFit="1"/>
    </xf>
    <xf numFmtId="0" fontId="11" fillId="0" borderId="3" xfId="0" applyFont="1" applyBorder="1" applyAlignment="1">
      <alignment horizontal="center" vertical="center" wrapText="1" shrinkToFit="1"/>
    </xf>
    <xf numFmtId="0" fontId="0" fillId="0" borderId="3" xfId="0" applyBorder="1" applyAlignment="1">
      <alignment horizontal="center" vertical="center" wrapText="1" shrinkToFit="1"/>
    </xf>
    <xf numFmtId="0" fontId="0" fillId="5" borderId="3" xfId="0" applyFill="1" applyBorder="1" applyAlignment="1">
      <alignment horizontal="center" vertical="center" wrapText="1" shrinkToFit="1"/>
    </xf>
    <xf numFmtId="0" fontId="0" fillId="5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7" borderId="6" xfId="0" applyFill="1" applyBorder="1" applyAlignment="1">
      <alignment horizontal="center" vertical="center" wrapText="1" shrinkToFit="1"/>
    </xf>
    <xf numFmtId="0" fontId="0" fillId="0" borderId="7" xfId="0" applyBorder="1" applyAlignment="1">
      <alignment horizontal="center"/>
    </xf>
    <xf numFmtId="1" fontId="14" fillId="8" borderId="3" xfId="1" applyNumberFormat="1" applyFont="1" applyFill="1" applyBorder="1" applyAlignment="1">
      <alignment horizontal="center"/>
    </xf>
    <xf numFmtId="1" fontId="15" fillId="8" borderId="3" xfId="1" applyNumberFormat="1" applyFont="1" applyFill="1" applyBorder="1" applyAlignment="1">
      <alignment horizontal="center"/>
    </xf>
    <xf numFmtId="1" fontId="14" fillId="8" borderId="8" xfId="1" applyNumberFormat="1" applyFont="1" applyFill="1" applyBorder="1" applyAlignment="1">
      <alignment horizontal="center"/>
    </xf>
    <xf numFmtId="0" fontId="14" fillId="8" borderId="3" xfId="1" applyFont="1" applyFill="1" applyBorder="1" applyAlignment="1">
      <alignment horizontal="center"/>
    </xf>
    <xf numFmtId="1" fontId="14" fillId="8" borderId="9" xfId="1" applyNumberFormat="1" applyFont="1" applyFill="1" applyBorder="1" applyAlignment="1">
      <alignment horizontal="center"/>
    </xf>
    <xf numFmtId="1" fontId="14" fillId="0" borderId="0" xfId="1" applyNumberFormat="1" applyFont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2" borderId="11" xfId="1" applyFont="1" applyFill="1" applyBorder="1" applyAlignment="1">
      <alignment horizontal="left" vertical="center" wrapText="1"/>
    </xf>
    <xf numFmtId="0" fontId="15" fillId="2" borderId="11" xfId="1" applyFont="1" applyFill="1" applyBorder="1" applyAlignment="1">
      <alignment horizontal="center" vertical="center" wrapText="1"/>
    </xf>
    <xf numFmtId="164" fontId="17" fillId="2" borderId="10" xfId="1" applyNumberFormat="1" applyFont="1" applyFill="1" applyBorder="1" applyAlignment="1">
      <alignment horizontal="center"/>
    </xf>
    <xf numFmtId="0" fontId="0" fillId="0" borderId="12" xfId="2" applyNumberFormat="1" applyFont="1" applyBorder="1" applyAlignment="1">
      <alignment horizontal="center"/>
    </xf>
    <xf numFmtId="0" fontId="0" fillId="0" borderId="12" xfId="0" applyBorder="1" applyAlignment="1">
      <alignment horizontal="center"/>
    </xf>
    <xf numFmtId="1" fontId="14" fillId="2" borderId="10" xfId="1" applyNumberFormat="1" applyFont="1" applyFill="1" applyBorder="1" applyAlignment="1">
      <alignment horizontal="center"/>
    </xf>
    <xf numFmtId="164" fontId="17" fillId="0" borderId="10" xfId="1" applyNumberFormat="1" applyFont="1" applyBorder="1" applyAlignment="1">
      <alignment horizontal="center" vertical="center" wrapText="1"/>
    </xf>
    <xf numFmtId="164" fontId="17" fillId="0" borderId="13" xfId="0" applyNumberFormat="1" applyFont="1" applyBorder="1" applyAlignment="1">
      <alignment horizontal="center" vertical="center" wrapText="1"/>
    </xf>
    <xf numFmtId="1" fontId="17" fillId="2" borderId="10" xfId="1" applyNumberFormat="1" applyFont="1" applyFill="1" applyBorder="1" applyAlignment="1">
      <alignment horizontal="center"/>
    </xf>
    <xf numFmtId="164" fontId="17" fillId="9" borderId="13" xfId="0" applyNumberFormat="1" applyFont="1" applyFill="1" applyBorder="1" applyAlignment="1">
      <alignment horizontal="center" vertical="center" wrapText="1"/>
    </xf>
    <xf numFmtId="1" fontId="20" fillId="0" borderId="0" xfId="1" applyNumberFormat="1" applyFont="1" applyAlignment="1">
      <alignment horizontal="center" vertical="center"/>
    </xf>
    <xf numFmtId="1" fontId="21" fillId="10" borderId="15" xfId="1" applyNumberFormat="1" applyFont="1" applyFill="1" applyBorder="1" applyAlignment="1">
      <alignment horizontal="center"/>
    </xf>
    <xf numFmtId="0" fontId="22" fillId="10" borderId="11" xfId="1" applyFont="1" applyFill="1" applyBorder="1" applyAlignment="1">
      <alignment horizontal="left" vertical="top" wrapText="1"/>
    </xf>
    <xf numFmtId="0" fontId="22" fillId="10" borderId="11" xfId="1" applyFont="1" applyFill="1" applyBorder="1" applyAlignment="1">
      <alignment horizontal="center" vertical="top" wrapText="1"/>
    </xf>
    <xf numFmtId="166" fontId="23" fillId="11" borderId="10" xfId="0" applyNumberFormat="1" applyFont="1" applyFill="1" applyBorder="1" applyAlignment="1">
      <alignment horizontal="center" vertical="center" wrapText="1"/>
    </xf>
    <xf numFmtId="0" fontId="15" fillId="10" borderId="10" xfId="1" applyFont="1" applyFill="1" applyBorder="1" applyAlignment="1">
      <alignment horizontal="center" vertical="top" wrapText="1"/>
    </xf>
    <xf numFmtId="16" fontId="15" fillId="10" borderId="10" xfId="1" applyNumberFormat="1" applyFont="1" applyFill="1" applyBorder="1" applyAlignment="1">
      <alignment horizontal="center" vertical="top" wrapText="1"/>
    </xf>
    <xf numFmtId="164" fontId="17" fillId="12" borderId="10" xfId="0" applyNumberFormat="1" applyFont="1" applyFill="1" applyBorder="1" applyAlignment="1">
      <alignment horizontal="center" vertical="center" wrapText="1"/>
    </xf>
    <xf numFmtId="1" fontId="20" fillId="2" borderId="16" xfId="1" applyNumberFormat="1" applyFont="1" applyFill="1" applyBorder="1" applyAlignment="1">
      <alignment horizontal="center" vertical="center"/>
    </xf>
    <xf numFmtId="0" fontId="24" fillId="5" borderId="10" xfId="0" applyFont="1" applyFill="1" applyBorder="1" applyAlignment="1">
      <alignment horizontal="center"/>
    </xf>
    <xf numFmtId="0" fontId="17" fillId="2" borderId="11" xfId="1" applyFont="1" applyFill="1" applyBorder="1" applyAlignment="1">
      <alignment horizontal="center" vertical="top" wrapText="1"/>
    </xf>
    <xf numFmtId="0" fontId="0" fillId="0" borderId="17" xfId="0" applyBorder="1" applyAlignment="1">
      <alignment horizontal="center"/>
    </xf>
    <xf numFmtId="164" fontId="11" fillId="0" borderId="13" xfId="0" applyNumberFormat="1" applyFont="1" applyBorder="1" applyAlignment="1">
      <alignment horizontal="center" vertical="center" wrapText="1"/>
    </xf>
    <xf numFmtId="0" fontId="17" fillId="10" borderId="10" xfId="1" applyFont="1" applyFill="1" applyBorder="1" applyAlignment="1">
      <alignment horizontal="left" vertical="top" wrapText="1"/>
    </xf>
    <xf numFmtId="166" fontId="15" fillId="11" borderId="10" xfId="0" applyNumberFormat="1" applyFont="1" applyFill="1" applyBorder="1" applyAlignment="1">
      <alignment horizontal="center" vertical="center" wrapText="1"/>
    </xf>
    <xf numFmtId="1" fontId="23" fillId="11" borderId="10" xfId="0" applyNumberFormat="1" applyFont="1" applyFill="1" applyBorder="1" applyAlignment="1">
      <alignment horizontal="center" vertical="center" wrapText="1"/>
    </xf>
    <xf numFmtId="0" fontId="25" fillId="0" borderId="10" xfId="0" applyFont="1" applyBorder="1" applyAlignment="1">
      <alignment horizontal="center"/>
    </xf>
    <xf numFmtId="164" fontId="17" fillId="13" borderId="13" xfId="0" applyNumberFormat="1" applyFont="1" applyFill="1" applyBorder="1" applyAlignment="1">
      <alignment horizontal="center" vertical="center" wrapText="1"/>
    </xf>
    <xf numFmtId="0" fontId="13" fillId="10" borderId="11" xfId="1" applyFont="1" applyFill="1" applyBorder="1" applyAlignment="1">
      <alignment horizontal="left" vertical="top" wrapText="1"/>
    </xf>
    <xf numFmtId="0" fontId="15" fillId="10" borderId="11" xfId="1" applyFont="1" applyFill="1" applyBorder="1" applyAlignment="1">
      <alignment horizontal="center" vertical="top" wrapText="1"/>
    </xf>
    <xf numFmtId="0" fontId="15" fillId="10" borderId="10" xfId="1" applyFont="1" applyFill="1" applyBorder="1" applyAlignment="1">
      <alignment horizontal="left" vertical="top" wrapText="1"/>
    </xf>
    <xf numFmtId="0" fontId="13" fillId="10" borderId="11" xfId="1" applyFont="1" applyFill="1" applyBorder="1" applyAlignment="1">
      <alignment horizontal="center" vertical="top" wrapText="1"/>
    </xf>
    <xf numFmtId="164" fontId="17" fillId="12" borderId="19" xfId="0" applyNumberFormat="1" applyFont="1" applyFill="1" applyBorder="1" applyAlignment="1">
      <alignment horizontal="center" vertical="center" wrapText="1"/>
    </xf>
    <xf numFmtId="1" fontId="14" fillId="8" borderId="16" xfId="1" applyNumberFormat="1" applyFont="1" applyFill="1" applyBorder="1" applyAlignment="1">
      <alignment horizontal="center"/>
    </xf>
    <xf numFmtId="166" fontId="17" fillId="0" borderId="13" xfId="0" applyNumberFormat="1" applyFont="1" applyBorder="1" applyAlignment="1">
      <alignment horizontal="center" vertical="center" wrapText="1"/>
    </xf>
    <xf numFmtId="164" fontId="17" fillId="11" borderId="10" xfId="0" applyNumberFormat="1" applyFont="1" applyFill="1" applyBorder="1" applyAlignment="1">
      <alignment horizontal="center" vertical="center" wrapText="1"/>
    </xf>
    <xf numFmtId="0" fontId="28" fillId="5" borderId="12" xfId="0" applyFont="1" applyFill="1" applyBorder="1" applyAlignment="1">
      <alignment horizontal="center" vertical="center"/>
    </xf>
    <xf numFmtId="164" fontId="17" fillId="2" borderId="17" xfId="1" applyNumberFormat="1" applyFont="1" applyFill="1" applyBorder="1" applyAlignment="1">
      <alignment horizontal="center"/>
    </xf>
    <xf numFmtId="164" fontId="17" fillId="2" borderId="17" xfId="1" applyNumberFormat="1" applyFont="1" applyFill="1" applyBorder="1" applyAlignment="1">
      <alignment horizontal="left"/>
    </xf>
    <xf numFmtId="1" fontId="17" fillId="2" borderId="17" xfId="1" applyNumberFormat="1" applyFont="1" applyFill="1" applyBorder="1" applyAlignment="1">
      <alignment horizontal="center"/>
    </xf>
    <xf numFmtId="164" fontId="11" fillId="0" borderId="10" xfId="0" applyNumberFormat="1" applyFont="1" applyBorder="1" applyAlignment="1">
      <alignment horizontal="center" vertical="center" wrapText="1"/>
    </xf>
    <xf numFmtId="164" fontId="11" fillId="0" borderId="11" xfId="0" applyNumberFormat="1" applyFont="1" applyBorder="1" applyAlignment="1">
      <alignment horizontal="center" vertical="center" wrapText="1"/>
    </xf>
    <xf numFmtId="0" fontId="30" fillId="10" borderId="11" xfId="1" applyFont="1" applyFill="1" applyBorder="1" applyAlignment="1">
      <alignment horizontal="left" vertical="top" wrapText="1"/>
    </xf>
    <xf numFmtId="0" fontId="30" fillId="10" borderId="11" xfId="1" applyFont="1" applyFill="1" applyBorder="1" applyAlignment="1">
      <alignment horizontal="center" vertical="top" wrapText="1"/>
    </xf>
    <xf numFmtId="0" fontId="13" fillId="0" borderId="0" xfId="0" applyFont="1"/>
    <xf numFmtId="164" fontId="17" fillId="2" borderId="10" xfId="1" applyNumberFormat="1" applyFont="1" applyFill="1" applyBorder="1" applyAlignment="1">
      <alignment horizontal="left"/>
    </xf>
    <xf numFmtId="0" fontId="15" fillId="2" borderId="10" xfId="1" applyFont="1" applyFill="1" applyBorder="1" applyAlignment="1">
      <alignment horizontal="left" vertical="center" wrapText="1"/>
    </xf>
    <xf numFmtId="1" fontId="14" fillId="2" borderId="17" xfId="1" applyNumberFormat="1" applyFont="1" applyFill="1" applyBorder="1" applyAlignment="1">
      <alignment horizontal="center"/>
    </xf>
    <xf numFmtId="164" fontId="17" fillId="12" borderId="17" xfId="0" applyNumberFormat="1" applyFont="1" applyFill="1" applyBorder="1" applyAlignment="1">
      <alignment horizontal="center" vertical="center" wrapText="1"/>
    </xf>
    <xf numFmtId="164" fontId="17" fillId="0" borderId="17" xfId="0" applyNumberFormat="1" applyFont="1" applyBorder="1" applyAlignment="1">
      <alignment horizontal="center" vertical="center" wrapText="1"/>
    </xf>
    <xf numFmtId="0" fontId="22" fillId="10" borderId="10" xfId="1" applyFont="1" applyFill="1" applyBorder="1" applyAlignment="1">
      <alignment horizontal="left" vertical="top" wrapText="1"/>
    </xf>
    <xf numFmtId="0" fontId="0" fillId="0" borderId="10" xfId="0" applyBorder="1"/>
    <xf numFmtId="164" fontId="32" fillId="2" borderId="10" xfId="1" applyNumberFormat="1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1" xfId="0" applyBorder="1"/>
    <xf numFmtId="164" fontId="17" fillId="2" borderId="11" xfId="0" applyNumberFormat="1" applyFont="1" applyFill="1" applyBorder="1" applyAlignment="1">
      <alignment horizontal="center" vertical="center" wrapText="1"/>
    </xf>
    <xf numFmtId="164" fontId="17" fillId="2" borderId="13" xfId="0" applyNumberFormat="1" applyFont="1" applyFill="1" applyBorder="1" applyAlignment="1">
      <alignment horizontal="center" vertical="center" wrapText="1"/>
    </xf>
    <xf numFmtId="164" fontId="17" fillId="11" borderId="10" xfId="1" applyNumberFormat="1" applyFont="1" applyFill="1" applyBorder="1" applyAlignment="1">
      <alignment horizontal="center"/>
    </xf>
    <xf numFmtId="164" fontId="17" fillId="11" borderId="13" xfId="0" applyNumberFormat="1" applyFont="1" applyFill="1" applyBorder="1" applyAlignment="1">
      <alignment horizontal="center" vertical="center" wrapText="1"/>
    </xf>
    <xf numFmtId="164" fontId="32" fillId="0" borderId="13" xfId="0" applyNumberFormat="1" applyFont="1" applyBorder="1" applyAlignment="1">
      <alignment horizontal="center" vertical="center" wrapText="1"/>
    </xf>
    <xf numFmtId="164" fontId="17" fillId="0" borderId="10" xfId="0" applyNumberFormat="1" applyFont="1" applyBorder="1" applyAlignment="1">
      <alignment horizontal="center" vertical="center" wrapText="1"/>
    </xf>
    <xf numFmtId="164" fontId="17" fillId="0" borderId="11" xfId="0" applyNumberFormat="1" applyFont="1" applyBorder="1" applyAlignment="1">
      <alignment horizontal="center" vertical="center" wrapText="1"/>
    </xf>
    <xf numFmtId="164" fontId="17" fillId="13" borderId="11" xfId="0" applyNumberFormat="1" applyFont="1" applyFill="1" applyBorder="1" applyAlignment="1">
      <alignment horizontal="center" vertical="center" wrapText="1"/>
    </xf>
    <xf numFmtId="164" fontId="17" fillId="12" borderId="23" xfId="0" applyNumberFormat="1" applyFont="1" applyFill="1" applyBorder="1" applyAlignment="1">
      <alignment horizontal="center" vertical="center" wrapText="1"/>
    </xf>
    <xf numFmtId="1" fontId="9" fillId="8" borderId="3" xfId="1" applyNumberFormat="1" applyFill="1" applyBorder="1" applyAlignment="1">
      <alignment horizontal="center"/>
    </xf>
    <xf numFmtId="0" fontId="16" fillId="5" borderId="15" xfId="0" applyFont="1" applyFill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15" fillId="2" borderId="13" xfId="1" applyFont="1" applyFill="1" applyBorder="1" applyAlignment="1">
      <alignment horizontal="left" vertical="center" wrapText="1"/>
    </xf>
    <xf numFmtId="0" fontId="15" fillId="2" borderId="13" xfId="1" applyFont="1" applyFill="1" applyBorder="1" applyAlignment="1">
      <alignment horizontal="center" vertical="center" wrapText="1"/>
    </xf>
    <xf numFmtId="164" fontId="34" fillId="2" borderId="10" xfId="1" applyNumberFormat="1" applyFont="1" applyFill="1" applyBorder="1" applyAlignment="1">
      <alignment horizontal="center"/>
    </xf>
    <xf numFmtId="164" fontId="23" fillId="0" borderId="13" xfId="0" applyNumberFormat="1" applyFont="1" applyBorder="1" applyAlignment="1">
      <alignment horizontal="center" vertical="center" wrapText="1"/>
    </xf>
    <xf numFmtId="1" fontId="9" fillId="8" borderId="8" xfId="1" applyNumberFormat="1" applyFill="1" applyBorder="1" applyAlignment="1">
      <alignment horizontal="center"/>
    </xf>
    <xf numFmtId="1" fontId="15" fillId="8" borderId="8" xfId="1" applyNumberFormat="1" applyFont="1" applyFill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5" fillId="2" borderId="5" xfId="1" applyFont="1" applyFill="1" applyBorder="1" applyAlignment="1">
      <alignment horizontal="left" vertical="center" wrapText="1"/>
    </xf>
    <xf numFmtId="0" fontId="17" fillId="2" borderId="13" xfId="1" applyFont="1" applyFill="1" applyBorder="1" applyAlignment="1">
      <alignment horizontal="center" vertical="top" wrapText="1"/>
    </xf>
    <xf numFmtId="164" fontId="17" fillId="2" borderId="6" xfId="1" applyNumberFormat="1" applyFont="1" applyFill="1" applyBorder="1" applyAlignment="1">
      <alignment horizontal="center"/>
    </xf>
    <xf numFmtId="1" fontId="14" fillId="2" borderId="6" xfId="1" applyNumberFormat="1" applyFont="1" applyFill="1" applyBorder="1" applyAlignment="1">
      <alignment horizontal="center"/>
    </xf>
    <xf numFmtId="164" fontId="17" fillId="0" borderId="6" xfId="1" applyNumberFormat="1" applyFont="1" applyBorder="1" applyAlignment="1">
      <alignment horizontal="center" vertical="center" wrapText="1"/>
    </xf>
    <xf numFmtId="164" fontId="17" fillId="0" borderId="5" xfId="0" applyNumberFormat="1" applyFont="1" applyBorder="1" applyAlignment="1">
      <alignment horizontal="center" vertical="center" wrapText="1"/>
    </xf>
    <xf numFmtId="1" fontId="17" fillId="0" borderId="6" xfId="1" applyNumberFormat="1" applyFont="1" applyBorder="1" applyAlignment="1">
      <alignment horizontal="center" vertical="center" wrapText="1"/>
    </xf>
    <xf numFmtId="164" fontId="17" fillId="13" borderId="5" xfId="0" applyNumberFormat="1" applyFont="1" applyFill="1" applyBorder="1" applyAlignment="1">
      <alignment horizontal="center" vertical="center" wrapText="1"/>
    </xf>
    <xf numFmtId="164" fontId="23" fillId="0" borderId="5" xfId="0" applyNumberFormat="1" applyFont="1" applyBorder="1" applyAlignment="1">
      <alignment horizontal="center" vertical="center" wrapText="1"/>
    </xf>
    <xf numFmtId="14" fontId="23" fillId="14" borderId="5" xfId="0" applyNumberFormat="1" applyFont="1" applyFill="1" applyBorder="1" applyAlignment="1">
      <alignment horizontal="center" vertical="center" wrapText="1"/>
    </xf>
    <xf numFmtId="0" fontId="23" fillId="14" borderId="5" xfId="0" applyFont="1" applyFill="1" applyBorder="1" applyAlignment="1">
      <alignment horizontal="center" vertical="center" wrapText="1"/>
    </xf>
    <xf numFmtId="166" fontId="8" fillId="11" borderId="10" xfId="0" applyNumberFormat="1" applyFont="1" applyFill="1" applyBorder="1" applyAlignment="1">
      <alignment horizontal="center"/>
    </xf>
    <xf numFmtId="1" fontId="8" fillId="11" borderId="10" xfId="0" applyNumberFormat="1" applyFont="1" applyFill="1" applyBorder="1" applyAlignment="1">
      <alignment horizontal="center"/>
    </xf>
    <xf numFmtId="14" fontId="17" fillId="15" borderId="10" xfId="0" applyNumberFormat="1" applyFont="1" applyFill="1" applyBorder="1" applyAlignment="1">
      <alignment horizontal="center" vertical="center" wrapText="1"/>
    </xf>
    <xf numFmtId="0" fontId="35" fillId="15" borderId="10" xfId="0" applyFont="1" applyFill="1" applyBorder="1" applyAlignment="1">
      <alignment horizontal="center" vertical="center" wrapText="1"/>
    </xf>
    <xf numFmtId="0" fontId="17" fillId="15" borderId="10" xfId="0" applyFont="1" applyFill="1" applyBorder="1" applyAlignment="1">
      <alignment horizontal="center" vertical="center" wrapText="1"/>
    </xf>
    <xf numFmtId="0" fontId="25" fillId="0" borderId="15" xfId="0" applyFont="1" applyBorder="1" applyAlignment="1">
      <alignment horizontal="center"/>
    </xf>
    <xf numFmtId="0" fontId="23" fillId="14" borderId="13" xfId="0" applyFont="1" applyFill="1" applyBorder="1" applyAlignment="1">
      <alignment horizontal="center" vertical="center" wrapText="1"/>
    </xf>
    <xf numFmtId="14" fontId="23" fillId="14" borderId="13" xfId="0" applyNumberFormat="1" applyFont="1" applyFill="1" applyBorder="1" applyAlignment="1">
      <alignment horizontal="center" vertical="center" wrapText="1"/>
    </xf>
    <xf numFmtId="0" fontId="36" fillId="10" borderId="11" xfId="1" applyFont="1" applyFill="1" applyBorder="1" applyAlignment="1">
      <alignment horizontal="left" vertical="top" wrapText="1"/>
    </xf>
    <xf numFmtId="0" fontId="36" fillId="10" borderId="11" xfId="1" applyFont="1" applyFill="1" applyBorder="1" applyAlignment="1">
      <alignment horizontal="center" vertical="top" wrapText="1"/>
    </xf>
    <xf numFmtId="0" fontId="17" fillId="14" borderId="13" xfId="0" applyFont="1" applyFill="1" applyBorder="1" applyAlignment="1">
      <alignment horizontal="center" vertical="center" wrapText="1"/>
    </xf>
    <xf numFmtId="1" fontId="21" fillId="11" borderId="15" xfId="1" applyNumberFormat="1" applyFont="1" applyFill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3" fillId="16" borderId="10" xfId="0" applyFont="1" applyFill="1" applyBorder="1" applyAlignment="1">
      <alignment horizontal="center" vertical="center" wrapText="1"/>
    </xf>
    <xf numFmtId="14" fontId="35" fillId="15" borderId="10" xfId="0" applyNumberFormat="1" applyFont="1" applyFill="1" applyBorder="1" applyAlignment="1">
      <alignment horizontal="center" vertical="center" wrapText="1"/>
    </xf>
    <xf numFmtId="14" fontId="37" fillId="15" borderId="10" xfId="0" applyNumberFormat="1" applyFont="1" applyFill="1" applyBorder="1" applyAlignment="1">
      <alignment horizontal="center" vertical="center" wrapText="1"/>
    </xf>
    <xf numFmtId="0" fontId="17" fillId="14" borderId="11" xfId="0" applyFont="1" applyFill="1" applyBorder="1" applyAlignment="1">
      <alignment horizontal="center" vertical="center" wrapText="1"/>
    </xf>
    <xf numFmtId="14" fontId="17" fillId="14" borderId="13" xfId="0" applyNumberFormat="1" applyFont="1" applyFill="1" applyBorder="1" applyAlignment="1">
      <alignment horizontal="center" vertical="center" wrapText="1"/>
    </xf>
    <xf numFmtId="0" fontId="11" fillId="14" borderId="11" xfId="0" applyFont="1" applyFill="1" applyBorder="1" applyAlignment="1">
      <alignment horizontal="center" vertical="center" wrapText="1"/>
    </xf>
    <xf numFmtId="1" fontId="21" fillId="10" borderId="27" xfId="1" applyNumberFormat="1" applyFont="1" applyFill="1" applyBorder="1" applyAlignment="1">
      <alignment horizontal="center"/>
    </xf>
    <xf numFmtId="0" fontId="22" fillId="10" borderId="28" xfId="1" applyFont="1" applyFill="1" applyBorder="1" applyAlignment="1">
      <alignment horizontal="left" vertical="top" wrapText="1"/>
    </xf>
    <xf numFmtId="0" fontId="22" fillId="10" borderId="28" xfId="1" applyFont="1" applyFill="1" applyBorder="1" applyAlignment="1">
      <alignment horizontal="center" vertical="top" wrapText="1"/>
    </xf>
    <xf numFmtId="166" fontId="23" fillId="11" borderId="19" xfId="0" applyNumberFormat="1" applyFont="1" applyFill="1" applyBorder="1" applyAlignment="1">
      <alignment horizontal="center" vertical="center" wrapText="1"/>
    </xf>
    <xf numFmtId="0" fontId="15" fillId="10" borderId="19" xfId="1" applyFont="1" applyFill="1" applyBorder="1" applyAlignment="1">
      <alignment horizontal="center" vertical="top" wrapText="1"/>
    </xf>
    <xf numFmtId="0" fontId="15" fillId="10" borderId="19" xfId="1" applyFont="1" applyFill="1" applyBorder="1" applyAlignment="1">
      <alignment horizontal="left" vertical="top" wrapText="1"/>
    </xf>
    <xf numFmtId="0" fontId="17" fillId="10" borderId="19" xfId="1" applyFont="1" applyFill="1" applyBorder="1" applyAlignment="1">
      <alignment horizontal="left" vertical="top" wrapText="1"/>
    </xf>
    <xf numFmtId="166" fontId="15" fillId="11" borderId="19" xfId="0" applyNumberFormat="1" applyFont="1" applyFill="1" applyBorder="1" applyAlignment="1">
      <alignment horizontal="center" vertical="center" wrapText="1"/>
    </xf>
    <xf numFmtId="166" fontId="23" fillId="11" borderId="29" xfId="0" applyNumberFormat="1" applyFont="1" applyFill="1" applyBorder="1" applyAlignment="1">
      <alignment horizontal="center" vertical="center" wrapText="1"/>
    </xf>
    <xf numFmtId="0" fontId="17" fillId="15" borderId="19" xfId="0" applyFont="1" applyFill="1" applyBorder="1" applyAlignment="1">
      <alignment horizontal="center" vertical="center" wrapText="1"/>
    </xf>
    <xf numFmtId="14" fontId="35" fillId="16" borderId="19" xfId="0" applyNumberFormat="1" applyFont="1" applyFill="1" applyBorder="1" applyAlignment="1">
      <alignment horizontal="center" vertical="center" wrapText="1"/>
    </xf>
    <xf numFmtId="0" fontId="35" fillId="15" borderId="19" xfId="0" applyFont="1" applyFill="1" applyBorder="1" applyAlignment="1">
      <alignment horizontal="center" vertical="center" wrapText="1"/>
    </xf>
    <xf numFmtId="0" fontId="23" fillId="16" borderId="19" xfId="0" applyFont="1" applyFill="1" applyBorder="1" applyAlignment="1">
      <alignment horizontal="center" vertical="center" wrapText="1"/>
    </xf>
    <xf numFmtId="14" fontId="17" fillId="15" borderId="19" xfId="0" applyNumberFormat="1" applyFont="1" applyFill="1" applyBorder="1" applyAlignment="1">
      <alignment horizontal="center" vertical="center" wrapText="1"/>
    </xf>
    <xf numFmtId="0" fontId="33" fillId="17" borderId="8" xfId="0" applyFont="1" applyFill="1" applyBorder="1" applyAlignment="1">
      <alignment horizontal="center"/>
    </xf>
    <xf numFmtId="0" fontId="16" fillId="0" borderId="10" xfId="0" applyFont="1" applyBorder="1" applyAlignment="1">
      <alignment horizontal="center"/>
    </xf>
    <xf numFmtId="1" fontId="20" fillId="2" borderId="16" xfId="1" applyNumberFormat="1" applyFont="1" applyFill="1" applyBorder="1" applyAlignment="1">
      <alignment vertical="center"/>
    </xf>
    <xf numFmtId="1" fontId="20" fillId="0" borderId="0" xfId="1" applyNumberFormat="1" applyFont="1" applyAlignment="1">
      <alignment vertical="center"/>
    </xf>
    <xf numFmtId="0" fontId="16" fillId="0" borderId="15" xfId="0" applyFont="1" applyBorder="1" applyAlignment="1">
      <alignment horizontal="center"/>
    </xf>
    <xf numFmtId="9" fontId="15" fillId="2" borderId="11" xfId="1" applyNumberFormat="1" applyFont="1" applyFill="1" applyBorder="1" applyAlignment="1">
      <alignment horizontal="center" vertical="center" wrapText="1"/>
    </xf>
    <xf numFmtId="9" fontId="17" fillId="2" borderId="13" xfId="1" applyNumberFormat="1" applyFont="1" applyFill="1" applyBorder="1" applyAlignment="1">
      <alignment horizontal="center" vertical="top" wrapText="1"/>
    </xf>
    <xf numFmtId="9" fontId="22" fillId="10" borderId="11" xfId="1" applyNumberFormat="1" applyFont="1" applyFill="1" applyBorder="1" applyAlignment="1">
      <alignment horizontal="center" vertical="top" wrapText="1"/>
    </xf>
    <xf numFmtId="16" fontId="17" fillId="15" borderId="10" xfId="0" applyNumberFormat="1" applyFont="1" applyFill="1" applyBorder="1" applyAlignment="1">
      <alignment horizontal="center" vertical="center" wrapText="1"/>
    </xf>
    <xf numFmtId="164" fontId="17" fillId="2" borderId="13" xfId="1" applyNumberFormat="1" applyFont="1" applyFill="1" applyBorder="1" applyAlignment="1">
      <alignment horizontal="center"/>
    </xf>
    <xf numFmtId="166" fontId="23" fillId="11" borderId="11" xfId="0" applyNumberFormat="1" applyFont="1" applyFill="1" applyBorder="1" applyAlignment="1">
      <alignment horizontal="center" vertical="center" wrapText="1"/>
    </xf>
    <xf numFmtId="0" fontId="37" fillId="15" borderId="10" xfId="0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/>
    </xf>
    <xf numFmtId="164" fontId="17" fillId="2" borderId="11" xfId="1" applyNumberFormat="1" applyFont="1" applyFill="1" applyBorder="1" applyAlignment="1">
      <alignment horizontal="center"/>
    </xf>
    <xf numFmtId="14" fontId="17" fillId="14" borderId="11" xfId="0" applyNumberFormat="1" applyFont="1" applyFill="1" applyBorder="1" applyAlignment="1">
      <alignment horizontal="center" vertical="center" wrapText="1"/>
    </xf>
    <xf numFmtId="164" fontId="17" fillId="14" borderId="13" xfId="0" applyNumberFormat="1" applyFont="1" applyFill="1" applyBorder="1" applyAlignment="1">
      <alignment horizontal="center" vertical="center" wrapText="1"/>
    </xf>
    <xf numFmtId="0" fontId="35" fillId="14" borderId="13" xfId="0" applyFont="1" applyFill="1" applyBorder="1" applyAlignment="1">
      <alignment horizontal="center" vertical="center" wrapText="1"/>
    </xf>
    <xf numFmtId="164" fontId="35" fillId="15" borderId="10" xfId="0" applyNumberFormat="1" applyFont="1" applyFill="1" applyBorder="1" applyAlignment="1">
      <alignment horizontal="center" vertical="center" wrapText="1"/>
    </xf>
    <xf numFmtId="164" fontId="17" fillId="16" borderId="10" xfId="0" applyNumberFormat="1" applyFont="1" applyFill="1" applyBorder="1" applyAlignment="1">
      <alignment horizontal="center" vertical="center" wrapText="1"/>
    </xf>
    <xf numFmtId="0" fontId="22" fillId="2" borderId="11" xfId="1" applyFont="1" applyFill="1" applyBorder="1" applyAlignment="1">
      <alignment horizontal="center" vertical="top" wrapText="1"/>
    </xf>
    <xf numFmtId="9" fontId="22" fillId="2" borderId="11" xfId="1" applyNumberFormat="1" applyFont="1" applyFill="1" applyBorder="1" applyAlignment="1">
      <alignment horizontal="center" vertical="top" wrapText="1"/>
    </xf>
    <xf numFmtId="164" fontId="17" fillId="15" borderId="10" xfId="0" applyNumberFormat="1" applyFont="1" applyFill="1" applyBorder="1" applyAlignment="1">
      <alignment horizontal="center" vertical="center" wrapText="1"/>
    </xf>
    <xf numFmtId="14" fontId="36" fillId="15" borderId="10" xfId="0" applyNumberFormat="1" applyFont="1" applyFill="1" applyBorder="1" applyAlignment="1">
      <alignment horizontal="center" vertical="center" wrapText="1"/>
    </xf>
    <xf numFmtId="1" fontId="20" fillId="2" borderId="21" xfId="1" applyNumberFormat="1" applyFont="1" applyFill="1" applyBorder="1" applyAlignment="1">
      <alignment vertical="center"/>
    </xf>
    <xf numFmtId="1" fontId="14" fillId="8" borderId="19" xfId="1" applyNumberFormat="1" applyFont="1" applyFill="1" applyBorder="1" applyAlignment="1">
      <alignment horizontal="center"/>
    </xf>
    <xf numFmtId="164" fontId="23" fillId="9" borderId="13" xfId="0" applyNumberFormat="1" applyFont="1" applyFill="1" applyBorder="1" applyAlignment="1">
      <alignment horizontal="center" vertical="center" wrapText="1"/>
    </xf>
    <xf numFmtId="164" fontId="23" fillId="16" borderId="10" xfId="0" applyNumberFormat="1" applyFont="1" applyFill="1" applyBorder="1" applyAlignment="1">
      <alignment horizontal="center" vertical="center" wrapText="1"/>
    </xf>
    <xf numFmtId="164" fontId="36" fillId="16" borderId="10" xfId="0" applyNumberFormat="1" applyFont="1" applyFill="1" applyBorder="1" applyAlignment="1">
      <alignment horizontal="center" vertical="center" wrapText="1"/>
    </xf>
    <xf numFmtId="0" fontId="39" fillId="0" borderId="24" xfId="0" applyFont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11" xfId="0" applyFont="1" applyBorder="1" applyAlignment="1">
      <alignment horizontal="center"/>
    </xf>
    <xf numFmtId="164" fontId="11" fillId="9" borderId="13" xfId="0" applyNumberFormat="1" applyFont="1" applyFill="1" applyBorder="1" applyAlignment="1">
      <alignment horizontal="center" vertical="center" wrapText="1"/>
    </xf>
    <xf numFmtId="0" fontId="21" fillId="11" borderId="15" xfId="0" applyFont="1" applyFill="1" applyBorder="1" applyAlignment="1">
      <alignment horizontal="center"/>
    </xf>
    <xf numFmtId="0" fontId="0" fillId="11" borderId="11" xfId="0" applyFill="1" applyBorder="1" applyAlignment="1">
      <alignment horizontal="left"/>
    </xf>
    <xf numFmtId="0" fontId="22" fillId="11" borderId="11" xfId="1" applyFont="1" applyFill="1" applyBorder="1" applyAlignment="1">
      <alignment horizontal="center" vertical="top" wrapText="1"/>
    </xf>
    <xf numFmtId="0" fontId="0" fillId="11" borderId="10" xfId="0" applyFill="1" applyBorder="1" applyAlignment="1">
      <alignment horizontal="center"/>
    </xf>
    <xf numFmtId="0" fontId="15" fillId="11" borderId="10" xfId="1" applyFont="1" applyFill="1" applyBorder="1" applyAlignment="1">
      <alignment horizontal="center" vertical="top" wrapText="1"/>
    </xf>
    <xf numFmtId="0" fontId="0" fillId="11" borderId="11" xfId="0" applyFill="1" applyBorder="1" applyAlignment="1">
      <alignment horizontal="center"/>
    </xf>
    <xf numFmtId="164" fontId="17" fillId="0" borderId="11" xfId="1" applyNumberFormat="1" applyFont="1" applyBorder="1" applyAlignment="1">
      <alignment horizontal="center" vertical="center" wrapText="1"/>
    </xf>
    <xf numFmtId="1" fontId="17" fillId="0" borderId="10" xfId="1" applyNumberFormat="1" applyFont="1" applyBorder="1" applyAlignment="1">
      <alignment horizontal="center" vertical="center" wrapText="1"/>
    </xf>
    <xf numFmtId="14" fontId="36" fillId="14" borderId="13" xfId="0" applyNumberFormat="1" applyFont="1" applyFill="1" applyBorder="1" applyAlignment="1">
      <alignment horizontal="center" vertical="center" wrapText="1"/>
    </xf>
    <xf numFmtId="166" fontId="8" fillId="11" borderId="11" xfId="0" applyNumberFormat="1" applyFont="1" applyFill="1" applyBorder="1" applyAlignment="1">
      <alignment horizontal="center"/>
    </xf>
    <xf numFmtId="14" fontId="11" fillId="14" borderId="13" xfId="0" applyNumberFormat="1" applyFont="1" applyFill="1" applyBorder="1" applyAlignment="1">
      <alignment horizontal="center" vertical="center" wrapText="1"/>
    </xf>
    <xf numFmtId="0" fontId="40" fillId="0" borderId="10" xfId="0" applyFont="1" applyBorder="1" applyAlignment="1">
      <alignment horizontal="center"/>
    </xf>
    <xf numFmtId="0" fontId="17" fillId="14" borderId="13" xfId="0" applyFont="1" applyFill="1" applyBorder="1" applyAlignment="1">
      <alignment horizontal="center" wrapText="1"/>
    </xf>
    <xf numFmtId="1" fontId="23" fillId="11" borderId="19" xfId="0" applyNumberFormat="1" applyFont="1" applyFill="1" applyBorder="1" applyAlignment="1">
      <alignment horizontal="center" vertical="center" wrapText="1"/>
    </xf>
    <xf numFmtId="1" fontId="20" fillId="2" borderId="9" xfId="1" applyNumberFormat="1" applyFont="1" applyFill="1" applyBorder="1" applyAlignment="1">
      <alignment vertical="center"/>
    </xf>
    <xf numFmtId="1" fontId="20" fillId="2" borderId="14" xfId="1" applyNumberFormat="1" applyFont="1" applyFill="1" applyBorder="1" applyAlignment="1">
      <alignment vertical="center"/>
    </xf>
    <xf numFmtId="0" fontId="12" fillId="0" borderId="12" xfId="2" applyNumberFormat="1" applyFont="1" applyBorder="1" applyAlignment="1">
      <alignment horizontal="center"/>
    </xf>
    <xf numFmtId="164" fontId="32" fillId="2" borderId="13" xfId="1" applyNumberFormat="1" applyFont="1" applyFill="1" applyBorder="1" applyAlignment="1">
      <alignment horizontal="center"/>
    </xf>
    <xf numFmtId="164" fontId="32" fillId="2" borderId="17" xfId="1" applyNumberFormat="1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17" fillId="18" borderId="10" xfId="0" applyFont="1" applyFill="1" applyBorder="1" applyAlignment="1">
      <alignment horizontal="center"/>
    </xf>
    <xf numFmtId="14" fontId="41" fillId="14" borderId="13" xfId="0" applyNumberFormat="1" applyFont="1" applyFill="1" applyBorder="1" applyAlignment="1">
      <alignment horizontal="center" vertical="center" wrapText="1"/>
    </xf>
    <xf numFmtId="14" fontId="41" fillId="14" borderId="11" xfId="0" applyNumberFormat="1" applyFont="1" applyFill="1" applyBorder="1" applyAlignment="1">
      <alignment horizontal="center" vertical="center" wrapText="1"/>
    </xf>
    <xf numFmtId="14" fontId="23" fillId="14" borderId="11" xfId="0" applyNumberFormat="1" applyFont="1" applyFill="1" applyBorder="1" applyAlignment="1">
      <alignment horizontal="center" vertical="center" wrapText="1"/>
    </xf>
    <xf numFmtId="14" fontId="42" fillId="15" borderId="10" xfId="0" applyNumberFormat="1" applyFont="1" applyFill="1" applyBorder="1" applyAlignment="1">
      <alignment horizontal="center" vertical="center" wrapText="1"/>
    </xf>
    <xf numFmtId="0" fontId="17" fillId="18" borderId="11" xfId="0" applyFont="1" applyFill="1" applyBorder="1" applyAlignment="1">
      <alignment horizontal="center"/>
    </xf>
    <xf numFmtId="14" fontId="43" fillId="14" borderId="11" xfId="0" applyNumberFormat="1" applyFont="1" applyFill="1" applyBorder="1" applyAlignment="1">
      <alignment horizontal="center" vertical="center" wrapText="1"/>
    </xf>
    <xf numFmtId="0" fontId="43" fillId="15" borderId="10" xfId="0" applyFont="1" applyFill="1" applyBorder="1" applyAlignment="1">
      <alignment horizontal="center" vertical="top" wrapText="1"/>
    </xf>
    <xf numFmtId="14" fontId="43" fillId="15" borderId="10" xfId="0" applyNumberFormat="1" applyFont="1" applyFill="1" applyBorder="1" applyAlignment="1">
      <alignment horizontal="center" vertical="top" wrapText="1"/>
    </xf>
    <xf numFmtId="0" fontId="28" fillId="0" borderId="24" xfId="0" applyFont="1" applyBorder="1" applyAlignment="1">
      <alignment horizontal="center"/>
    </xf>
    <xf numFmtId="0" fontId="23" fillId="16" borderId="11" xfId="0" applyFont="1" applyFill="1" applyBorder="1" applyAlignment="1">
      <alignment horizontal="center" vertical="center" wrapText="1"/>
    </xf>
    <xf numFmtId="0" fontId="15" fillId="0" borderId="5" xfId="1" applyFont="1" applyBorder="1" applyAlignment="1">
      <alignment horizontal="left" vertical="center" wrapText="1"/>
    </xf>
    <xf numFmtId="0" fontId="15" fillId="0" borderId="5" xfId="1" applyFont="1" applyBorder="1" applyAlignment="1">
      <alignment horizontal="center" vertical="center" wrapText="1"/>
    </xf>
    <xf numFmtId="164" fontId="17" fillId="0" borderId="6" xfId="1" applyNumberFormat="1" applyFont="1" applyBorder="1" applyAlignment="1">
      <alignment horizontal="center"/>
    </xf>
    <xf numFmtId="0" fontId="0" fillId="0" borderId="26" xfId="2" applyNumberFormat="1" applyFont="1" applyBorder="1" applyAlignment="1">
      <alignment horizontal="center"/>
    </xf>
    <xf numFmtId="0" fontId="0" fillId="0" borderId="26" xfId="0" applyBorder="1" applyAlignment="1">
      <alignment horizontal="center"/>
    </xf>
    <xf numFmtId="1" fontId="14" fillId="0" borderId="6" xfId="1" applyNumberFormat="1" applyFont="1" applyBorder="1" applyAlignment="1">
      <alignment horizontal="center"/>
    </xf>
    <xf numFmtId="14" fontId="17" fillId="14" borderId="6" xfId="0" applyNumberFormat="1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/>
    </xf>
    <xf numFmtId="14" fontId="17" fillId="14" borderId="5" xfId="0" applyNumberFormat="1" applyFont="1" applyFill="1" applyBorder="1" applyAlignment="1">
      <alignment horizontal="center" vertical="center" wrapText="1"/>
    </xf>
    <xf numFmtId="1" fontId="20" fillId="0" borderId="14" xfId="1" applyNumberFormat="1" applyFont="1" applyBorder="1" applyAlignment="1">
      <alignment horizontal="center" vertical="center"/>
    </xf>
    <xf numFmtId="0" fontId="39" fillId="0" borderId="0" xfId="0" applyFont="1"/>
    <xf numFmtId="0" fontId="13" fillId="0" borderId="0" xfId="0" applyFont="1" applyAlignment="1">
      <alignment horizontal="center"/>
    </xf>
    <xf numFmtId="14" fontId="23" fillId="16" borderId="10" xfId="0" applyNumberFormat="1" applyFont="1" applyFill="1" applyBorder="1" applyAlignment="1">
      <alignment horizontal="center" vertical="center" wrapText="1"/>
    </xf>
    <xf numFmtId="0" fontId="44" fillId="2" borderId="15" xfId="0" applyFont="1" applyFill="1" applyBorder="1" applyAlignment="1">
      <alignment horizontal="center"/>
    </xf>
    <xf numFmtId="14" fontId="17" fillId="14" borderId="10" xfId="0" applyNumberFormat="1" applyFont="1" applyFill="1" applyBorder="1" applyAlignment="1">
      <alignment horizontal="center" vertical="center" wrapText="1"/>
    </xf>
    <xf numFmtId="0" fontId="43" fillId="0" borderId="10" xfId="0" applyFont="1" applyBorder="1" applyAlignment="1">
      <alignment horizontal="center" vertical="center" wrapText="1"/>
    </xf>
    <xf numFmtId="1" fontId="45" fillId="10" borderId="15" xfId="1" applyNumberFormat="1" applyFont="1" applyFill="1" applyBorder="1" applyAlignment="1">
      <alignment horizontal="center"/>
    </xf>
    <xf numFmtId="0" fontId="0" fillId="0" borderId="16" xfId="0" applyBorder="1"/>
    <xf numFmtId="0" fontId="17" fillId="0" borderId="10" xfId="0" applyFont="1" applyBorder="1" applyAlignment="1">
      <alignment horizontal="center" vertical="center" wrapText="1"/>
    </xf>
    <xf numFmtId="0" fontId="43" fillId="16" borderId="10" xfId="0" applyFont="1" applyFill="1" applyBorder="1" applyAlignment="1">
      <alignment horizontal="center" vertical="center" wrapText="1"/>
    </xf>
    <xf numFmtId="14" fontId="17" fillId="19" borderId="13" xfId="0" applyNumberFormat="1" applyFont="1" applyFill="1" applyBorder="1" applyAlignment="1">
      <alignment horizontal="center" vertical="center" wrapText="1"/>
    </xf>
    <xf numFmtId="14" fontId="17" fillId="15" borderId="13" xfId="0" applyNumberFormat="1" applyFont="1" applyFill="1" applyBorder="1" applyAlignment="1">
      <alignment horizontal="center" vertical="center" wrapText="1"/>
    </xf>
    <xf numFmtId="0" fontId="28" fillId="0" borderId="25" xfId="0" applyFont="1" applyBorder="1" applyAlignment="1">
      <alignment horizontal="center"/>
    </xf>
    <xf numFmtId="0" fontId="9" fillId="0" borderId="5" xfId="0" applyFont="1" applyBorder="1" applyAlignment="1">
      <alignment horizontal="left"/>
    </xf>
    <xf numFmtId="0" fontId="43" fillId="18" borderId="5" xfId="0" applyFont="1" applyFill="1" applyBorder="1" applyAlignment="1">
      <alignment horizontal="center" vertical="center" wrapText="1"/>
    </xf>
    <xf numFmtId="0" fontId="17" fillId="18" borderId="6" xfId="0" applyFont="1" applyFill="1" applyBorder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18" borderId="6" xfId="0" applyFont="1" applyFill="1" applyBorder="1" applyAlignment="1">
      <alignment horizontal="center"/>
    </xf>
    <xf numFmtId="0" fontId="32" fillId="18" borderId="6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7" fillId="0" borderId="6" xfId="0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0" fontId="21" fillId="16" borderId="15" xfId="0" applyFont="1" applyFill="1" applyBorder="1" applyAlignment="1">
      <alignment horizontal="center"/>
    </xf>
    <xf numFmtId="0" fontId="33" fillId="16" borderId="11" xfId="0" applyFont="1" applyFill="1" applyBorder="1" applyAlignment="1">
      <alignment horizontal="left"/>
    </xf>
    <xf numFmtId="0" fontId="46" fillId="16" borderId="11" xfId="0" applyFont="1" applyFill="1" applyBorder="1" applyAlignment="1">
      <alignment horizontal="center" vertical="top" wrapText="1"/>
    </xf>
    <xf numFmtId="0" fontId="33" fillId="16" borderId="10" xfId="0" applyFont="1" applyFill="1" applyBorder="1" applyAlignment="1">
      <alignment horizontal="center"/>
    </xf>
    <xf numFmtId="0" fontId="43" fillId="16" borderId="10" xfId="0" applyFont="1" applyFill="1" applyBorder="1" applyAlignment="1">
      <alignment horizontal="center" vertical="top" wrapText="1"/>
    </xf>
    <xf numFmtId="0" fontId="33" fillId="16" borderId="11" xfId="0" applyFont="1" applyFill="1" applyBorder="1" applyAlignment="1">
      <alignment horizontal="center"/>
    </xf>
    <xf numFmtId="0" fontId="47" fillId="0" borderId="0" xfId="0" applyFont="1" applyAlignment="1">
      <alignment horizontal="center"/>
    </xf>
    <xf numFmtId="0" fontId="47" fillId="0" borderId="0" xfId="0" applyFont="1"/>
    <xf numFmtId="0" fontId="48" fillId="0" borderId="12" xfId="0" applyFont="1" applyBorder="1" applyAlignment="1">
      <alignment horizontal="left"/>
    </xf>
    <xf numFmtId="0" fontId="43" fillId="18" borderId="11" xfId="0" applyFont="1" applyFill="1" applyBorder="1" applyAlignment="1">
      <alignment horizontal="center" vertical="center" wrapText="1"/>
    </xf>
    <xf numFmtId="0" fontId="33" fillId="0" borderId="17" xfId="0" applyFont="1" applyBorder="1" applyAlignment="1">
      <alignment horizontal="center"/>
    </xf>
    <xf numFmtId="0" fontId="33" fillId="18" borderId="10" xfId="0" applyFont="1" applyFill="1" applyBorder="1" applyAlignment="1">
      <alignment horizontal="center"/>
    </xf>
    <xf numFmtId="0" fontId="32" fillId="18" borderId="10" xfId="0" applyFont="1" applyFill="1" applyBorder="1" applyAlignment="1">
      <alignment horizontal="center"/>
    </xf>
    <xf numFmtId="0" fontId="48" fillId="0" borderId="30" xfId="0" applyFont="1" applyBorder="1" applyAlignment="1">
      <alignment horizontal="center"/>
    </xf>
    <xf numFmtId="0" fontId="48" fillId="0" borderId="30" xfId="0" applyFont="1" applyBorder="1" applyAlignment="1">
      <alignment horizontal="left"/>
    </xf>
    <xf numFmtId="0" fontId="17" fillId="16" borderId="13" xfId="0" applyFont="1" applyFill="1" applyBorder="1" applyAlignment="1">
      <alignment horizontal="center" vertical="center" wrapText="1"/>
    </xf>
    <xf numFmtId="0" fontId="17" fillId="0" borderId="13" xfId="0" applyFont="1" applyBorder="1" applyAlignment="1">
      <alignment horizontal="center" vertical="center" wrapText="1"/>
    </xf>
    <xf numFmtId="0" fontId="17" fillId="16" borderId="10" xfId="0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wrapText="1"/>
    </xf>
    <xf numFmtId="9" fontId="47" fillId="0" borderId="0" xfId="0" applyNumberFormat="1" applyFont="1" applyAlignment="1">
      <alignment horizontal="center"/>
    </xf>
    <xf numFmtId="9" fontId="43" fillId="18" borderId="11" xfId="0" applyNumberFormat="1" applyFont="1" applyFill="1" applyBorder="1" applyAlignment="1">
      <alignment horizontal="center" vertical="center" wrapText="1"/>
    </xf>
    <xf numFmtId="0" fontId="17" fillId="14" borderId="10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0" fontId="16" fillId="0" borderId="24" xfId="0" applyFont="1" applyBorder="1" applyAlignment="1">
      <alignment horizontal="center"/>
    </xf>
    <xf numFmtId="0" fontId="43" fillId="18" borderId="13" xfId="0" applyFont="1" applyFill="1" applyBorder="1" applyAlignment="1">
      <alignment horizontal="left" vertical="center" wrapText="1"/>
    </xf>
    <xf numFmtId="0" fontId="43" fillId="18" borderId="13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3" fillId="18" borderId="17" xfId="0" applyFont="1" applyFill="1" applyBorder="1" applyAlignment="1">
      <alignment horizontal="center"/>
    </xf>
    <xf numFmtId="14" fontId="17" fillId="14" borderId="17" xfId="0" applyNumberFormat="1" applyFont="1" applyFill="1" applyBorder="1" applyAlignment="1">
      <alignment horizontal="center" vertical="center" wrapText="1"/>
    </xf>
    <xf numFmtId="0" fontId="21" fillId="15" borderId="15" xfId="0" applyFont="1" applyFill="1" applyBorder="1" applyAlignment="1">
      <alignment horizontal="center"/>
    </xf>
    <xf numFmtId="0" fontId="46" fillId="15" borderId="11" xfId="0" applyFont="1" applyFill="1" applyBorder="1" applyAlignment="1">
      <alignment horizontal="left" vertical="top" wrapText="1"/>
    </xf>
    <xf numFmtId="0" fontId="46" fillId="15" borderId="11" xfId="0" applyFont="1" applyFill="1" applyBorder="1" applyAlignment="1">
      <alignment horizontal="center" vertical="top" wrapText="1"/>
    </xf>
    <xf numFmtId="0" fontId="43" fillId="15" borderId="10" xfId="0" applyFont="1" applyFill="1" applyBorder="1" applyAlignment="1">
      <alignment horizontal="left" vertical="top" wrapText="1"/>
    </xf>
    <xf numFmtId="0" fontId="17" fillId="15" borderId="10" xfId="0" applyFont="1" applyFill="1" applyBorder="1" applyAlignment="1">
      <alignment horizontal="left" vertical="top" wrapText="1"/>
    </xf>
    <xf numFmtId="14" fontId="17" fillId="15" borderId="31" xfId="0" applyNumberFormat="1" applyFont="1" applyFill="1" applyBorder="1" applyAlignment="1">
      <alignment horizontal="center" vertical="center" wrapText="1"/>
    </xf>
    <xf numFmtId="0" fontId="43" fillId="18" borderId="11" xfId="0" applyFont="1" applyFill="1" applyBorder="1" applyAlignment="1">
      <alignment horizontal="left" vertical="center" wrapText="1"/>
    </xf>
    <xf numFmtId="14" fontId="17" fillId="15" borderId="8" xfId="0" applyNumberFormat="1" applyFont="1" applyFill="1" applyBorder="1" applyAlignment="1">
      <alignment horizontal="center" vertical="center" wrapText="1"/>
    </xf>
    <xf numFmtId="14" fontId="17" fillId="15" borderId="29" xfId="0" applyNumberFormat="1" applyFont="1" applyFill="1" applyBorder="1" applyAlignment="1">
      <alignment horizontal="center" vertical="center" wrapText="1"/>
    </xf>
    <xf numFmtId="0" fontId="27" fillId="0" borderId="12" xfId="0" applyFont="1" applyBorder="1" applyAlignment="1">
      <alignment horizontal="left" wrapText="1"/>
    </xf>
    <xf numFmtId="0" fontId="49" fillId="18" borderId="16" xfId="0" applyFont="1" applyFill="1" applyBorder="1" applyAlignment="1">
      <alignment vertical="center"/>
    </xf>
    <xf numFmtId="0" fontId="49" fillId="0" borderId="0" xfId="0" applyFont="1" applyAlignment="1">
      <alignment vertical="center"/>
    </xf>
    <xf numFmtId="0" fontId="33" fillId="0" borderId="0" xfId="0" applyFont="1"/>
    <xf numFmtId="0" fontId="33" fillId="0" borderId="0" xfId="0" applyFont="1" applyAlignment="1">
      <alignment horizontal="center"/>
    </xf>
    <xf numFmtId="0" fontId="22" fillId="2" borderId="11" xfId="1" applyFont="1" applyFill="1" applyBorder="1" applyAlignment="1">
      <alignment horizontal="center" vertical="center" wrapText="1"/>
    </xf>
    <xf numFmtId="0" fontId="48" fillId="0" borderId="12" xfId="0" applyFont="1" applyBorder="1" applyAlignment="1">
      <alignment vertical="center" wrapText="1"/>
    </xf>
    <xf numFmtId="0" fontId="9" fillId="0" borderId="12" xfId="0" applyFont="1" applyBorder="1" applyAlignment="1">
      <alignment wrapText="1"/>
    </xf>
    <xf numFmtId="0" fontId="31" fillId="0" borderId="12" xfId="0" applyFont="1" applyBorder="1" applyAlignment="1">
      <alignment horizontal="left" vertical="center" wrapText="1"/>
    </xf>
    <xf numFmtId="14" fontId="43" fillId="14" borderId="13" xfId="0" applyNumberFormat="1" applyFont="1" applyFill="1" applyBorder="1" applyAlignment="1">
      <alignment horizontal="center" vertical="center" wrapText="1"/>
    </xf>
    <xf numFmtId="0" fontId="43" fillId="14" borderId="13" xfId="0" applyFont="1" applyFill="1" applyBorder="1" applyAlignment="1">
      <alignment horizontal="center" vertical="center" wrapText="1"/>
    </xf>
    <xf numFmtId="14" fontId="35" fillId="14" borderId="13" xfId="0" applyNumberFormat="1" applyFont="1" applyFill="1" applyBorder="1" applyAlignment="1">
      <alignment horizontal="center" vertical="center" wrapText="1"/>
    </xf>
    <xf numFmtId="0" fontId="44" fillId="0" borderId="10" xfId="0" applyFont="1" applyBorder="1" applyAlignment="1">
      <alignment horizontal="center"/>
    </xf>
    <xf numFmtId="14" fontId="36" fillId="15" borderId="1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0" fontId="17" fillId="15" borderId="13" xfId="0" applyFont="1" applyFill="1" applyBorder="1" applyAlignment="1">
      <alignment horizontal="center" vertical="center" wrapText="1"/>
    </xf>
    <xf numFmtId="0" fontId="50" fillId="0" borderId="12" xfId="0" applyFont="1" applyBorder="1" applyAlignment="1">
      <alignment vertical="center" wrapText="1"/>
    </xf>
    <xf numFmtId="165" fontId="51" fillId="0" borderId="12" xfId="2" applyFont="1" applyBorder="1" applyAlignment="1">
      <alignment horizontal="left" wrapText="1"/>
    </xf>
    <xf numFmtId="0" fontId="11" fillId="14" borderId="13" xfId="0" applyFont="1" applyFill="1" applyBorder="1" applyAlignment="1">
      <alignment horizontal="center" vertical="center" wrapText="1"/>
    </xf>
    <xf numFmtId="0" fontId="8" fillId="0" borderId="12" xfId="2" applyNumberFormat="1" applyFont="1" applyBorder="1" applyAlignment="1">
      <alignment horizontal="left" wrapText="1"/>
    </xf>
    <xf numFmtId="0" fontId="28" fillId="2" borderId="24" xfId="0" applyFont="1" applyFill="1" applyBorder="1" applyAlignment="1">
      <alignment horizontal="center"/>
    </xf>
    <xf numFmtId="9" fontId="22" fillId="2" borderId="11" xfId="1" applyNumberFormat="1" applyFont="1" applyFill="1" applyBorder="1" applyAlignment="1">
      <alignment horizontal="center" vertical="center" wrapText="1"/>
    </xf>
    <xf numFmtId="164" fontId="36" fillId="12" borderId="10" xfId="0" applyNumberFormat="1" applyFont="1" applyFill="1" applyBorder="1" applyAlignment="1">
      <alignment horizontal="center" vertical="center" wrapText="1"/>
    </xf>
    <xf numFmtId="164" fontId="17" fillId="20" borderId="13" xfId="0" applyNumberFormat="1" applyFont="1" applyFill="1" applyBorder="1" applyAlignment="1">
      <alignment horizontal="center" vertical="center" wrapText="1"/>
    </xf>
    <xf numFmtId="14" fontId="43" fillId="15" borderId="10" xfId="0" applyNumberFormat="1" applyFont="1" applyFill="1" applyBorder="1" applyAlignment="1">
      <alignment horizontal="center" vertical="center" wrapText="1"/>
    </xf>
    <xf numFmtId="14" fontId="17" fillId="21" borderId="10" xfId="0" applyNumberFormat="1" applyFont="1" applyFill="1" applyBorder="1" applyAlignment="1">
      <alignment horizontal="center"/>
    </xf>
    <xf numFmtId="14" fontId="43" fillId="16" borderId="10" xfId="0" applyNumberFormat="1" applyFont="1" applyFill="1" applyBorder="1" applyAlignment="1">
      <alignment horizontal="center" vertical="center" wrapText="1"/>
    </xf>
    <xf numFmtId="0" fontId="15" fillId="9" borderId="11" xfId="1" applyFont="1" applyFill="1" applyBorder="1" applyAlignment="1">
      <alignment horizontal="center" vertical="center" wrapText="1"/>
    </xf>
    <xf numFmtId="14" fontId="53" fillId="21" borderId="13" xfId="0" applyNumberFormat="1" applyFont="1" applyFill="1" applyBorder="1" applyAlignment="1">
      <alignment horizontal="center" vertical="center" wrapText="1"/>
    </xf>
    <xf numFmtId="14" fontId="37" fillId="16" borderId="10" xfId="0" applyNumberFormat="1" applyFont="1" applyFill="1" applyBorder="1" applyAlignment="1">
      <alignment horizontal="center" vertical="center" wrapText="1"/>
    </xf>
    <xf numFmtId="0" fontId="37" fillId="16" borderId="10" xfId="0" applyFont="1" applyFill="1" applyBorder="1" applyAlignment="1">
      <alignment horizontal="center" vertical="center" wrapText="1"/>
    </xf>
    <xf numFmtId="14" fontId="17" fillId="9" borderId="13" xfId="0" applyNumberFormat="1" applyFont="1" applyFill="1" applyBorder="1" applyAlignment="1">
      <alignment horizontal="center" vertical="center" wrapText="1"/>
    </xf>
    <xf numFmtId="14" fontId="17" fillId="21" borderId="13" xfId="0" applyNumberFormat="1" applyFont="1" applyFill="1" applyBorder="1" applyAlignment="1">
      <alignment horizontal="center" vertical="center" wrapText="1"/>
    </xf>
    <xf numFmtId="14" fontId="11" fillId="15" borderId="10" xfId="0" applyNumberFormat="1" applyFont="1" applyFill="1" applyBorder="1" applyAlignment="1">
      <alignment horizontal="center" vertical="center" wrapText="1"/>
    </xf>
    <xf numFmtId="0" fontId="9" fillId="22" borderId="11" xfId="0" applyFont="1" applyFill="1" applyBorder="1" applyAlignment="1">
      <alignment horizontal="center"/>
    </xf>
    <xf numFmtId="0" fontId="9" fillId="9" borderId="11" xfId="0" applyFont="1" applyFill="1" applyBorder="1" applyAlignment="1">
      <alignment horizontal="center"/>
    </xf>
    <xf numFmtId="0" fontId="54" fillId="11" borderId="11" xfId="1" applyFont="1" applyFill="1" applyBorder="1" applyAlignment="1">
      <alignment horizontal="center" vertical="top" wrapText="1"/>
    </xf>
    <xf numFmtId="0" fontId="22" fillId="22" borderId="11" xfId="1" applyFont="1" applyFill="1" applyBorder="1" applyAlignment="1">
      <alignment horizontal="center" vertical="center" wrapText="1"/>
    </xf>
    <xf numFmtId="0" fontId="22" fillId="0" borderId="11" xfId="1" applyFont="1" applyBorder="1" applyAlignment="1">
      <alignment horizontal="center" vertical="center" wrapText="1"/>
    </xf>
    <xf numFmtId="0" fontId="22" fillId="2" borderId="11" xfId="1" applyFont="1" applyFill="1" applyBorder="1" applyAlignment="1">
      <alignment horizontal="left" vertical="center" wrapText="1"/>
    </xf>
    <xf numFmtId="1" fontId="17" fillId="10" borderId="15" xfId="1" applyNumberFormat="1" applyFont="1" applyFill="1" applyBorder="1" applyAlignment="1">
      <alignment horizontal="center"/>
    </xf>
    <xf numFmtId="0" fontId="15" fillId="22" borderId="11" xfId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15" fillId="0" borderId="11" xfId="1" applyFont="1" applyBorder="1" applyAlignment="1">
      <alignment horizontal="left" vertical="center" wrapText="1"/>
    </xf>
    <xf numFmtId="0" fontId="9" fillId="22" borderId="11" xfId="0" applyFont="1" applyFill="1" applyBorder="1" applyAlignment="1">
      <alignment horizontal="center" wrapText="1"/>
    </xf>
    <xf numFmtId="0" fontId="28" fillId="9" borderId="24" xfId="0" applyFont="1" applyFill="1" applyBorder="1" applyAlignment="1">
      <alignment horizontal="center"/>
    </xf>
    <xf numFmtId="0" fontId="13" fillId="11" borderId="11" xfId="0" applyFont="1" applyFill="1" applyBorder="1" applyAlignment="1">
      <alignment horizontal="left"/>
    </xf>
    <xf numFmtId="0" fontId="38" fillId="0" borderId="12" xfId="0" applyFont="1" applyBorder="1" applyAlignment="1">
      <alignment horizontal="left" vertical="center" wrapText="1"/>
    </xf>
    <xf numFmtId="0" fontId="15" fillId="5" borderId="11" xfId="1" applyFont="1" applyFill="1" applyBorder="1" applyAlignment="1">
      <alignment horizontal="left" vertical="center" wrapText="1"/>
    </xf>
    <xf numFmtId="0" fontId="15" fillId="5" borderId="11" xfId="1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left" wrapText="1"/>
    </xf>
    <xf numFmtId="0" fontId="17" fillId="2" borderId="11" xfId="1" applyFont="1" applyFill="1" applyBorder="1" applyAlignment="1">
      <alignment horizontal="center" vertical="center" wrapText="1"/>
    </xf>
    <xf numFmtId="0" fontId="17" fillId="0" borderId="11" xfId="0" applyFont="1" applyBorder="1" applyAlignment="1">
      <alignment horizontal="left" wrapText="1"/>
    </xf>
    <xf numFmtId="0" fontId="24" fillId="0" borderId="17" xfId="0" applyFont="1" applyBorder="1" applyAlignment="1">
      <alignment horizontal="center"/>
    </xf>
    <xf numFmtId="164" fontId="17" fillId="0" borderId="17" xfId="1" applyNumberFormat="1" applyFont="1" applyBorder="1" applyAlignment="1">
      <alignment horizontal="center" vertical="center" wrapText="1"/>
    </xf>
    <xf numFmtId="0" fontId="17" fillId="5" borderId="11" xfId="1" applyFont="1" applyFill="1" applyBorder="1" applyAlignment="1">
      <alignment horizontal="center" vertical="center" wrapText="1"/>
    </xf>
    <xf numFmtId="1" fontId="14" fillId="8" borderId="2" xfId="1" applyNumberFormat="1" applyFont="1" applyFill="1" applyBorder="1" applyAlignment="1">
      <alignment horizontal="center"/>
    </xf>
    <xf numFmtId="1" fontId="14" fillId="8" borderId="32" xfId="1" applyNumberFormat="1" applyFont="1" applyFill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8" fillId="0" borderId="0" xfId="0" applyFont="1"/>
    <xf numFmtId="14" fontId="17" fillId="14" borderId="10" xfId="0" applyNumberFormat="1" applyFont="1" applyFill="1" applyBorder="1" applyAlignment="1">
      <alignment horizontal="center"/>
    </xf>
    <xf numFmtId="166" fontId="23" fillId="9" borderId="10" xfId="0" applyNumberFormat="1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/>
    </xf>
    <xf numFmtId="0" fontId="17" fillId="0" borderId="11" xfId="1" applyFont="1" applyBorder="1" applyAlignment="1">
      <alignment horizontal="center" vertical="center" wrapText="1"/>
    </xf>
    <xf numFmtId="0" fontId="9" fillId="22" borderId="11" xfId="0" applyFont="1" applyFill="1" applyBorder="1" applyAlignment="1">
      <alignment horizontal="left"/>
    </xf>
    <xf numFmtId="0" fontId="28" fillId="5" borderId="24" xfId="0" applyFont="1" applyFill="1" applyBorder="1" applyAlignment="1">
      <alignment horizontal="center"/>
    </xf>
    <xf numFmtId="164" fontId="36" fillId="9" borderId="13" xfId="0" applyNumberFormat="1" applyFont="1" applyFill="1" applyBorder="1" applyAlignment="1">
      <alignment horizontal="center" vertical="center" wrapText="1"/>
    </xf>
    <xf numFmtId="0" fontId="22" fillId="2" borderId="13" xfId="1" applyFont="1" applyFill="1" applyBorder="1" applyAlignment="1">
      <alignment horizontal="center" vertical="center" wrapText="1"/>
    </xf>
    <xf numFmtId="9" fontId="15" fillId="2" borderId="13" xfId="1" applyNumberFormat="1" applyFont="1" applyFill="1" applyBorder="1" applyAlignment="1">
      <alignment horizontal="center" vertical="center" wrapText="1"/>
    </xf>
    <xf numFmtId="9" fontId="15" fillId="2" borderId="5" xfId="1" applyNumberFormat="1" applyFont="1" applyFill="1" applyBorder="1" applyAlignment="1">
      <alignment horizontal="center" vertical="center" wrapText="1"/>
    </xf>
    <xf numFmtId="0" fontId="15" fillId="2" borderId="5" xfId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wrapText="1"/>
    </xf>
    <xf numFmtId="1" fontId="17" fillId="2" borderId="6" xfId="1" applyNumberFormat="1" applyFont="1" applyFill="1" applyBorder="1" applyAlignment="1">
      <alignment horizontal="center"/>
    </xf>
    <xf numFmtId="164" fontId="17" fillId="9" borderId="5" xfId="0" applyNumberFormat="1" applyFont="1" applyFill="1" applyBorder="1" applyAlignment="1">
      <alignment horizontal="center" vertical="center" wrapText="1"/>
    </xf>
    <xf numFmtId="166" fontId="23" fillId="11" borderId="28" xfId="0" applyNumberFormat="1" applyFont="1" applyFill="1" applyBorder="1" applyAlignment="1">
      <alignment horizontal="center" vertical="center" wrapText="1"/>
    </xf>
    <xf numFmtId="1" fontId="14" fillId="23" borderId="0" xfId="1" applyNumberFormat="1" applyFont="1" applyFill="1" applyAlignment="1">
      <alignment horizontal="center"/>
    </xf>
    <xf numFmtId="0" fontId="9" fillId="0" borderId="13" xfId="0" applyFont="1" applyBorder="1" applyAlignment="1">
      <alignment horizontal="left"/>
    </xf>
    <xf numFmtId="0" fontId="9" fillId="0" borderId="13" xfId="0" applyFont="1" applyBorder="1" applyAlignment="1">
      <alignment horizontal="center"/>
    </xf>
    <xf numFmtId="0" fontId="9" fillId="22" borderId="13" xfId="0" applyFont="1" applyFill="1" applyBorder="1" applyAlignment="1">
      <alignment horizontal="center"/>
    </xf>
    <xf numFmtId="0" fontId="29" fillId="22" borderId="13" xfId="0" applyFont="1" applyFill="1" applyBorder="1" applyAlignment="1">
      <alignment horizontal="center"/>
    </xf>
    <xf numFmtId="14" fontId="17" fillId="14" borderId="17" xfId="0" applyNumberFormat="1" applyFont="1" applyFill="1" applyBorder="1" applyAlignment="1">
      <alignment horizontal="center"/>
    </xf>
    <xf numFmtId="1" fontId="14" fillId="23" borderId="33" xfId="1" applyNumberFormat="1" applyFont="1" applyFill="1" applyBorder="1" applyAlignment="1">
      <alignment horizontal="center"/>
    </xf>
    <xf numFmtId="1" fontId="14" fillId="23" borderId="34" xfId="1" applyNumberFormat="1" applyFont="1" applyFill="1" applyBorder="1" applyAlignment="1">
      <alignment horizontal="center"/>
    </xf>
    <xf numFmtId="0" fontId="32" fillId="15" borderId="10" xfId="0" applyFont="1" applyFill="1" applyBorder="1" applyAlignment="1">
      <alignment horizontal="center" vertical="center" wrapText="1"/>
    </xf>
    <xf numFmtId="14" fontId="23" fillId="15" borderId="10" xfId="0" applyNumberFormat="1" applyFont="1" applyFill="1" applyBorder="1" applyAlignment="1">
      <alignment horizontal="center" vertical="center" wrapText="1"/>
    </xf>
    <xf numFmtId="0" fontId="23" fillId="15" borderId="10" xfId="0" applyFont="1" applyFill="1" applyBorder="1" applyAlignment="1">
      <alignment horizontal="center" vertical="center" wrapText="1"/>
    </xf>
    <xf numFmtId="0" fontId="61" fillId="15" borderId="10" xfId="0" applyFont="1" applyFill="1" applyBorder="1" applyAlignment="1">
      <alignment horizontal="center" vertical="center" wrapText="1"/>
    </xf>
    <xf numFmtId="0" fontId="17" fillId="21" borderId="10" xfId="0" applyFont="1" applyFill="1" applyBorder="1" applyAlignment="1">
      <alignment horizontal="center" vertical="center" wrapText="1"/>
    </xf>
    <xf numFmtId="0" fontId="63" fillId="11" borderId="11" xfId="0" applyFont="1" applyFill="1" applyBorder="1" applyAlignment="1">
      <alignment horizontal="left"/>
    </xf>
    <xf numFmtId="1" fontId="14" fillId="23" borderId="1" xfId="1" applyNumberFormat="1" applyFont="1" applyFill="1" applyBorder="1" applyAlignment="1">
      <alignment horizontal="center"/>
    </xf>
    <xf numFmtId="0" fontId="15" fillId="22" borderId="13" xfId="1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/>
    </xf>
    <xf numFmtId="0" fontId="30" fillId="11" borderId="11" xfId="1" applyFont="1" applyFill="1" applyBorder="1" applyAlignment="1">
      <alignment horizontal="center" vertical="top" wrapText="1"/>
    </xf>
    <xf numFmtId="16" fontId="22" fillId="10" borderId="11" xfId="1" applyNumberFormat="1" applyFont="1" applyFill="1" applyBorder="1" applyAlignment="1">
      <alignment horizontal="center" vertical="top" wrapText="1"/>
    </xf>
    <xf numFmtId="0" fontId="17" fillId="22" borderId="11" xfId="1" applyFont="1" applyFill="1" applyBorder="1" applyAlignment="1">
      <alignment horizontal="center" vertical="center" wrapText="1"/>
    </xf>
    <xf numFmtId="14" fontId="17" fillId="22" borderId="11" xfId="1" applyNumberFormat="1" applyFont="1" applyFill="1" applyBorder="1" applyAlignment="1">
      <alignment horizontal="center" vertical="center" wrapText="1"/>
    </xf>
    <xf numFmtId="0" fontId="17" fillId="24" borderId="13" xfId="0" applyFont="1" applyFill="1" applyBorder="1" applyAlignment="1">
      <alignment horizontal="center" vertical="center" wrapText="1"/>
    </xf>
    <xf numFmtId="14" fontId="17" fillId="24" borderId="13" xfId="0" applyNumberFormat="1" applyFont="1" applyFill="1" applyBorder="1" applyAlignment="1">
      <alignment horizontal="center" vertical="center" wrapText="1"/>
    </xf>
    <xf numFmtId="14" fontId="64" fillId="16" borderId="10" xfId="0" applyNumberFormat="1" applyFont="1" applyFill="1" applyBorder="1" applyAlignment="1">
      <alignment horizontal="center" vertical="center" wrapText="1"/>
    </xf>
    <xf numFmtId="14" fontId="17" fillId="21" borderId="10" xfId="0" applyNumberFormat="1" applyFont="1" applyFill="1" applyBorder="1" applyAlignment="1">
      <alignment horizontal="center" vertical="center" wrapText="1"/>
    </xf>
    <xf numFmtId="14" fontId="23" fillId="15" borderId="19" xfId="0" applyNumberFormat="1" applyFont="1" applyFill="1" applyBorder="1" applyAlignment="1">
      <alignment horizontal="center" vertical="center" wrapText="1"/>
    </xf>
    <xf numFmtId="0" fontId="62" fillId="15" borderId="19" xfId="0" applyFont="1" applyFill="1" applyBorder="1" applyAlignment="1">
      <alignment horizontal="center" vertical="center" wrapText="1"/>
    </xf>
    <xf numFmtId="14" fontId="62" fillId="15" borderId="19" xfId="0" applyNumberFormat="1" applyFont="1" applyFill="1" applyBorder="1" applyAlignment="1">
      <alignment horizontal="center" vertical="center" wrapText="1"/>
    </xf>
    <xf numFmtId="14" fontId="36" fillId="15" borderId="19" xfId="0" applyNumberFormat="1" applyFont="1" applyFill="1" applyBorder="1" applyAlignment="1">
      <alignment horizontal="center" vertical="center" wrapText="1"/>
    </xf>
    <xf numFmtId="14" fontId="64" fillId="15" borderId="19" xfId="0" applyNumberFormat="1" applyFont="1" applyFill="1" applyBorder="1" applyAlignment="1">
      <alignment horizontal="center" vertical="center" wrapText="1"/>
    </xf>
    <xf numFmtId="164" fontId="17" fillId="22" borderId="10" xfId="0" applyNumberFormat="1" applyFont="1" applyFill="1" applyBorder="1" applyAlignment="1">
      <alignment horizontal="center" vertical="center" wrapText="1"/>
    </xf>
    <xf numFmtId="0" fontId="0" fillId="22" borderId="11" xfId="0" applyFill="1" applyBorder="1" applyAlignment="1">
      <alignment horizontal="left"/>
    </xf>
    <xf numFmtId="0" fontId="38" fillId="0" borderId="12" xfId="0" applyFont="1" applyBorder="1" applyAlignment="1">
      <alignment horizontal="center" vertical="center"/>
    </xf>
    <xf numFmtId="16" fontId="17" fillId="15" borderId="13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36" fillId="15" borderId="10" xfId="0" applyFont="1" applyFill="1" applyBorder="1" applyAlignment="1">
      <alignment horizontal="center" vertical="center" wrapText="1"/>
    </xf>
    <xf numFmtId="0" fontId="15" fillId="11" borderId="11" xfId="1" applyFont="1" applyFill="1" applyBorder="1" applyAlignment="1">
      <alignment horizontal="center" vertical="center" wrapText="1"/>
    </xf>
    <xf numFmtId="0" fontId="9" fillId="22" borderId="11" xfId="0" applyFont="1" applyFill="1" applyBorder="1" applyAlignment="1">
      <alignment horizontal="center" vertical="top" wrapText="1"/>
    </xf>
    <xf numFmtId="0" fontId="15" fillId="22" borderId="11" xfId="1" applyFont="1" applyFill="1" applyBorder="1" applyAlignment="1">
      <alignment horizontal="left" vertical="center" wrapText="1"/>
    </xf>
    <xf numFmtId="164" fontId="15" fillId="2" borderId="11" xfId="1" applyNumberFormat="1" applyFont="1" applyFill="1" applyBorder="1" applyAlignment="1">
      <alignment horizontal="center" vertical="center" wrapText="1"/>
    </xf>
    <xf numFmtId="14" fontId="22" fillId="10" borderId="11" xfId="1" applyNumberFormat="1" applyFont="1" applyFill="1" applyBorder="1" applyAlignment="1">
      <alignment horizontal="left" vertical="top" wrapText="1"/>
    </xf>
    <xf numFmtId="167" fontId="0" fillId="0" borderId="0" xfId="0" applyNumberFormat="1"/>
    <xf numFmtId="0" fontId="68" fillId="0" borderId="11" xfId="0" applyFont="1" applyBorder="1" applyAlignment="1">
      <alignment horizontal="left"/>
    </xf>
    <xf numFmtId="0" fontId="69" fillId="11" borderId="11" xfId="0" applyFont="1" applyFill="1" applyBorder="1" applyAlignment="1">
      <alignment horizontal="left"/>
    </xf>
    <xf numFmtId="14" fontId="66" fillId="24" borderId="13" xfId="0" applyNumberFormat="1" applyFont="1" applyFill="1" applyBorder="1" applyAlignment="1">
      <alignment horizontal="center" vertical="center" wrapText="1"/>
    </xf>
    <xf numFmtId="14" fontId="17" fillId="24" borderId="13" xfId="0" applyNumberFormat="1" applyFont="1" applyFill="1" applyBorder="1" applyAlignment="1">
      <alignment wrapText="1"/>
    </xf>
    <xf numFmtId="14" fontId="17" fillId="15" borderId="17" xfId="0" applyNumberFormat="1" applyFont="1" applyFill="1" applyBorder="1" applyAlignment="1">
      <alignment wrapText="1"/>
    </xf>
    <xf numFmtId="14" fontId="23" fillId="15" borderId="10" xfId="0" applyNumberFormat="1" applyFont="1" applyFill="1" applyBorder="1" applyAlignment="1">
      <alignment wrapText="1"/>
    </xf>
    <xf numFmtId="164" fontId="17" fillId="12" borderId="13" xfId="0" applyNumberFormat="1" applyFont="1" applyFill="1" applyBorder="1" applyAlignment="1">
      <alignment horizontal="center" vertical="center" wrapText="1"/>
    </xf>
    <xf numFmtId="0" fontId="21" fillId="11" borderId="24" xfId="0" applyFont="1" applyFill="1" applyBorder="1" applyAlignment="1">
      <alignment horizontal="center"/>
    </xf>
    <xf numFmtId="0" fontId="15" fillId="22" borderId="5" xfId="1" applyFont="1" applyFill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1" fontId="14" fillId="23" borderId="0" xfId="1" applyNumberFormat="1" applyFont="1" applyFill="1" applyAlignment="1">
      <alignment horizontal="center" wrapText="1"/>
    </xf>
    <xf numFmtId="0" fontId="19" fillId="0" borderId="0" xfId="0" applyFont="1" applyAlignment="1">
      <alignment wrapText="1"/>
    </xf>
    <xf numFmtId="0" fontId="0" fillId="0" borderId="18" xfId="2" applyNumberFormat="1" applyFont="1" applyBorder="1" applyAlignment="1">
      <alignment horizontal="left" wrapText="1"/>
    </xf>
    <xf numFmtId="0" fontId="26" fillId="0" borderId="12" xfId="0" applyFont="1" applyBorder="1" applyAlignment="1">
      <alignment horizontal="left" wrapText="1"/>
    </xf>
    <xf numFmtId="1" fontId="14" fillId="8" borderId="3" xfId="1" applyNumberFormat="1" applyFont="1" applyFill="1" applyBorder="1" applyAlignment="1">
      <alignment horizontal="left" wrapText="1"/>
    </xf>
    <xf numFmtId="0" fontId="19" fillId="0" borderId="12" xfId="0" applyFont="1" applyBorder="1" applyAlignment="1">
      <alignment wrapText="1"/>
    </xf>
    <xf numFmtId="0" fontId="0" fillId="0" borderId="17" xfId="2" applyNumberFormat="1" applyFont="1" applyBorder="1" applyAlignment="1">
      <alignment horizontal="left" wrapText="1"/>
    </xf>
    <xf numFmtId="0" fontId="0" fillId="0" borderId="12" xfId="2" applyNumberFormat="1" applyFont="1" applyBorder="1" applyAlignment="1">
      <alignment horizontal="left" wrapText="1"/>
    </xf>
    <xf numFmtId="0" fontId="29" fillId="0" borderId="12" xfId="0" applyFont="1" applyBorder="1" applyAlignment="1">
      <alignment vertical="center" wrapText="1"/>
    </xf>
    <xf numFmtId="0" fontId="31" fillId="0" borderId="10" xfId="0" applyFont="1" applyBorder="1" applyAlignment="1">
      <alignment horizontal="left" wrapText="1"/>
    </xf>
    <xf numFmtId="0" fontId="27" fillId="0" borderId="17" xfId="0" applyFont="1" applyBorder="1" applyAlignment="1">
      <alignment horizontal="left" wrapText="1"/>
    </xf>
    <xf numFmtId="0" fontId="33" fillId="0" borderId="12" xfId="0" applyFont="1" applyBorder="1" applyAlignment="1">
      <alignment vertical="center" wrapText="1"/>
    </xf>
    <xf numFmtId="1" fontId="14" fillId="8" borderId="8" xfId="1" applyNumberFormat="1" applyFont="1" applyFill="1" applyBorder="1" applyAlignment="1">
      <alignment horizontal="left" wrapText="1"/>
    </xf>
    <xf numFmtId="165" fontId="0" fillId="0" borderId="26" xfId="2" applyFont="1" applyBorder="1" applyAlignment="1">
      <alignment horizontal="left" wrapText="1"/>
    </xf>
    <xf numFmtId="0" fontId="38" fillId="2" borderId="18" xfId="0" applyFont="1" applyFill="1" applyBorder="1" applyAlignment="1">
      <alignment vertical="center" wrapText="1"/>
    </xf>
    <xf numFmtId="165" fontId="0" fillId="0" borderId="12" xfId="2" applyFont="1" applyBorder="1" applyAlignment="1">
      <alignment horizontal="left" wrapText="1"/>
    </xf>
    <xf numFmtId="165" fontId="0" fillId="2" borderId="12" xfId="2" applyFont="1" applyFill="1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0" xfId="0" applyAlignment="1">
      <alignment wrapText="1"/>
    </xf>
    <xf numFmtId="0" fontId="0" fillId="11" borderId="11" xfId="0" applyFill="1" applyBorder="1" applyAlignment="1">
      <alignment horizontal="center" wrapText="1"/>
    </xf>
    <xf numFmtId="0" fontId="0" fillId="0" borderId="12" xfId="0" applyBorder="1" applyAlignment="1">
      <alignment wrapText="1"/>
    </xf>
    <xf numFmtId="0" fontId="26" fillId="0" borderId="17" xfId="0" applyFont="1" applyBorder="1" applyAlignment="1">
      <alignment horizontal="left" wrapText="1"/>
    </xf>
    <xf numFmtId="0" fontId="9" fillId="2" borderId="15" xfId="0" applyFont="1" applyFill="1" applyBorder="1" applyAlignment="1">
      <alignment horizontal="left" wrapText="1"/>
    </xf>
    <xf numFmtId="0" fontId="27" fillId="0" borderId="26" xfId="0" applyFont="1" applyBorder="1" applyAlignment="1">
      <alignment horizontal="left" wrapText="1"/>
    </xf>
    <xf numFmtId="0" fontId="38" fillId="0" borderId="12" xfId="0" applyFont="1" applyBorder="1" applyAlignment="1">
      <alignment vertical="center" wrapText="1"/>
    </xf>
    <xf numFmtId="165" fontId="0" fillId="0" borderId="18" xfId="2" applyFont="1" applyBorder="1" applyAlignment="1">
      <alignment horizontal="left" wrapText="1"/>
    </xf>
    <xf numFmtId="0" fontId="33" fillId="0" borderId="26" xfId="0" applyFont="1" applyBorder="1" applyAlignment="1">
      <alignment wrapText="1"/>
    </xf>
    <xf numFmtId="0" fontId="33" fillId="16" borderId="11" xfId="0" applyFont="1" applyFill="1" applyBorder="1" applyAlignment="1">
      <alignment horizontal="center" wrapText="1"/>
    </xf>
    <xf numFmtId="0" fontId="33" fillId="0" borderId="12" xfId="0" applyFont="1" applyBorder="1" applyAlignment="1">
      <alignment wrapText="1"/>
    </xf>
    <xf numFmtId="1" fontId="14" fillId="23" borderId="33" xfId="1" applyNumberFormat="1" applyFont="1" applyFill="1" applyBorder="1" applyAlignment="1">
      <alignment horizontal="center" wrapText="1"/>
    </xf>
    <xf numFmtId="0" fontId="33" fillId="0" borderId="12" xfId="0" applyFont="1" applyBorder="1" applyAlignment="1">
      <alignment horizontal="left" wrapText="1"/>
    </xf>
    <xf numFmtId="0" fontId="33" fillId="0" borderId="0" xfId="0" applyFont="1" applyAlignment="1">
      <alignment wrapText="1"/>
    </xf>
    <xf numFmtId="0" fontId="38" fillId="0" borderId="18" xfId="0" applyFont="1" applyBorder="1" applyAlignment="1">
      <alignment horizontal="left" vertical="center" wrapText="1"/>
    </xf>
    <xf numFmtId="0" fontId="31" fillId="0" borderId="12" xfId="0" applyFont="1" applyBorder="1" applyAlignment="1">
      <alignment vertical="center" wrapText="1"/>
    </xf>
    <xf numFmtId="1" fontId="14" fillId="23" borderId="34" xfId="1" applyNumberFormat="1" applyFont="1" applyFill="1" applyBorder="1" applyAlignment="1">
      <alignment horizontal="center" wrapText="1"/>
    </xf>
    <xf numFmtId="0" fontId="52" fillId="0" borderId="12" xfId="2" applyNumberFormat="1" applyFont="1" applyBorder="1" applyAlignment="1">
      <alignment horizontal="left" wrapText="1"/>
    </xf>
    <xf numFmtId="49" fontId="9" fillId="0" borderId="12" xfId="0" applyNumberFormat="1" applyFont="1" applyBorder="1" applyAlignment="1">
      <alignment horizontal="left" wrapText="1"/>
    </xf>
    <xf numFmtId="0" fontId="52" fillId="0" borderId="12" xfId="0" applyFont="1" applyBorder="1" applyAlignment="1">
      <alignment wrapText="1"/>
    </xf>
    <xf numFmtId="0" fontId="0" fillId="0" borderId="17" xfId="0" applyBorder="1" applyAlignment="1">
      <alignment wrapText="1"/>
    </xf>
    <xf numFmtId="0" fontId="52" fillId="0" borderId="18" xfId="2" applyNumberFormat="1" applyFont="1" applyBorder="1" applyAlignment="1">
      <alignment horizontal="left" wrapText="1"/>
    </xf>
    <xf numFmtId="0" fontId="38" fillId="2" borderId="12" xfId="0" applyFont="1" applyFill="1" applyBorder="1" applyAlignment="1">
      <alignment horizontal="left" vertical="center" wrapText="1"/>
    </xf>
    <xf numFmtId="0" fontId="56" fillId="0" borderId="0" xfId="0" applyFont="1" applyAlignment="1">
      <alignment wrapText="1"/>
    </xf>
    <xf numFmtId="49" fontId="27" fillId="0" borderId="12" xfId="0" applyNumberFormat="1" applyFont="1" applyBorder="1" applyAlignment="1">
      <alignment horizontal="left" wrapText="1"/>
    </xf>
    <xf numFmtId="49" fontId="9" fillId="2" borderId="12" xfId="0" applyNumberFormat="1" applyFont="1" applyFill="1" applyBorder="1" applyAlignment="1">
      <alignment horizontal="left" wrapText="1"/>
    </xf>
    <xf numFmtId="0" fontId="52" fillId="0" borderId="12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165" fontId="51" fillId="0" borderId="12" xfId="2" applyFont="1" applyBorder="1" applyAlignment="1">
      <alignment wrapText="1"/>
    </xf>
    <xf numFmtId="0" fontId="31" fillId="5" borderId="12" xfId="0" applyFont="1" applyFill="1" applyBorder="1" applyAlignment="1">
      <alignment horizontal="left" vertical="center" wrapText="1"/>
    </xf>
    <xf numFmtId="0" fontId="52" fillId="5" borderId="12" xfId="0" applyFont="1" applyFill="1" applyBorder="1" applyAlignment="1">
      <alignment wrapText="1"/>
    </xf>
    <xf numFmtId="0" fontId="29" fillId="0" borderId="12" xfId="0" applyFont="1" applyBorder="1" applyAlignment="1">
      <alignment horizontal="left" wrapText="1"/>
    </xf>
    <xf numFmtId="0" fontId="67" fillId="0" borderId="12" xfId="0" applyFont="1" applyBorder="1" applyAlignment="1">
      <alignment wrapText="1"/>
    </xf>
    <xf numFmtId="0" fontId="27" fillId="0" borderId="18" xfId="0" applyFont="1" applyBorder="1" applyAlignment="1">
      <alignment horizontal="left" wrapText="1"/>
    </xf>
    <xf numFmtId="0" fontId="65" fillId="0" borderId="17" xfId="2" applyNumberFormat="1" applyFont="1" applyBorder="1" applyAlignment="1">
      <alignment horizontal="left" wrapText="1"/>
    </xf>
    <xf numFmtId="0" fontId="65" fillId="0" borderId="12" xfId="2" applyNumberFormat="1" applyFont="1" applyBorder="1" applyAlignment="1">
      <alignment horizontal="left" wrapText="1"/>
    </xf>
    <xf numFmtId="0" fontId="65" fillId="0" borderId="10" xfId="2" applyNumberFormat="1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27" fillId="0" borderId="12" xfId="0" applyFont="1" applyBorder="1" applyAlignment="1">
      <alignment horizontal="left"/>
    </xf>
    <xf numFmtId="165" fontId="51" fillId="0" borderId="12" xfId="2" applyFont="1" applyBorder="1"/>
    <xf numFmtId="0" fontId="27" fillId="0" borderId="12" xfId="0" applyFont="1" applyBorder="1" applyAlignment="1">
      <alignment horizontal="left" vertical="center"/>
    </xf>
    <xf numFmtId="0" fontId="52" fillId="0" borderId="18" xfId="0" applyFont="1" applyBorder="1" applyAlignment="1">
      <alignment horizontal="left"/>
    </xf>
    <xf numFmtId="0" fontId="15" fillId="2" borderId="10" xfId="1" applyFont="1" applyFill="1" applyBorder="1" applyAlignment="1">
      <alignment horizontal="center" vertical="center" wrapText="1"/>
    </xf>
    <xf numFmtId="14" fontId="17" fillId="0" borderId="13" xfId="0" applyNumberFormat="1" applyFont="1" applyBorder="1" applyAlignment="1">
      <alignment horizontal="center" vertical="center" wrapText="1"/>
    </xf>
    <xf numFmtId="164" fontId="17" fillId="2" borderId="18" xfId="1" applyNumberFormat="1" applyFont="1" applyFill="1" applyBorder="1" applyAlignment="1">
      <alignment horizontal="center"/>
    </xf>
    <xf numFmtId="1" fontId="14" fillId="2" borderId="18" xfId="1" applyNumberFormat="1" applyFont="1" applyFill="1" applyBorder="1" applyAlignment="1">
      <alignment horizontal="center"/>
    </xf>
    <xf numFmtId="164" fontId="17" fillId="2" borderId="12" xfId="1" applyNumberFormat="1" applyFont="1" applyFill="1" applyBorder="1" applyAlignment="1">
      <alignment horizontal="center"/>
    </xf>
    <xf numFmtId="0" fontId="22" fillId="11" borderId="10" xfId="1" applyFont="1" applyFill="1" applyBorder="1" applyAlignment="1">
      <alignment horizontal="center" vertical="top" wrapText="1"/>
    </xf>
    <xf numFmtId="0" fontId="0" fillId="11" borderId="10" xfId="0" applyFill="1" applyBorder="1" applyAlignment="1">
      <alignment horizontal="center" wrapText="1"/>
    </xf>
    <xf numFmtId="0" fontId="68" fillId="10" borderId="11" xfId="1" applyFont="1" applyFill="1" applyBorder="1" applyAlignment="1">
      <alignment horizontal="center" vertical="top" wrapText="1"/>
    </xf>
    <xf numFmtId="0" fontId="15" fillId="10" borderId="11" xfId="1" applyFont="1" applyFill="1" applyBorder="1" applyAlignment="1">
      <alignment horizontal="center" vertical="center" wrapText="1"/>
    </xf>
    <xf numFmtId="0" fontId="70" fillId="0" borderId="12" xfId="0" applyFont="1" applyBorder="1" applyAlignment="1">
      <alignment wrapText="1"/>
    </xf>
    <xf numFmtId="0" fontId="71" fillId="0" borderId="0" xfId="0" applyFont="1"/>
    <xf numFmtId="0" fontId="9" fillId="9" borderId="11" xfId="0" applyFont="1" applyFill="1" applyBorder="1" applyAlignment="1">
      <alignment horizontal="left"/>
    </xf>
    <xf numFmtId="164" fontId="17" fillId="0" borderId="30" xfId="0" applyNumberFormat="1" applyFont="1" applyBorder="1" applyAlignment="1">
      <alignment horizontal="center" vertical="center" wrapText="1"/>
    </xf>
    <xf numFmtId="0" fontId="33" fillId="25" borderId="34" xfId="0" applyFont="1" applyFill="1" applyBorder="1" applyAlignment="1">
      <alignment horizontal="center"/>
    </xf>
    <xf numFmtId="14" fontId="72" fillId="15" borderId="10" xfId="0" applyNumberFormat="1" applyFont="1" applyFill="1" applyBorder="1" applyAlignment="1">
      <alignment horizontal="center" vertical="center" wrapText="1"/>
    </xf>
    <xf numFmtId="14" fontId="73" fillId="24" borderId="13" xfId="0" applyNumberFormat="1" applyFont="1" applyFill="1" applyBorder="1" applyAlignment="1">
      <alignment horizontal="center" vertical="center" wrapText="1"/>
    </xf>
    <xf numFmtId="14" fontId="17" fillId="10" borderId="11" xfId="1" applyNumberFormat="1" applyFont="1" applyFill="1" applyBorder="1" applyAlignment="1">
      <alignment horizontal="center" vertical="top" wrapText="1"/>
    </xf>
    <xf numFmtId="14" fontId="15" fillId="10" borderId="11" xfId="1" applyNumberFormat="1" applyFont="1" applyFill="1" applyBorder="1" applyAlignment="1">
      <alignment horizontal="center" vertical="top" wrapText="1"/>
    </xf>
    <xf numFmtId="14" fontId="23" fillId="0" borderId="13" xfId="0" applyNumberFormat="1" applyFont="1" applyBorder="1" applyAlignment="1">
      <alignment horizontal="center" vertical="center" wrapText="1"/>
    </xf>
    <xf numFmtId="0" fontId="29" fillId="0" borderId="30" xfId="0" applyFont="1" applyBorder="1" applyAlignment="1">
      <alignment horizontal="left"/>
    </xf>
    <xf numFmtId="164" fontId="17" fillId="12" borderId="11" xfId="0" applyNumberFormat="1" applyFont="1" applyFill="1" applyBorder="1" applyAlignment="1">
      <alignment horizontal="center" vertical="center" wrapText="1"/>
    </xf>
    <xf numFmtId="0" fontId="17" fillId="2" borderId="11" xfId="1" applyFont="1" applyFill="1" applyBorder="1" applyAlignment="1">
      <alignment horizontal="left" vertical="center" wrapText="1"/>
    </xf>
    <xf numFmtId="0" fontId="68" fillId="10" borderId="11" xfId="1" applyFont="1" applyFill="1" applyBorder="1" applyAlignment="1">
      <alignment horizontal="left" vertical="top" wrapText="1"/>
    </xf>
    <xf numFmtId="0" fontId="38" fillId="0" borderId="12" xfId="0" applyFont="1" applyBorder="1" applyAlignment="1">
      <alignment horizontal="left" vertical="center"/>
    </xf>
    <xf numFmtId="164" fontId="74" fillId="0" borderId="13" xfId="0" applyNumberFormat="1" applyFont="1" applyBorder="1" applyAlignment="1">
      <alignment horizontal="center" vertical="center" wrapText="1"/>
    </xf>
    <xf numFmtId="0" fontId="27" fillId="0" borderId="12" xfId="0" applyFont="1" applyBorder="1" applyAlignment="1">
      <alignment horizontal="left" vertical="center" wrapText="1"/>
    </xf>
    <xf numFmtId="0" fontId="75" fillId="5" borderId="11" xfId="0" applyFont="1" applyFill="1" applyBorder="1" applyAlignment="1">
      <alignment horizontal="left"/>
    </xf>
    <xf numFmtId="0" fontId="76" fillId="0" borderId="12" xfId="0" applyFont="1" applyBorder="1"/>
    <xf numFmtId="49" fontId="9" fillId="0" borderId="12" xfId="0" applyNumberFormat="1" applyFont="1" applyBorder="1" applyAlignment="1">
      <alignment horizontal="left"/>
    </xf>
    <xf numFmtId="164" fontId="23" fillId="5" borderId="13" xfId="0" applyNumberFormat="1" applyFont="1" applyFill="1" applyBorder="1" applyAlignment="1">
      <alignment horizontal="center" vertical="center" wrapText="1"/>
    </xf>
    <xf numFmtId="164" fontId="23" fillId="12" borderId="10" xfId="0" applyNumberFormat="1" applyFont="1" applyFill="1" applyBorder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/>
    </xf>
    <xf numFmtId="164" fontId="36" fillId="0" borderId="13" xfId="0" applyNumberFormat="1" applyFont="1" applyBorder="1" applyAlignment="1">
      <alignment horizontal="center" vertical="center" wrapText="1"/>
    </xf>
    <xf numFmtId="0" fontId="27" fillId="0" borderId="12" xfId="0" applyFont="1" applyBorder="1" applyAlignment="1">
      <alignment wrapText="1"/>
    </xf>
    <xf numFmtId="9" fontId="15" fillId="2" borderId="35" xfId="1" applyNumberFormat="1" applyFont="1" applyFill="1" applyBorder="1" applyAlignment="1">
      <alignment horizontal="center" vertical="center" wrapText="1"/>
    </xf>
    <xf numFmtId="164" fontId="32" fillId="12" borderId="10" xfId="0" applyNumberFormat="1" applyFont="1" applyFill="1" applyBorder="1" applyAlignment="1">
      <alignment horizontal="center" vertical="center" wrapText="1"/>
    </xf>
    <xf numFmtId="0" fontId="80" fillId="16" borderId="10" xfId="0" applyFont="1" applyFill="1" applyBorder="1" applyAlignment="1">
      <alignment horizontal="center" vertical="center" wrapText="1"/>
    </xf>
    <xf numFmtId="0" fontId="6" fillId="0" borderId="12" xfId="2" applyNumberFormat="1" applyFont="1" applyBorder="1" applyAlignment="1">
      <alignment horizontal="left" wrapText="1"/>
    </xf>
    <xf numFmtId="164" fontId="17" fillId="9" borderId="10" xfId="1" applyNumberFormat="1" applyFont="1" applyFill="1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12" xfId="0" applyBorder="1"/>
    <xf numFmtId="164" fontId="41" fillId="0" borderId="13" xfId="0" applyNumberFormat="1" applyFont="1" applyBorder="1" applyAlignment="1">
      <alignment horizontal="center" vertical="center" wrapText="1"/>
    </xf>
    <xf numFmtId="14" fontId="30" fillId="10" borderId="11" xfId="1" applyNumberFormat="1" applyFont="1" applyFill="1" applyBorder="1" applyAlignment="1">
      <alignment horizontal="center" vertical="top" wrapText="1"/>
    </xf>
    <xf numFmtId="166" fontId="36" fillId="11" borderId="10" xfId="0" applyNumberFormat="1" applyFont="1" applyFill="1" applyBorder="1" applyAlignment="1">
      <alignment horizontal="center" vertical="center" wrapText="1"/>
    </xf>
    <xf numFmtId="0" fontId="0" fillId="2" borderId="16" xfId="0" applyFill="1" applyBorder="1"/>
    <xf numFmtId="0" fontId="82" fillId="0" borderId="0" xfId="0" applyFont="1"/>
    <xf numFmtId="0" fontId="83" fillId="0" borderId="12" xfId="0" applyFont="1" applyBorder="1"/>
    <xf numFmtId="0" fontId="29" fillId="0" borderId="12" xfId="0" applyFont="1" applyBorder="1" applyAlignment="1">
      <alignment horizontal="left"/>
    </xf>
    <xf numFmtId="0" fontId="84" fillId="0" borderId="12" xfId="0" applyFont="1" applyBorder="1" applyAlignment="1">
      <alignment vertical="center"/>
    </xf>
    <xf numFmtId="49" fontId="68" fillId="0" borderId="12" xfId="0" applyNumberFormat="1" applyFont="1" applyBorder="1" applyAlignment="1">
      <alignment horizontal="left" wrapText="1"/>
    </xf>
    <xf numFmtId="0" fontId="82" fillId="0" borderId="12" xfId="0" applyFont="1" applyBorder="1" applyAlignment="1">
      <alignment wrapText="1"/>
    </xf>
    <xf numFmtId="164" fontId="36" fillId="0" borderId="10" xfId="0" applyNumberFormat="1" applyFont="1" applyBorder="1" applyAlignment="1">
      <alignment horizontal="center" vertical="center" wrapText="1"/>
    </xf>
    <xf numFmtId="0" fontId="87" fillId="0" borderId="12" xfId="0" applyFont="1" applyBorder="1" applyAlignment="1">
      <alignment horizontal="left" vertical="center"/>
    </xf>
    <xf numFmtId="0" fontId="29" fillId="0" borderId="12" xfId="2" applyNumberFormat="1" applyFont="1" applyBorder="1" applyAlignment="1">
      <alignment horizontal="left" wrapText="1"/>
    </xf>
    <xf numFmtId="164" fontId="35" fillId="0" borderId="13" xfId="0" applyNumberFormat="1" applyFont="1" applyBorder="1" applyAlignment="1">
      <alignment horizontal="center" vertical="center" wrapText="1"/>
    </xf>
    <xf numFmtId="0" fontId="33" fillId="0" borderId="12" xfId="0" applyFont="1" applyBorder="1"/>
    <xf numFmtId="0" fontId="9" fillId="0" borderId="12" xfId="0" applyFont="1" applyBorder="1" applyAlignment="1">
      <alignment horizontal="left" vertical="center"/>
    </xf>
    <xf numFmtId="1" fontId="9" fillId="23" borderId="34" xfId="1" applyNumberFormat="1" applyFill="1" applyBorder="1" applyAlignment="1">
      <alignment horizontal="center"/>
    </xf>
    <xf numFmtId="0" fontId="81" fillId="11" borderId="11" xfId="0" applyFont="1" applyFill="1" applyBorder="1" applyAlignment="1">
      <alignment horizontal="left"/>
    </xf>
    <xf numFmtId="0" fontId="52" fillId="0" borderId="12" xfId="0" applyFont="1" applyBorder="1" applyAlignment="1">
      <alignment horizontal="left"/>
    </xf>
    <xf numFmtId="0" fontId="88" fillId="0" borderId="12" xfId="0" applyFont="1" applyBorder="1"/>
    <xf numFmtId="1" fontId="13" fillId="10" borderId="15" xfId="1" applyNumberFormat="1" applyFont="1" applyFill="1" applyBorder="1" applyAlignment="1">
      <alignment horizontal="center"/>
    </xf>
    <xf numFmtId="164" fontId="17" fillId="2" borderId="10" xfId="1" applyNumberFormat="1" applyFont="1" applyFill="1" applyBorder="1" applyAlignment="1">
      <alignment horizontal="center" wrapText="1"/>
    </xf>
    <xf numFmtId="0" fontId="89" fillId="2" borderId="12" xfId="0" applyFont="1" applyFill="1" applyBorder="1" applyAlignment="1">
      <alignment horizontal="center" vertical="center"/>
    </xf>
    <xf numFmtId="0" fontId="82" fillId="2" borderId="12" xfId="0" applyFont="1" applyFill="1" applyBorder="1"/>
    <xf numFmtId="0" fontId="38" fillId="0" borderId="18" xfId="0" applyFont="1" applyBorder="1" applyAlignment="1">
      <alignment horizontal="left" vertical="center"/>
    </xf>
    <xf numFmtId="0" fontId="16" fillId="13" borderId="10" xfId="0" applyFont="1" applyFill="1" applyBorder="1" applyAlignment="1">
      <alignment horizontal="center"/>
    </xf>
    <xf numFmtId="166" fontId="15" fillId="11" borderId="11" xfId="0" applyNumberFormat="1" applyFont="1" applyFill="1" applyBorder="1" applyAlignment="1">
      <alignment horizontal="center" vertical="center" wrapText="1"/>
    </xf>
    <xf numFmtId="164" fontId="32" fillId="2" borderId="11" xfId="1" applyNumberFormat="1" applyFont="1" applyFill="1" applyBorder="1" applyAlignment="1">
      <alignment horizontal="center"/>
    </xf>
    <xf numFmtId="164" fontId="17" fillId="0" borderId="13" xfId="1" applyNumberFormat="1" applyFont="1" applyBorder="1" applyAlignment="1">
      <alignment horizontal="center" vertical="center" wrapText="1"/>
    </xf>
    <xf numFmtId="166" fontId="15" fillId="11" borderId="28" xfId="0" applyNumberFormat="1" applyFont="1" applyFill="1" applyBorder="1" applyAlignment="1">
      <alignment horizontal="center" vertical="center" wrapText="1"/>
    </xf>
    <xf numFmtId="164" fontId="17" fillId="0" borderId="5" xfId="1" applyNumberFormat="1" applyFont="1" applyBorder="1" applyAlignment="1">
      <alignment horizontal="center"/>
    </xf>
    <xf numFmtId="0" fontId="32" fillId="18" borderId="5" xfId="0" applyFont="1" applyFill="1" applyBorder="1" applyAlignment="1">
      <alignment horizontal="center"/>
    </xf>
    <xf numFmtId="0" fontId="43" fillId="16" borderId="11" xfId="0" applyFont="1" applyFill="1" applyBorder="1" applyAlignment="1">
      <alignment horizontal="center" vertical="center" wrapText="1"/>
    </xf>
    <xf numFmtId="0" fontId="32" fillId="18" borderId="30" xfId="0" applyFont="1" applyFill="1" applyBorder="1" applyAlignment="1">
      <alignment horizontal="center"/>
    </xf>
    <xf numFmtId="0" fontId="32" fillId="18" borderId="11" xfId="0" applyFont="1" applyFill="1" applyBorder="1" applyAlignment="1">
      <alignment horizontal="center"/>
    </xf>
    <xf numFmtId="0" fontId="17" fillId="18" borderId="13" xfId="0" applyFont="1" applyFill="1" applyBorder="1" applyAlignment="1">
      <alignment horizontal="center"/>
    </xf>
    <xf numFmtId="0" fontId="0" fillId="0" borderId="30" xfId="2" applyNumberFormat="1" applyFont="1" applyBorder="1" applyAlignment="1">
      <alignment horizontal="center"/>
    </xf>
    <xf numFmtId="0" fontId="0" fillId="0" borderId="36" xfId="2" applyNumberFormat="1" applyFont="1" applyBorder="1" applyAlignment="1">
      <alignment horizontal="center"/>
    </xf>
    <xf numFmtId="164" fontId="17" fillId="2" borderId="30" xfId="1" applyNumberFormat="1" applyFont="1" applyFill="1" applyBorder="1" applyAlignment="1">
      <alignment horizontal="center"/>
    </xf>
    <xf numFmtId="0" fontId="17" fillId="10" borderId="11" xfId="1" applyFont="1" applyFill="1" applyBorder="1" applyAlignment="1">
      <alignment horizontal="left" vertical="top" wrapText="1"/>
    </xf>
    <xf numFmtId="0" fontId="15" fillId="0" borderId="11" xfId="1" applyFont="1" applyBorder="1" applyAlignment="1">
      <alignment horizontal="center" vertical="center" wrapText="1"/>
    </xf>
    <xf numFmtId="0" fontId="8" fillId="9" borderId="11" xfId="1" applyFont="1" applyFill="1" applyBorder="1" applyAlignment="1">
      <alignment horizontal="center" vertical="center" wrapText="1"/>
    </xf>
    <xf numFmtId="0" fontId="15" fillId="9" borderId="11" xfId="1" applyFont="1" applyFill="1" applyBorder="1" applyAlignment="1">
      <alignment horizontal="left" vertical="center" wrapText="1"/>
    </xf>
    <xf numFmtId="1" fontId="14" fillId="9" borderId="10" xfId="1" applyNumberFormat="1" applyFont="1" applyFill="1" applyBorder="1" applyAlignment="1">
      <alignment horizontal="center"/>
    </xf>
    <xf numFmtId="0" fontId="46" fillId="0" borderId="12" xfId="0" applyFont="1" applyBorder="1" applyAlignment="1">
      <alignment horizontal="left"/>
    </xf>
    <xf numFmtId="0" fontId="27" fillId="0" borderId="12" xfId="0" applyFont="1" applyBorder="1" applyAlignment="1">
      <alignment horizontal="center" vertical="center"/>
    </xf>
    <xf numFmtId="0" fontId="90" fillId="0" borderId="0" xfId="0" applyFont="1"/>
    <xf numFmtId="0" fontId="91" fillId="6" borderId="3" xfId="0" applyFont="1" applyFill="1" applyBorder="1" applyAlignment="1">
      <alignment horizontal="center" vertical="center" wrapText="1" shrinkToFit="1"/>
    </xf>
    <xf numFmtId="1" fontId="91" fillId="6" borderId="3" xfId="0" applyNumberFormat="1" applyFont="1" applyFill="1" applyBorder="1" applyAlignment="1">
      <alignment horizontal="center" vertical="center" wrapText="1" shrinkToFit="1"/>
    </xf>
    <xf numFmtId="0" fontId="3" fillId="0" borderId="12" xfId="0" applyFont="1" applyBorder="1" applyAlignment="1">
      <alignment wrapText="1"/>
    </xf>
    <xf numFmtId="14" fontId="15" fillId="9" borderId="0" xfId="1" applyNumberFormat="1" applyFont="1" applyFill="1" applyAlignment="1">
      <alignment horizontal="center" vertical="center"/>
    </xf>
    <xf numFmtId="0" fontId="33" fillId="0" borderId="30" xfId="0" applyFont="1" applyBorder="1"/>
    <xf numFmtId="164" fontId="23" fillId="0" borderId="11" xfId="0" applyNumberFormat="1" applyFont="1" applyBorder="1" applyAlignment="1">
      <alignment horizontal="center" vertical="center" wrapText="1"/>
    </xf>
    <xf numFmtId="0" fontId="28" fillId="26" borderId="24" xfId="0" applyFont="1" applyFill="1" applyBorder="1" applyAlignment="1">
      <alignment horizontal="center"/>
    </xf>
    <xf numFmtId="164" fontId="17" fillId="5" borderId="13" xfId="0" applyNumberFormat="1" applyFont="1" applyFill="1" applyBorder="1" applyAlignment="1">
      <alignment horizontal="center" vertical="center" wrapText="1"/>
    </xf>
    <xf numFmtId="0" fontId="15" fillId="9" borderId="11" xfId="1" applyFont="1" applyFill="1" applyBorder="1" applyAlignment="1">
      <alignment horizontal="left" vertical="top" wrapText="1"/>
    </xf>
    <xf numFmtId="0" fontId="83" fillId="2" borderId="12" xfId="0" applyFont="1" applyFill="1" applyBorder="1" applyAlignment="1">
      <alignment horizontal="left"/>
    </xf>
    <xf numFmtId="0" fontId="27" fillId="2" borderId="12" xfId="0" applyFont="1" applyFill="1" applyBorder="1" applyAlignment="1">
      <alignment horizontal="center" vertical="center"/>
    </xf>
    <xf numFmtId="0" fontId="52" fillId="2" borderId="12" xfId="0" applyFont="1" applyFill="1" applyBorder="1" applyAlignment="1">
      <alignment horizontal="left" vertical="center"/>
    </xf>
    <xf numFmtId="0" fontId="29" fillId="2" borderId="18" xfId="0" applyFont="1" applyFill="1" applyBorder="1" applyAlignment="1">
      <alignment horizontal="left"/>
    </xf>
    <xf numFmtId="1" fontId="93" fillId="10" borderId="15" xfId="1" applyNumberFormat="1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19" fillId="13" borderId="30" xfId="0" applyFont="1" applyFill="1" applyBorder="1"/>
    <xf numFmtId="164" fontId="53" fillId="0" borderId="13" xfId="0" applyNumberFormat="1" applyFont="1" applyBorder="1" applyAlignment="1">
      <alignment horizontal="center" vertical="center" wrapText="1"/>
    </xf>
    <xf numFmtId="164" fontId="11" fillId="2" borderId="10" xfId="1" applyNumberFormat="1" applyFont="1" applyFill="1" applyBorder="1" applyAlignment="1">
      <alignment horizontal="center"/>
    </xf>
    <xf numFmtId="0" fontId="0" fillId="0" borderId="12" xfId="0" applyBorder="1" applyAlignment="1" applyProtection="1">
      <alignment horizontal="center"/>
      <protection locked="0"/>
    </xf>
    <xf numFmtId="0" fontId="78" fillId="13" borderId="12" xfId="0" applyFont="1" applyFill="1" applyBorder="1"/>
    <xf numFmtId="0" fontId="38" fillId="13" borderId="12" xfId="0" applyFont="1" applyFill="1" applyBorder="1" applyAlignment="1">
      <alignment horizontal="left" vertical="center"/>
    </xf>
    <xf numFmtId="0" fontId="44" fillId="9" borderId="10" xfId="0" applyFont="1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38" fillId="9" borderId="12" xfId="0" applyFont="1" applyFill="1" applyBorder="1" applyAlignment="1">
      <alignment horizontal="left" vertical="center"/>
    </xf>
    <xf numFmtId="0" fontId="94" fillId="0" borderId="17" xfId="0" applyFont="1" applyBorder="1"/>
    <xf numFmtId="14" fontId="17" fillId="14" borderId="13" xfId="0" applyNumberFormat="1" applyFont="1" applyFill="1" applyBorder="1" applyAlignment="1">
      <alignment horizontal="center"/>
    </xf>
    <xf numFmtId="0" fontId="79" fillId="0" borderId="12" xfId="0" applyFont="1" applyBorder="1"/>
    <xf numFmtId="0" fontId="19" fillId="2" borderId="30" xfId="0" applyFont="1" applyFill="1" applyBorder="1"/>
    <xf numFmtId="49" fontId="9" fillId="2" borderId="17" xfId="0" applyNumberFormat="1" applyFont="1" applyFill="1" applyBorder="1" applyAlignment="1">
      <alignment horizontal="left"/>
    </xf>
    <xf numFmtId="164" fontId="17" fillId="0" borderId="37" xfId="0" applyNumberFormat="1" applyFont="1" applyBorder="1" applyAlignment="1">
      <alignment horizontal="center" vertical="center" wrapText="1"/>
    </xf>
    <xf numFmtId="164" fontId="17" fillId="12" borderId="38" xfId="0" applyNumberFormat="1" applyFont="1" applyFill="1" applyBorder="1" applyAlignment="1">
      <alignment horizontal="center" vertical="center" wrapText="1"/>
    </xf>
    <xf numFmtId="0" fontId="52" fillId="0" borderId="12" xfId="0" applyFont="1" applyBorder="1" applyAlignment="1">
      <alignment horizontal="left" vertical="center"/>
    </xf>
    <xf numFmtId="0" fontId="95" fillId="0" borderId="0" xfId="0" applyFont="1"/>
    <xf numFmtId="0" fontId="96" fillId="0" borderId="10" xfId="0" applyFont="1" applyBorder="1" applyAlignment="1">
      <alignment horizontal="center"/>
    </xf>
    <xf numFmtId="1" fontId="97" fillId="10" borderId="15" xfId="1" applyNumberFormat="1" applyFont="1" applyFill="1" applyBorder="1" applyAlignment="1">
      <alignment horizontal="center"/>
    </xf>
    <xf numFmtId="164" fontId="98" fillId="0" borderId="13" xfId="0" applyNumberFormat="1" applyFont="1" applyBorder="1" applyAlignment="1">
      <alignment horizontal="center" vertical="center" wrapText="1"/>
    </xf>
    <xf numFmtId="164" fontId="41" fillId="0" borderId="37" xfId="0" applyNumberFormat="1" applyFont="1" applyBorder="1" applyAlignment="1">
      <alignment horizontal="center" vertical="center" wrapText="1"/>
    </xf>
    <xf numFmtId="164" fontId="11" fillId="2" borderId="38" xfId="1" applyNumberFormat="1" applyFont="1" applyFill="1" applyBorder="1" applyAlignment="1">
      <alignment horizontal="center"/>
    </xf>
    <xf numFmtId="0" fontId="38" fillId="0" borderId="12" xfId="0" applyFont="1" applyBorder="1" applyAlignment="1">
      <alignment vertical="center"/>
    </xf>
    <xf numFmtId="0" fontId="38" fillId="2" borderId="12" xfId="0" applyFont="1" applyFill="1" applyBorder="1" applyAlignment="1">
      <alignment horizontal="left" vertical="center"/>
    </xf>
    <xf numFmtId="0" fontId="38" fillId="13" borderId="12" xfId="0" applyFont="1" applyFill="1" applyBorder="1" applyAlignment="1">
      <alignment horizontal="center" vertical="center"/>
    </xf>
    <xf numFmtId="0" fontId="99" fillId="13" borderId="12" xfId="0" applyFont="1" applyFill="1" applyBorder="1"/>
    <xf numFmtId="1" fontId="17" fillId="27" borderId="10" xfId="1" applyNumberFormat="1" applyFont="1" applyFill="1" applyBorder="1" applyAlignment="1">
      <alignment horizontal="center"/>
    </xf>
    <xf numFmtId="49" fontId="9" fillId="2" borderId="12" xfId="0" applyNumberFormat="1" applyFont="1" applyFill="1" applyBorder="1" applyAlignment="1">
      <alignment horizontal="left"/>
    </xf>
    <xf numFmtId="0" fontId="19" fillId="2" borderId="12" xfId="0" applyFont="1" applyFill="1" applyBorder="1"/>
    <xf numFmtId="0" fontId="100" fillId="0" borderId="10" xfId="0" applyFont="1" applyBorder="1" applyAlignment="1">
      <alignment horizontal="center"/>
    </xf>
    <xf numFmtId="0" fontId="52" fillId="13" borderId="12" xfId="0" applyFont="1" applyFill="1" applyBorder="1" applyAlignment="1">
      <alignment horizontal="left" vertical="center"/>
    </xf>
    <xf numFmtId="0" fontId="78" fillId="2" borderId="12" xfId="0" applyFont="1" applyFill="1" applyBorder="1"/>
    <xf numFmtId="0" fontId="75" fillId="0" borderId="12" xfId="0" applyFont="1" applyBorder="1" applyAlignment="1">
      <alignment horizontal="center"/>
    </xf>
    <xf numFmtId="0" fontId="29" fillId="2" borderId="30" xfId="0" applyFont="1" applyFill="1" applyBorder="1" applyAlignment="1">
      <alignment horizontal="left"/>
    </xf>
    <xf numFmtId="0" fontId="36" fillId="2" borderId="11" xfId="1" applyFont="1" applyFill="1" applyBorder="1" applyAlignment="1">
      <alignment horizontal="left" vertical="center" wrapText="1"/>
    </xf>
    <xf numFmtId="1" fontId="101" fillId="10" borderId="15" xfId="1" applyNumberFormat="1" applyFont="1" applyFill="1" applyBorder="1" applyAlignment="1">
      <alignment horizontal="center"/>
    </xf>
    <xf numFmtId="164" fontId="36" fillId="2" borderId="11" xfId="1" applyNumberFormat="1" applyFont="1" applyFill="1" applyBorder="1" applyAlignment="1">
      <alignment horizontal="center" vertical="center" wrapText="1"/>
    </xf>
    <xf numFmtId="0" fontId="102" fillId="13" borderId="0" xfId="34" applyFill="1"/>
    <xf numFmtId="0" fontId="27" fillId="2" borderId="12" xfId="0" applyFont="1" applyFill="1" applyBorder="1" applyAlignment="1">
      <alignment horizontal="left"/>
    </xf>
    <xf numFmtId="0" fontId="19" fillId="0" borderId="12" xfId="0" applyFont="1" applyBorder="1"/>
    <xf numFmtId="1" fontId="27" fillId="2" borderId="12" xfId="0" applyNumberFormat="1" applyFont="1" applyFill="1" applyBorder="1" applyAlignment="1">
      <alignment horizontal="left"/>
    </xf>
    <xf numFmtId="0" fontId="36" fillId="10" borderId="10" xfId="1" applyFont="1" applyFill="1" applyBorder="1" applyAlignment="1">
      <alignment horizontal="left" vertical="top" wrapText="1"/>
    </xf>
    <xf numFmtId="1" fontId="103" fillId="5" borderId="12" xfId="0" applyNumberFormat="1" applyFont="1" applyFill="1" applyBorder="1"/>
    <xf numFmtId="0" fontId="0" fillId="5" borderId="12" xfId="0" applyFill="1" applyBorder="1" applyAlignment="1">
      <alignment horizontal="left"/>
    </xf>
    <xf numFmtId="0" fontId="31" fillId="0" borderId="10" xfId="0" applyFont="1" applyBorder="1" applyAlignment="1">
      <alignment horizontal="center"/>
    </xf>
    <xf numFmtId="1" fontId="103" fillId="13" borderId="12" xfId="0" applyNumberFormat="1" applyFont="1" applyFill="1" applyBorder="1"/>
    <xf numFmtId="0" fontId="29" fillId="13" borderId="12" xfId="0" applyFont="1" applyFill="1" applyBorder="1" applyAlignment="1">
      <alignment horizontal="left"/>
    </xf>
    <xf numFmtId="0" fontId="92" fillId="2" borderId="22" xfId="0" applyFont="1" applyFill="1" applyBorder="1" applyAlignment="1">
      <alignment horizontal="left" vertical="center"/>
    </xf>
    <xf numFmtId="0" fontId="44" fillId="5" borderId="10" xfId="0" applyFont="1" applyFill="1" applyBorder="1" applyAlignment="1">
      <alignment horizontal="center"/>
    </xf>
    <xf numFmtId="164" fontId="17" fillId="0" borderId="10" xfId="1" applyNumberFormat="1" applyFont="1" applyBorder="1" applyAlignment="1">
      <alignment horizontal="center"/>
    </xf>
    <xf numFmtId="1" fontId="14" fillId="0" borderId="10" xfId="1" applyNumberFormat="1" applyFont="1" applyBorder="1" applyAlignment="1">
      <alignment horizontal="center"/>
    </xf>
    <xf numFmtId="164" fontId="17" fillId="0" borderId="11" xfId="1" applyNumberFormat="1" applyFont="1" applyBorder="1" applyAlignment="1">
      <alignment horizontal="center"/>
    </xf>
    <xf numFmtId="1" fontId="17" fillId="0" borderId="10" xfId="1" applyNumberFormat="1" applyFont="1" applyBorder="1" applyAlignment="1">
      <alignment horizontal="center"/>
    </xf>
    <xf numFmtId="0" fontId="16" fillId="9" borderId="10" xfId="0" applyFont="1" applyFill="1" applyBorder="1" applyAlignment="1">
      <alignment horizontal="center"/>
    </xf>
    <xf numFmtId="0" fontId="31" fillId="9" borderId="12" xfId="0" applyFont="1" applyFill="1" applyBorder="1" applyAlignment="1">
      <alignment horizontal="left" vertical="center" wrapText="1"/>
    </xf>
    <xf numFmtId="0" fontId="31" fillId="9" borderId="12" xfId="0" applyFont="1" applyFill="1" applyBorder="1" applyAlignment="1">
      <alignment horizontal="left" vertical="center"/>
    </xf>
    <xf numFmtId="0" fontId="105" fillId="0" borderId="12" xfId="0" applyFont="1" applyBorder="1" applyAlignment="1">
      <alignment horizontal="left"/>
    </xf>
    <xf numFmtId="14" fontId="22" fillId="10" borderId="11" xfId="1" applyNumberFormat="1" applyFont="1" applyFill="1" applyBorder="1" applyAlignment="1">
      <alignment horizontal="center" vertical="top" wrapText="1"/>
    </xf>
    <xf numFmtId="49" fontId="29" fillId="5" borderId="12" xfId="0" applyNumberFormat="1" applyFont="1" applyFill="1" applyBorder="1" applyAlignment="1">
      <alignment horizontal="left"/>
    </xf>
    <xf numFmtId="1" fontId="20" fillId="11" borderId="10" xfId="1" applyNumberFormat="1" applyFont="1" applyFill="1" applyBorder="1" applyAlignment="1">
      <alignment vertical="center"/>
    </xf>
    <xf numFmtId="0" fontId="107" fillId="2" borderId="38" xfId="1" applyFont="1" applyFill="1" applyBorder="1" applyAlignment="1">
      <alignment horizontal="center" vertical="center" wrapText="1"/>
    </xf>
    <xf numFmtId="0" fontId="36" fillId="2" borderId="22" xfId="1" applyFont="1" applyFill="1" applyBorder="1" applyAlignment="1">
      <alignment horizontal="center" vertical="center" wrapText="1"/>
    </xf>
    <xf numFmtId="0" fontId="36" fillId="2" borderId="11" xfId="1" applyFont="1" applyFill="1" applyBorder="1" applyAlignment="1">
      <alignment horizontal="center" vertical="center" wrapText="1"/>
    </xf>
    <xf numFmtId="1" fontId="20" fillId="2" borderId="14" xfId="1" applyNumberFormat="1" applyFont="1" applyFill="1" applyBorder="1" applyAlignment="1">
      <alignment horizontal="center" vertical="center"/>
    </xf>
    <xf numFmtId="1" fontId="20" fillId="2" borderId="16" xfId="1" applyNumberFormat="1" applyFont="1" applyFill="1" applyBorder="1" applyAlignment="1">
      <alignment horizontal="center" vertical="center"/>
    </xf>
    <xf numFmtId="1" fontId="20" fillId="2" borderId="9" xfId="1" applyNumberFormat="1" applyFont="1" applyFill="1" applyBorder="1" applyAlignment="1">
      <alignment horizontal="center" vertical="center"/>
    </xf>
    <xf numFmtId="164" fontId="17" fillId="12" borderId="38" xfId="0" applyNumberFormat="1" applyFont="1" applyFill="1" applyBorder="1" applyAlignment="1">
      <alignment horizontal="left" vertical="center" wrapText="1"/>
    </xf>
    <xf numFmtId="164" fontId="17" fillId="12" borderId="11" xfId="0" applyNumberFormat="1" applyFont="1" applyFill="1" applyBorder="1" applyAlignment="1">
      <alignment horizontal="left" vertical="center" wrapText="1"/>
    </xf>
    <xf numFmtId="1" fontId="20" fillId="2" borderId="20" xfId="1" applyNumberFormat="1" applyFont="1" applyFill="1" applyBorder="1" applyAlignment="1">
      <alignment horizontal="center" vertical="center"/>
    </xf>
    <xf numFmtId="1" fontId="20" fillId="2" borderId="21" xfId="1" applyNumberFormat="1" applyFont="1" applyFill="1" applyBorder="1" applyAlignment="1">
      <alignment horizontal="center" vertical="center"/>
    </xf>
  </cellXfs>
  <cellStyles count="35">
    <cellStyle name="Normal" xfId="0" builtinId="0"/>
    <cellStyle name="Normal 10" xfId="34" xr:uid="{8297CB64-C093-467F-87B6-874093E53053}"/>
    <cellStyle name="Normal 2" xfId="1" xr:uid="{31E5BBBE-93E0-4694-8562-BD0302AEACAB}"/>
    <cellStyle name="Normal 5" xfId="2" xr:uid="{01FAB31B-3239-441B-A392-DE52DB623F52}"/>
    <cellStyle name="Normal 5 2" xfId="3" xr:uid="{BBBAABDE-46E8-49E7-BE58-2A8913D8C7D5}"/>
    <cellStyle name="Normal 5 2 2" xfId="5" xr:uid="{0697A3D6-FE43-4A51-9D60-2732AE5A4587}"/>
    <cellStyle name="Normal 5 2 2 2" xfId="9" xr:uid="{F50BDAD3-0724-4E9E-82C9-48F46F16D63F}"/>
    <cellStyle name="Normal 5 2 2 2 2" xfId="17" xr:uid="{C7EEABE5-C582-40AA-8BE4-9D3A3D13CD43}"/>
    <cellStyle name="Normal 5 2 2 2 2 2" xfId="33" xr:uid="{0E71C260-CD61-460E-9C8D-6552AF315597}"/>
    <cellStyle name="Normal 5 2 2 2 3" xfId="25" xr:uid="{81EEF2ED-A25D-48AE-B963-DDEFFF207065}"/>
    <cellStyle name="Normal 5 2 2 3" xfId="13" xr:uid="{645A842F-495E-4C9F-BA99-FADA68C8CF29}"/>
    <cellStyle name="Normal 5 2 2 3 2" xfId="29" xr:uid="{78D00C39-E5C8-4209-9FDD-117A58C99258}"/>
    <cellStyle name="Normal 5 2 2 4" xfId="21" xr:uid="{8E26E175-3AC6-426B-A63B-BA03F787F2CE}"/>
    <cellStyle name="Normal 5 2 3" xfId="7" xr:uid="{AAE87FE7-BD22-42FB-862A-D69071C282E4}"/>
    <cellStyle name="Normal 5 2 3 2" xfId="15" xr:uid="{AA354155-31BD-4B58-800F-F1170B25D945}"/>
    <cellStyle name="Normal 5 2 3 2 2" xfId="31" xr:uid="{04777767-B8C4-40E9-8D6D-D2DADB5A8799}"/>
    <cellStyle name="Normal 5 2 3 3" xfId="23" xr:uid="{44BCF197-3D66-4A2E-9B59-1195B02D5AA8}"/>
    <cellStyle name="Normal 5 2 4" xfId="11" xr:uid="{FF81C22D-600F-4420-8205-31649440A37D}"/>
    <cellStyle name="Normal 5 2 4 2" xfId="27" xr:uid="{0E8F69B3-4582-40E1-AC61-B8A54F1F98C6}"/>
    <cellStyle name="Normal 5 2 5" xfId="19" xr:uid="{57304C3A-630E-4799-A1DF-9969AD304915}"/>
    <cellStyle name="Normal 5 3" xfId="4" xr:uid="{ADBDDE6D-4880-471C-A087-0374E0802A28}"/>
    <cellStyle name="Normal 5 3 2" xfId="8" xr:uid="{115DD193-6B81-4367-9363-5C78F79DB2E5}"/>
    <cellStyle name="Normal 5 3 2 2" xfId="16" xr:uid="{2CD82CE3-6910-43DD-A558-1D1C2CE82B99}"/>
    <cellStyle name="Normal 5 3 2 2 2" xfId="32" xr:uid="{35FA0B33-2DD8-40EB-994D-DEA7C9061B6B}"/>
    <cellStyle name="Normal 5 3 2 3" xfId="24" xr:uid="{CBDE477D-0D6B-4829-B740-2D089433493C}"/>
    <cellStyle name="Normal 5 3 3" xfId="12" xr:uid="{CA8B4826-2964-4F1B-94C9-38E201352F23}"/>
    <cellStyle name="Normal 5 3 3 2" xfId="28" xr:uid="{A7154C05-B980-4646-B24A-609957E2CCC2}"/>
    <cellStyle name="Normal 5 3 4" xfId="20" xr:uid="{584B33B3-857A-4AA8-A187-412192240C1E}"/>
    <cellStyle name="Normal 5 4" xfId="6" xr:uid="{958375A1-417D-4162-A321-E7F1116546F8}"/>
    <cellStyle name="Normal 5 4 2" xfId="14" xr:uid="{1D0B84F7-0D85-4047-9FAF-C34C0BAD5F52}"/>
    <cellStyle name="Normal 5 4 2 2" xfId="30" xr:uid="{6102F4E2-2D9E-4F96-823F-42F4DCEC9D7A}"/>
    <cellStyle name="Normal 5 4 3" xfId="22" xr:uid="{28C1128C-C3C0-488F-A779-2AADAA2EC694}"/>
    <cellStyle name="Normal 5 5" xfId="10" xr:uid="{773395EA-6111-4D6D-B987-D7328B14F48C}"/>
    <cellStyle name="Normal 5 5 2" xfId="26" xr:uid="{50948F51-836C-461F-98AA-F15F4A78C91A}"/>
    <cellStyle name="Normal 5 6" xfId="18" xr:uid="{824FB5EE-49F8-4586-981B-5D8E70E4AC65}"/>
  </cellStyles>
  <dxfs count="1399"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rgb="FF0000FF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00FF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ont>
        <color rgb="FF0000FF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0000FF"/>
      </font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rgb="FF0000FF"/>
      </font>
    </dxf>
    <dxf>
      <font>
        <color rgb="FFFF0000"/>
      </font>
    </dxf>
    <dxf>
      <font>
        <color rgb="FF0000FF"/>
      </font>
    </dxf>
    <dxf>
      <font>
        <color rgb="FFFF0000"/>
      </font>
    </dxf>
    <dxf>
      <font>
        <color rgb="FF0000FF"/>
      </font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ont>
        <color auto="1"/>
      </font>
      <fill>
        <patternFill>
          <bgColor rgb="FFD1FA8E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D1FA8E"/>
        </patternFill>
      </fill>
    </dxf>
  </dxfs>
  <tableStyles count="0" defaultTableStyle="TableStyleMedium2" defaultPivotStyle="PivotStyleLight16"/>
  <colors>
    <mruColors>
      <color rgb="FF0000FF"/>
      <color rgb="FFD1FA8E"/>
      <color rgb="FFFF00FF"/>
      <color rgb="FFCEEACA"/>
      <color rgb="FFE9FCB8"/>
      <color rgb="FFD9FB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uo, Jie" id="{2A401F70-1C4D-40D1-88BC-C14449AB6175}" userId="S::luo.jie@siemens-energy.com::d34f625c-31fe-43d9-a641-c590576b109f" providerId="AD"/>
  <person displayName="Liang, Le" id="{5F7F9593-0C20-4C6F-A7F3-3BAB5C682122}" userId="S::le.liang@siemens-energy.com::96658b6e-d8d0-40b4-adfb-43cb19c35dbc" providerId="AD"/>
  <person displayName="Li, Yong Mei" id="{0A3A4A37-C883-458F-9D02-38A1274EFAF3}" userId="S::yongmei.li@siemens-energy.com::e91c2ccb-db2b-45ea-af75-70cc794c0d4e" providerId="AD"/>
  <person displayName="Dong, Li Qiao" id="{C1199C74-9E2D-4E42-8C36-C39F1B14CC9C}" userId="S::liqiao.dong@siemens-energy.com::ff18eedc-26bc-4fa2-a5ca-abf1560fd67f" providerId="AD"/>
  <person displayName="Du, Shan Xuan" id="{6A90A41A-229C-4201-9165-EEA82315DB10}" userId="S::shanxuan.du@siemens-energy.com::4a4753bf-b155-4857-a54c-e10fe21361d2" providerId="AD"/>
  <person displayName="Chen, Zhen Dong" id="{BC792065-5D27-4CF0-85F7-C4ED7210B410}" userId="S::zhendong.chen@siemens-energy.com::3e4b09a6-faf7-475d-91ae-8769b971188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J14" dT="2022-10-28T05:21:58.14" personId="{BC792065-5D27-4CF0-85F7-C4ED7210B410}" id="{48FEAA0B-A253-47B0-AB26-062A7F946A25}">
    <text>电算 2022-10-26日完成</text>
  </threadedComment>
  <threadedComment ref="AR37" dT="2023-01-30T00:58:01.02" personId="{0A3A4A37-C883-458F-9D02-38A1274EFAF3}" id="{8D212627-1A3E-4ED2-99FC-A8821BC99136}">
    <text>1/28日接到客户要求增加运输支架</text>
  </threadedComment>
  <threadedComment ref="AM76" dT="2023-05-15T07:26:19.01" personId="{6A90A41A-229C-4201-9165-EEA82315DB10}" id="{5E4D191A-723E-4C04-93D9-399A653DB563}">
    <text xml:space="preserve">图纸确认时间为5月13日
</text>
  </threadedComment>
  <threadedComment ref="Y78" dT="2022-10-17T05:05:15.12" personId="{2A401F70-1C4D-40D1-88BC-C14449AB6175}" id="{C84597C5-AE56-46A1-A2E6-D351859F7331}">
    <text>9-30本体二次已确认</text>
  </threadedComment>
  <threadedComment ref="AN163" dT="2023-12-27T01:47:45.09" personId="{0A3A4A37-C883-458F-9D02-38A1274EFAF3}" id="{A3FBB732-EB74-4787-80F1-66FF26DF6432}">
    <text>仪表订单已放到PLM中，230状态。2023年12月27号收到客户确认。</text>
  </threadedComment>
  <threadedComment ref="AE315" dT="2025-04-01T01:14:36.54" personId="{5F7F9593-0C20-4C6F-A7F3-3BAB5C682122}" id="{08112148-D119-43B4-91D5-493542507753}">
    <text>算单更新增加铁芯窗高</text>
  </threadedComment>
  <threadedComment ref="AM376" dT="2025-08-28T01:19:27.76" personId="{C1199C74-9E2D-4E42-8C36-C39F1B14CC9C}" id="{57F08B7C-053B-4770-A4C9-4DEA26E19B7C}">
    <text>设计院尚未确认图纸</text>
  </threadedComment>
  <threadedComment ref="AM376" dT="2025-09-18T23:40:15.63" personId="{C1199C74-9E2D-4E42-8C36-C39F1B14CC9C}" id="{7D0A9A97-5329-476A-8DD5-EED9D596D711}" parentId="{57F08B7C-053B-4770-A4C9-4DEA26E19B7C}">
    <text>九月17日询问项目经理，说这项目不着急发订单</text>
  </threadedComment>
  <threadedComment ref="AM378" dT="2025-08-28T01:19:07.91" personId="{C1199C74-9E2D-4E42-8C36-C39F1B14CC9C}" id="{43A4F5B2-F767-4FBA-979B-B9C194D89C04}">
    <text xml:space="preserve">设计院确认图纸晚于计划
</text>
  </threadedComment>
  <threadedComment ref="AN378" dT="2025-07-31T00:34:10.00" personId="{C1199C74-9E2D-4E42-8C36-C39F1B14CC9C}" id="{F1355B90-8A8E-4BBB-A2C5-025F71C6EA31}">
    <text xml:space="preserve">除开关压力释放阀外均以释放
</text>
  </threadedComment>
  <threadedComment ref="AN383" dT="2025-08-21T23:49:15.19" personId="{C1199C74-9E2D-4E42-8C36-C39F1B14CC9C}" id="{218D1CFA-82E0-4BF5-A059-618D10D79F1A}">
    <text xml:space="preserve">0820prd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DD7CE-6F3B-4085-91A1-6C84F6018567}">
  <dimension ref="A1:BG640"/>
  <sheetViews>
    <sheetView tabSelected="1" zoomScale="115" zoomScaleNormal="115" workbookViewId="0">
      <pane xSplit="5" ySplit="3" topLeftCell="F533" activePane="bottomRight" state="frozen"/>
      <selection pane="topRight" activeCell="F1" sqref="F1"/>
      <selection pane="bottomLeft" activeCell="A4" sqref="A4"/>
      <selection pane="bottomRight" activeCell="E540" sqref="E540"/>
    </sheetView>
  </sheetViews>
  <sheetFormatPr defaultColWidth="9.3984375" defaultRowHeight="13"/>
  <cols>
    <col min="1" max="1" width="13.69921875" style="6" customWidth="1"/>
    <col min="2" max="2" width="13" customWidth="1"/>
    <col min="3" max="4" width="8.59765625" style="6" customWidth="1"/>
    <col min="5" max="5" width="8" style="6" customWidth="1"/>
    <col min="6" max="6" width="9.3984375" style="341" customWidth="1"/>
    <col min="7" max="9" width="6.296875" customWidth="1"/>
    <col min="10" max="10" width="32.59765625" style="465" customWidth="1"/>
    <col min="11" max="12" width="12.3984375" style="6" customWidth="1"/>
    <col min="13" max="13" width="14.296875" style="6" customWidth="1"/>
    <col min="14" max="14" width="15.296875" style="6" customWidth="1"/>
    <col min="15" max="15" width="13.3984375" style="6" customWidth="1"/>
    <col min="16" max="16" width="19.296875" style="6" customWidth="1"/>
    <col min="17" max="17" width="21.69921875" style="6" customWidth="1"/>
    <col min="18" max="18" width="14.8984375" style="6" hidden="1" customWidth="1"/>
    <col min="19" max="19" width="13.3984375" style="6" hidden="1" customWidth="1"/>
    <col min="20" max="20" width="21.296875" hidden="1" customWidth="1"/>
    <col min="21" max="21" width="13" style="6" customWidth="1"/>
    <col min="22" max="22" width="11.3984375" customWidth="1"/>
    <col min="23" max="23" width="10.59765625" style="341" customWidth="1"/>
    <col min="24" max="24" width="11.3984375" style="341" customWidth="1"/>
    <col min="25" max="25" width="10.3984375" style="341" customWidth="1"/>
    <col min="26" max="26" width="10.69921875" customWidth="1"/>
    <col min="27" max="27" width="9.59765625" customWidth="1"/>
    <col min="28" max="28" width="16.59765625" customWidth="1"/>
    <col min="29" max="29" width="8.59765625" style="296" customWidth="1"/>
    <col min="30" max="30" width="8.59765625" customWidth="1"/>
    <col min="31" max="32" width="12.296875" customWidth="1"/>
    <col min="33" max="33" width="10.3984375" bestFit="1" customWidth="1"/>
    <col min="34" max="34" width="10.59765625" customWidth="1"/>
    <col min="35" max="35" width="10.3984375" bestFit="1" customWidth="1"/>
    <col min="36" max="36" width="11" customWidth="1"/>
    <col min="37" max="37" width="14" customWidth="1"/>
    <col min="38" max="39" width="10.3984375" bestFit="1" customWidth="1"/>
    <col min="40" max="40" width="13.59765625" customWidth="1"/>
    <col min="41" max="41" width="10.3984375" bestFit="1" customWidth="1"/>
    <col min="42" max="42" width="10.3984375" customWidth="1"/>
    <col min="43" max="45" width="10.3984375" bestFit="1" customWidth="1"/>
    <col min="46" max="46" width="11.296875" bestFit="1" customWidth="1"/>
    <col min="47" max="51" width="19.59765625" customWidth="1"/>
    <col min="52" max="52" width="17.3984375" customWidth="1"/>
    <col min="53" max="53" width="11.59765625" style="6" customWidth="1"/>
    <col min="54" max="54" width="9.3984375" style="6"/>
  </cols>
  <sheetData>
    <row r="1" spans="1:55" ht="21.75" customHeight="1">
      <c r="A1" s="1"/>
      <c r="B1" s="2"/>
      <c r="C1" s="1"/>
      <c r="D1" s="1"/>
      <c r="E1" s="1"/>
      <c r="F1" s="3"/>
      <c r="G1" s="2"/>
      <c r="H1" s="2"/>
      <c r="I1" s="2"/>
      <c r="J1" s="409"/>
      <c r="K1" s="1"/>
      <c r="L1" s="1"/>
      <c r="M1" s="1"/>
      <c r="N1" s="1"/>
      <c r="O1" s="1"/>
      <c r="P1" s="1"/>
      <c r="Q1" s="1"/>
      <c r="R1" s="1"/>
      <c r="S1" s="1"/>
      <c r="T1" s="2"/>
      <c r="U1" s="1"/>
      <c r="V1" s="2"/>
      <c r="W1" s="3"/>
      <c r="X1" s="3"/>
      <c r="Y1" s="3"/>
      <c r="Z1" s="2"/>
      <c r="AA1" s="2"/>
      <c r="AB1" s="2"/>
      <c r="AC1" s="4"/>
      <c r="AD1" s="2"/>
      <c r="AE1" s="2"/>
      <c r="AG1" s="5" t="s">
        <v>0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1:55" ht="13.5" thickBot="1">
      <c r="A2" s="1"/>
      <c r="B2" s="2"/>
      <c r="C2" s="1"/>
      <c r="D2" s="1"/>
      <c r="E2" s="1"/>
      <c r="F2" s="3"/>
      <c r="G2" s="2"/>
      <c r="H2" s="2"/>
      <c r="I2" s="2"/>
      <c r="J2" s="409"/>
      <c r="K2" s="1" t="s">
        <v>1</v>
      </c>
      <c r="L2" s="1" t="s">
        <v>2</v>
      </c>
      <c r="M2" s="7" t="s">
        <v>1</v>
      </c>
      <c r="N2" s="7" t="s">
        <v>2</v>
      </c>
      <c r="O2" s="7"/>
      <c r="P2" s="7" t="s">
        <v>2</v>
      </c>
      <c r="Q2" s="7" t="s">
        <v>2</v>
      </c>
      <c r="R2" s="7" t="s">
        <v>2</v>
      </c>
      <c r="S2" s="7" t="s">
        <v>2</v>
      </c>
      <c r="T2" s="7"/>
      <c r="U2" s="7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2"/>
      <c r="AA2" s="2"/>
      <c r="AB2" s="2"/>
      <c r="AC2" s="4"/>
      <c r="AD2" s="2"/>
      <c r="AE2" s="2"/>
      <c r="AF2" s="2"/>
      <c r="AG2" s="2"/>
      <c r="AH2" s="2"/>
      <c r="AI2" s="2"/>
      <c r="AJ2" s="1" t="s">
        <v>1</v>
      </c>
      <c r="AK2" s="1" t="s">
        <v>1</v>
      </c>
      <c r="AL2" s="1"/>
      <c r="AM2" s="1"/>
      <c r="AN2" s="1" t="s">
        <v>1</v>
      </c>
      <c r="AO2" s="2"/>
      <c r="AP2" s="2"/>
      <c r="AQ2" s="2"/>
      <c r="AR2" s="2"/>
      <c r="AS2" s="2"/>
      <c r="AT2" s="8">
        <v>46234</v>
      </c>
      <c r="AU2" s="2"/>
    </row>
    <row r="3" spans="1:55" ht="45.75" customHeight="1" thickBot="1">
      <c r="A3" s="9" t="s">
        <v>3</v>
      </c>
      <c r="B3" s="10" t="s">
        <v>925</v>
      </c>
      <c r="C3" s="11" t="s">
        <v>4</v>
      </c>
      <c r="D3" s="11" t="s">
        <v>5</v>
      </c>
      <c r="E3" s="11" t="s">
        <v>6</v>
      </c>
      <c r="F3" s="12" t="s">
        <v>546</v>
      </c>
      <c r="G3" s="13" t="s">
        <v>7</v>
      </c>
      <c r="H3" s="13" t="s">
        <v>8</v>
      </c>
      <c r="I3" s="13" t="s">
        <v>9</v>
      </c>
      <c r="J3" s="13" t="s">
        <v>10</v>
      </c>
      <c r="K3" s="13" t="s">
        <v>11</v>
      </c>
      <c r="L3" s="13" t="s">
        <v>823</v>
      </c>
      <c r="M3" s="14" t="s">
        <v>12</v>
      </c>
      <c r="N3" s="14" t="s">
        <v>13</v>
      </c>
      <c r="O3" s="16" t="s">
        <v>462</v>
      </c>
      <c r="P3" s="15" t="s">
        <v>14</v>
      </c>
      <c r="Q3" s="15" t="s">
        <v>15</v>
      </c>
      <c r="R3" s="16" t="s">
        <v>16</v>
      </c>
      <c r="S3" s="16" t="s">
        <v>17</v>
      </c>
      <c r="T3" s="16" t="s">
        <v>18</v>
      </c>
      <c r="U3" s="16" t="s">
        <v>19</v>
      </c>
      <c r="V3" s="14" t="s">
        <v>20</v>
      </c>
      <c r="W3" s="14" t="s">
        <v>21</v>
      </c>
      <c r="X3" s="14" t="s">
        <v>22</v>
      </c>
      <c r="Y3" s="17" t="s">
        <v>23</v>
      </c>
      <c r="Z3" s="558" t="s">
        <v>24</v>
      </c>
      <c r="AA3" s="558" t="s">
        <v>25</v>
      </c>
      <c r="AB3" s="558" t="s">
        <v>1003</v>
      </c>
      <c r="AC3" s="559" t="s">
        <v>26</v>
      </c>
      <c r="AD3" s="558" t="s">
        <v>27</v>
      </c>
      <c r="AE3" s="18" t="s">
        <v>28</v>
      </c>
      <c r="AF3" s="19" t="s">
        <v>29</v>
      </c>
      <c r="AG3" s="19" t="s">
        <v>30</v>
      </c>
      <c r="AH3" s="19" t="s">
        <v>31</v>
      </c>
      <c r="AI3" s="19" t="s">
        <v>32</v>
      </c>
      <c r="AJ3" s="20" t="s">
        <v>33</v>
      </c>
      <c r="AK3" s="20" t="s">
        <v>34</v>
      </c>
      <c r="AL3" s="19" t="s">
        <v>35</v>
      </c>
      <c r="AM3" s="19" t="s">
        <v>36</v>
      </c>
      <c r="AN3" s="20" t="s">
        <v>37</v>
      </c>
      <c r="AO3" s="19" t="s">
        <v>932</v>
      </c>
      <c r="AP3" s="19" t="s">
        <v>930</v>
      </c>
      <c r="AQ3" s="19" t="s">
        <v>933</v>
      </c>
      <c r="AR3" s="19" t="s">
        <v>38</v>
      </c>
      <c r="AS3" s="19" t="s">
        <v>39</v>
      </c>
      <c r="AT3" s="19" t="s">
        <v>40</v>
      </c>
      <c r="AU3" s="21" t="s">
        <v>41</v>
      </c>
      <c r="AV3" s="6"/>
      <c r="AW3" s="6"/>
      <c r="AX3" s="6"/>
      <c r="AY3" s="6"/>
    </row>
    <row r="4" spans="1:55" ht="18.75" customHeight="1" thickBot="1">
      <c r="A4" s="357"/>
      <c r="B4" s="357"/>
      <c r="C4" s="357"/>
      <c r="D4" s="357"/>
      <c r="E4" s="357"/>
      <c r="F4" s="357"/>
      <c r="G4" s="357"/>
      <c r="H4" s="357"/>
      <c r="I4" s="357"/>
      <c r="J4" s="410"/>
      <c r="K4" s="357"/>
      <c r="L4" s="357"/>
      <c r="M4" s="357"/>
      <c r="N4" s="357"/>
      <c r="O4" s="357"/>
      <c r="P4" s="357"/>
      <c r="Q4" s="357"/>
      <c r="R4" s="357"/>
      <c r="S4" s="357"/>
      <c r="T4" s="357"/>
      <c r="U4" s="357"/>
      <c r="V4" s="357"/>
      <c r="W4" s="357"/>
      <c r="X4" s="357"/>
      <c r="Y4" s="357"/>
      <c r="Z4" s="357"/>
      <c r="AA4" s="357"/>
      <c r="AB4" s="357"/>
      <c r="AC4" s="357"/>
      <c r="AD4" s="357"/>
      <c r="AE4" s="357"/>
      <c r="AF4" s="357"/>
      <c r="AG4" s="357"/>
      <c r="AH4" s="357"/>
      <c r="AI4" s="357"/>
      <c r="AJ4" s="357"/>
      <c r="AK4" s="357"/>
      <c r="AL4" s="357"/>
      <c r="AM4" s="357"/>
      <c r="AN4" s="357"/>
      <c r="AO4" s="357"/>
      <c r="AP4" s="357"/>
      <c r="AQ4" s="357"/>
      <c r="AR4" s="357"/>
      <c r="AS4" s="357"/>
      <c r="AT4" s="357"/>
      <c r="AU4" s="357"/>
      <c r="AV4" s="27"/>
      <c r="AW4" s="27"/>
      <c r="AX4" s="27"/>
      <c r="AY4" s="27"/>
    </row>
    <row r="5" spans="1:55" ht="18" customHeight="1">
      <c r="A5" s="28">
        <v>812642</v>
      </c>
      <c r="B5" s="29">
        <v>812642</v>
      </c>
      <c r="C5" s="30" t="s">
        <v>42</v>
      </c>
      <c r="D5" s="30"/>
      <c r="E5" s="30"/>
      <c r="F5" s="31" t="s">
        <v>43</v>
      </c>
      <c r="G5" s="33">
        <v>220</v>
      </c>
      <c r="H5" s="33">
        <v>154</v>
      </c>
      <c r="I5" s="34">
        <v>1</v>
      </c>
      <c r="J5" s="411" t="s">
        <v>44</v>
      </c>
      <c r="K5" s="35" t="s">
        <v>45</v>
      </c>
      <c r="L5" s="186"/>
      <c r="M5" s="30"/>
      <c r="N5" s="30"/>
      <c r="O5" s="30"/>
      <c r="P5" s="30"/>
      <c r="Q5" s="30"/>
      <c r="R5" s="30"/>
      <c r="S5" s="30"/>
      <c r="T5" s="29"/>
      <c r="U5" s="30"/>
      <c r="V5" s="36">
        <v>44785</v>
      </c>
      <c r="W5" s="36">
        <v>44803</v>
      </c>
      <c r="X5" s="36">
        <v>44785</v>
      </c>
      <c r="Y5" s="36">
        <v>44803</v>
      </c>
      <c r="Z5" s="31"/>
      <c r="AA5" s="31"/>
      <c r="AB5" s="31"/>
      <c r="AC5" s="37">
        <v>1</v>
      </c>
      <c r="AD5" s="31"/>
      <c r="AE5" s="36">
        <v>44845</v>
      </c>
      <c r="AF5" s="36">
        <v>44853</v>
      </c>
      <c r="AG5" s="36">
        <v>44848</v>
      </c>
      <c r="AH5" s="36">
        <v>44848</v>
      </c>
      <c r="AI5" s="36">
        <v>44859</v>
      </c>
      <c r="AJ5" s="36">
        <v>44846</v>
      </c>
      <c r="AK5" s="38" t="s">
        <v>46</v>
      </c>
      <c r="AL5" s="38">
        <v>44859</v>
      </c>
      <c r="AM5" s="38">
        <v>44859</v>
      </c>
      <c r="AN5" s="38">
        <v>44854</v>
      </c>
      <c r="AO5" s="38">
        <v>44859</v>
      </c>
      <c r="AP5" s="38"/>
      <c r="AQ5" s="38">
        <v>44859</v>
      </c>
      <c r="AR5" s="38">
        <v>44859</v>
      </c>
      <c r="AS5" s="38">
        <v>44861</v>
      </c>
      <c r="AT5" s="36">
        <v>44864</v>
      </c>
      <c r="AU5" s="637" t="s">
        <v>47</v>
      </c>
      <c r="AV5" s="39"/>
      <c r="AW5" s="39"/>
      <c r="AX5" s="39"/>
      <c r="AY5" s="39"/>
      <c r="BC5" s="6"/>
    </row>
    <row r="6" spans="1:55" ht="18" customHeight="1">
      <c r="A6" s="40">
        <v>812642</v>
      </c>
      <c r="B6" s="41"/>
      <c r="C6" s="42"/>
      <c r="D6" s="42"/>
      <c r="E6" s="42"/>
      <c r="F6" s="43" t="s">
        <v>48</v>
      </c>
      <c r="G6" s="44"/>
      <c r="H6" s="44"/>
      <c r="I6" s="44"/>
      <c r="J6" s="44"/>
      <c r="K6" s="44"/>
      <c r="L6" s="58"/>
      <c r="M6" s="42"/>
      <c r="N6" s="42"/>
      <c r="O6" s="42"/>
      <c r="P6" s="42"/>
      <c r="Q6" s="42"/>
      <c r="R6" s="42"/>
      <c r="S6" s="42"/>
      <c r="T6" s="41"/>
      <c r="U6" s="42"/>
      <c r="V6" s="45">
        <v>44785</v>
      </c>
      <c r="W6" s="45">
        <v>44830</v>
      </c>
      <c r="X6" s="45">
        <v>44785</v>
      </c>
      <c r="Y6" s="45">
        <v>44830</v>
      </c>
      <c r="Z6" s="44"/>
      <c r="AA6" s="44"/>
      <c r="AB6" s="44"/>
      <c r="AC6" s="44"/>
      <c r="AD6" s="43"/>
      <c r="AE6" s="46">
        <v>44844</v>
      </c>
      <c r="AF6" s="46">
        <v>44853</v>
      </c>
      <c r="AG6" s="46">
        <v>44848</v>
      </c>
      <c r="AH6" s="46">
        <v>44848</v>
      </c>
      <c r="AI6" s="46">
        <v>44859</v>
      </c>
      <c r="AJ6" s="46">
        <v>44846</v>
      </c>
      <c r="AK6" s="46">
        <v>44784</v>
      </c>
      <c r="AL6" s="46">
        <v>44851</v>
      </c>
      <c r="AM6" s="46">
        <v>44859</v>
      </c>
      <c r="AN6" s="46">
        <v>44854</v>
      </c>
      <c r="AO6" s="46">
        <v>44851</v>
      </c>
      <c r="AP6" s="46"/>
      <c r="AQ6" s="46">
        <v>44851</v>
      </c>
      <c r="AR6" s="46">
        <v>44859</v>
      </c>
      <c r="AS6" s="46">
        <v>44854</v>
      </c>
      <c r="AT6" s="46">
        <v>44864</v>
      </c>
      <c r="AU6" s="638"/>
      <c r="AV6" s="39"/>
      <c r="AW6" s="39"/>
      <c r="AX6" s="39"/>
      <c r="AY6" s="39"/>
      <c r="BC6" s="6"/>
    </row>
    <row r="7" spans="1:55" ht="18.75" customHeight="1">
      <c r="A7" s="48">
        <v>812695</v>
      </c>
      <c r="B7" s="29">
        <v>812695</v>
      </c>
      <c r="C7" s="49" t="s">
        <v>42</v>
      </c>
      <c r="D7" s="49"/>
      <c r="E7" s="49"/>
      <c r="F7" s="31" t="s">
        <v>43</v>
      </c>
      <c r="G7" s="50">
        <v>240</v>
      </c>
      <c r="H7" s="50">
        <v>220</v>
      </c>
      <c r="I7" s="34">
        <v>1</v>
      </c>
      <c r="J7" s="412" t="s">
        <v>49</v>
      </c>
      <c r="K7" s="31" t="s">
        <v>50</v>
      </c>
      <c r="L7" s="161"/>
      <c r="M7" s="30"/>
      <c r="N7" s="30"/>
      <c r="O7" s="30"/>
      <c r="P7" s="30"/>
      <c r="Q7" s="30"/>
      <c r="R7" s="30"/>
      <c r="S7" s="30"/>
      <c r="T7" s="29"/>
      <c r="U7" s="30"/>
      <c r="V7" s="36">
        <v>44851</v>
      </c>
      <c r="W7" s="36">
        <v>44870</v>
      </c>
      <c r="X7" s="36">
        <v>44855</v>
      </c>
      <c r="Y7" s="36">
        <v>44870</v>
      </c>
      <c r="Z7" s="31"/>
      <c r="AA7" s="31"/>
      <c r="AB7" s="31"/>
      <c r="AC7" s="37">
        <v>1</v>
      </c>
      <c r="AD7" s="31"/>
      <c r="AE7" s="36">
        <v>44858</v>
      </c>
      <c r="AF7" s="36">
        <v>44862</v>
      </c>
      <c r="AG7" s="36">
        <v>44862</v>
      </c>
      <c r="AH7" s="36">
        <v>44865</v>
      </c>
      <c r="AI7" s="36">
        <v>44869</v>
      </c>
      <c r="AJ7" s="51">
        <v>44854</v>
      </c>
      <c r="AK7" s="36">
        <v>44848</v>
      </c>
      <c r="AL7" s="36">
        <v>44865</v>
      </c>
      <c r="AM7" s="36">
        <v>44869</v>
      </c>
      <c r="AN7" s="36">
        <v>44852</v>
      </c>
      <c r="AO7" s="36">
        <v>44862</v>
      </c>
      <c r="AP7" s="36"/>
      <c r="AQ7" s="36">
        <v>44862</v>
      </c>
      <c r="AR7" s="36">
        <v>44869</v>
      </c>
      <c r="AS7" s="36">
        <v>44872</v>
      </c>
      <c r="AT7" s="36">
        <v>44874</v>
      </c>
      <c r="AU7" s="638"/>
      <c r="AV7" s="39"/>
      <c r="AW7" s="39"/>
      <c r="AX7" s="39"/>
      <c r="AY7" s="39"/>
    </row>
    <row r="8" spans="1:55" ht="18" customHeight="1">
      <c r="A8" s="40">
        <v>812695</v>
      </c>
      <c r="B8" s="41"/>
      <c r="C8" s="42"/>
      <c r="D8" s="42"/>
      <c r="E8" s="42"/>
      <c r="F8" s="43" t="s">
        <v>48</v>
      </c>
      <c r="G8" s="44"/>
      <c r="H8" s="44"/>
      <c r="I8" s="44"/>
      <c r="J8" s="52"/>
      <c r="K8" s="53"/>
      <c r="L8" s="537"/>
      <c r="M8" s="42"/>
      <c r="N8" s="42"/>
      <c r="O8" s="42"/>
      <c r="P8" s="42"/>
      <c r="Q8" s="42"/>
      <c r="R8" s="42"/>
      <c r="S8" s="42"/>
      <c r="T8" s="41"/>
      <c r="U8" s="42"/>
      <c r="V8" s="46">
        <v>44851</v>
      </c>
      <c r="W8" s="46">
        <v>44870</v>
      </c>
      <c r="X8" s="46">
        <v>44855</v>
      </c>
      <c r="Y8" s="46">
        <v>44872</v>
      </c>
      <c r="Z8" s="43"/>
      <c r="AA8" s="43"/>
      <c r="AB8" s="43"/>
      <c r="AC8" s="54"/>
      <c r="AD8" s="43"/>
      <c r="AE8" s="43">
        <v>44858</v>
      </c>
      <c r="AF8" s="46">
        <v>44862</v>
      </c>
      <c r="AG8" s="46">
        <v>44862</v>
      </c>
      <c r="AH8" s="46">
        <v>44865</v>
      </c>
      <c r="AI8" s="46">
        <v>44869</v>
      </c>
      <c r="AJ8" s="46">
        <v>44854</v>
      </c>
      <c r="AK8" s="46">
        <v>44848</v>
      </c>
      <c r="AL8" s="46">
        <v>44865</v>
      </c>
      <c r="AM8" s="46">
        <v>44869</v>
      </c>
      <c r="AN8" s="46">
        <v>44852</v>
      </c>
      <c r="AO8" s="46">
        <v>44862</v>
      </c>
      <c r="AP8" s="46"/>
      <c r="AQ8" s="46">
        <v>44862</v>
      </c>
      <c r="AR8" s="46">
        <v>44869</v>
      </c>
      <c r="AS8" s="46">
        <v>44872</v>
      </c>
      <c r="AT8" s="46">
        <v>44874</v>
      </c>
      <c r="AU8" s="638"/>
      <c r="AV8" s="39"/>
      <c r="AW8" s="39"/>
      <c r="AX8" s="39"/>
      <c r="AY8" s="39"/>
    </row>
    <row r="9" spans="1:55" ht="20.25" customHeight="1">
      <c r="A9" s="55">
        <v>812572</v>
      </c>
      <c r="B9" s="29">
        <v>812572</v>
      </c>
      <c r="C9" s="49" t="s">
        <v>42</v>
      </c>
      <c r="D9" s="49"/>
      <c r="E9" s="49"/>
      <c r="F9" s="31" t="s">
        <v>43</v>
      </c>
      <c r="G9" s="34">
        <v>240</v>
      </c>
      <c r="H9" s="34">
        <v>220</v>
      </c>
      <c r="I9" s="34">
        <v>1</v>
      </c>
      <c r="J9" s="413" t="s">
        <v>51</v>
      </c>
      <c r="K9" s="35" t="s">
        <v>45</v>
      </c>
      <c r="L9" s="186"/>
      <c r="M9" s="30"/>
      <c r="N9" s="30"/>
      <c r="O9" s="30"/>
      <c r="P9" s="30"/>
      <c r="Q9" s="30"/>
      <c r="R9" s="30"/>
      <c r="S9" s="30"/>
      <c r="T9" s="29"/>
      <c r="U9" s="30"/>
      <c r="V9" s="36">
        <v>44671</v>
      </c>
      <c r="W9" s="36">
        <v>44686</v>
      </c>
      <c r="X9" s="36">
        <v>44671</v>
      </c>
      <c r="Y9" s="36">
        <v>44686</v>
      </c>
      <c r="Z9" s="31" t="s">
        <v>52</v>
      </c>
      <c r="AA9" s="31"/>
      <c r="AB9" s="31"/>
      <c r="AC9" s="37">
        <v>1</v>
      </c>
      <c r="AD9" s="31"/>
      <c r="AE9" s="56">
        <v>44847</v>
      </c>
      <c r="AF9" s="56">
        <v>44847</v>
      </c>
      <c r="AG9" s="36">
        <v>44858</v>
      </c>
      <c r="AH9" s="36">
        <v>44865</v>
      </c>
      <c r="AI9" s="36">
        <v>44859</v>
      </c>
      <c r="AJ9" s="56">
        <v>44698</v>
      </c>
      <c r="AK9" s="36">
        <v>44865</v>
      </c>
      <c r="AL9" s="36">
        <v>44865</v>
      </c>
      <c r="AM9" s="36">
        <v>44865</v>
      </c>
      <c r="AN9" s="56">
        <v>44698</v>
      </c>
      <c r="AO9" s="36">
        <v>44865</v>
      </c>
      <c r="AP9" s="36"/>
      <c r="AQ9" s="36">
        <v>44865</v>
      </c>
      <c r="AR9" s="36">
        <v>44865</v>
      </c>
      <c r="AS9" s="36">
        <v>44865</v>
      </c>
      <c r="AT9" s="36">
        <v>44869</v>
      </c>
      <c r="AU9" s="638"/>
      <c r="AV9" s="39"/>
      <c r="AW9" s="39"/>
      <c r="AX9" s="39"/>
      <c r="AY9" s="39"/>
    </row>
    <row r="10" spans="1:55" ht="20.25" customHeight="1">
      <c r="A10" s="40">
        <v>812572</v>
      </c>
      <c r="B10" s="57" t="s">
        <v>53</v>
      </c>
      <c r="C10" s="58"/>
      <c r="D10" s="58"/>
      <c r="E10" s="58"/>
      <c r="F10" s="43" t="s">
        <v>48</v>
      </c>
      <c r="G10" s="59"/>
      <c r="H10" s="59"/>
      <c r="I10" s="44"/>
      <c r="J10" s="52"/>
      <c r="K10" s="53"/>
      <c r="L10" s="537"/>
      <c r="M10" s="60"/>
      <c r="N10" s="60"/>
      <c r="O10" s="60"/>
      <c r="P10" s="60"/>
      <c r="Q10" s="60"/>
      <c r="R10" s="60"/>
      <c r="S10" s="60"/>
      <c r="T10" s="57"/>
      <c r="U10" s="60"/>
      <c r="V10" s="46">
        <v>44671</v>
      </c>
      <c r="W10" s="46">
        <v>44772</v>
      </c>
      <c r="X10" s="46">
        <v>44671</v>
      </c>
      <c r="Y10" s="46">
        <v>44686</v>
      </c>
      <c r="Z10" s="43"/>
      <c r="AA10" s="43"/>
      <c r="AB10" s="43"/>
      <c r="AC10" s="54"/>
      <c r="AD10" s="43"/>
      <c r="AE10" s="43" t="s">
        <v>54</v>
      </c>
      <c r="AF10" s="43" t="s">
        <v>54</v>
      </c>
      <c r="AG10" s="46">
        <v>44858</v>
      </c>
      <c r="AH10" s="46">
        <v>44865</v>
      </c>
      <c r="AI10" s="46">
        <v>44859</v>
      </c>
      <c r="AJ10" s="46">
        <v>44694</v>
      </c>
      <c r="AK10" s="46">
        <v>44865</v>
      </c>
      <c r="AL10" s="46">
        <v>44865</v>
      </c>
      <c r="AM10" s="46">
        <v>44865</v>
      </c>
      <c r="AN10" s="46">
        <v>44697</v>
      </c>
      <c r="AO10" s="46">
        <v>44865</v>
      </c>
      <c r="AP10" s="46"/>
      <c r="AQ10" s="46">
        <v>44865</v>
      </c>
      <c r="AR10" s="46">
        <v>44865</v>
      </c>
      <c r="AS10" s="46">
        <v>44865</v>
      </c>
      <c r="AT10" s="46">
        <v>44869</v>
      </c>
      <c r="AU10" s="638"/>
      <c r="AV10" s="39"/>
      <c r="AW10" s="39"/>
      <c r="AX10" s="39"/>
      <c r="AY10" s="39"/>
    </row>
    <row r="11" spans="1:55" ht="20.25" customHeight="1">
      <c r="A11" s="55">
        <v>812573</v>
      </c>
      <c r="B11" s="29">
        <v>812573</v>
      </c>
      <c r="C11" s="49" t="s">
        <v>55</v>
      </c>
      <c r="D11" s="49"/>
      <c r="E11" s="49"/>
      <c r="F11" s="31" t="s">
        <v>43</v>
      </c>
      <c r="G11" s="34">
        <v>240</v>
      </c>
      <c r="H11" s="34">
        <v>220</v>
      </c>
      <c r="I11" s="34">
        <v>1</v>
      </c>
      <c r="J11" s="413" t="s">
        <v>51</v>
      </c>
      <c r="K11" s="35" t="s">
        <v>45</v>
      </c>
      <c r="L11" s="186"/>
      <c r="M11" s="30"/>
      <c r="N11" s="30"/>
      <c r="O11" s="30"/>
      <c r="P11" s="30"/>
      <c r="Q11" s="30"/>
      <c r="R11" s="30"/>
      <c r="S11" s="30"/>
      <c r="T11" s="29"/>
      <c r="U11" s="30"/>
      <c r="V11" s="36">
        <v>44671</v>
      </c>
      <c r="W11" s="36">
        <v>44686</v>
      </c>
      <c r="X11" s="36">
        <v>44671</v>
      </c>
      <c r="Y11" s="36">
        <v>44686</v>
      </c>
      <c r="Z11" s="31" t="s">
        <v>52</v>
      </c>
      <c r="AA11" s="31"/>
      <c r="AB11" s="31"/>
      <c r="AC11" s="37">
        <v>1</v>
      </c>
      <c r="AD11" s="31"/>
      <c r="AE11" s="56">
        <v>44847</v>
      </c>
      <c r="AF11" s="56">
        <v>44865</v>
      </c>
      <c r="AG11" s="36">
        <v>44858</v>
      </c>
      <c r="AH11" s="36">
        <v>44865</v>
      </c>
      <c r="AI11" s="36">
        <v>44869</v>
      </c>
      <c r="AJ11" s="56">
        <v>44698</v>
      </c>
      <c r="AK11" s="36">
        <v>44865</v>
      </c>
      <c r="AL11" s="36">
        <v>44869</v>
      </c>
      <c r="AM11" s="36">
        <v>44869</v>
      </c>
      <c r="AN11" s="56">
        <v>44698</v>
      </c>
      <c r="AO11" s="36">
        <v>44865</v>
      </c>
      <c r="AP11" s="36"/>
      <c r="AQ11" s="36">
        <v>44865</v>
      </c>
      <c r="AR11" s="36">
        <v>44873</v>
      </c>
      <c r="AS11" s="36">
        <v>44874</v>
      </c>
      <c r="AT11" s="36">
        <v>44875</v>
      </c>
      <c r="AU11" s="638"/>
      <c r="AV11" s="39"/>
      <c r="AW11" s="39"/>
      <c r="AX11" s="39"/>
      <c r="AY11" s="39"/>
    </row>
    <row r="12" spans="1:55" ht="22.5" customHeight="1" thickBot="1">
      <c r="A12" s="40">
        <v>812573</v>
      </c>
      <c r="B12" s="57" t="s">
        <v>53</v>
      </c>
      <c r="C12" s="58"/>
      <c r="D12" s="58"/>
      <c r="E12" s="58"/>
      <c r="F12" s="43" t="s">
        <v>48</v>
      </c>
      <c r="G12" s="59"/>
      <c r="H12" s="59"/>
      <c r="I12" s="44"/>
      <c r="J12" s="52"/>
      <c r="K12" s="53"/>
      <c r="L12" s="537"/>
      <c r="M12" s="60"/>
      <c r="N12" s="60"/>
      <c r="O12" s="60"/>
      <c r="P12" s="60"/>
      <c r="Q12" s="60"/>
      <c r="R12" s="60"/>
      <c r="S12" s="60"/>
      <c r="T12" s="57"/>
      <c r="U12" s="60"/>
      <c r="V12" s="46">
        <v>44671</v>
      </c>
      <c r="W12" s="46">
        <v>44772</v>
      </c>
      <c r="X12" s="46">
        <v>44671</v>
      </c>
      <c r="Y12" s="46">
        <v>44686</v>
      </c>
      <c r="Z12" s="43"/>
      <c r="AA12" s="43"/>
      <c r="AB12" s="43"/>
      <c r="AC12" s="54"/>
      <c r="AD12" s="43"/>
      <c r="AE12" s="43" t="s">
        <v>54</v>
      </c>
      <c r="AF12" s="46">
        <v>44865</v>
      </c>
      <c r="AG12" s="46">
        <v>44858</v>
      </c>
      <c r="AH12" s="46">
        <v>44865</v>
      </c>
      <c r="AI12" s="61">
        <v>44869</v>
      </c>
      <c r="AJ12" s="61">
        <v>44694</v>
      </c>
      <c r="AK12" s="61">
        <v>44865</v>
      </c>
      <c r="AL12" s="61">
        <v>44865</v>
      </c>
      <c r="AM12" s="61">
        <v>44869</v>
      </c>
      <c r="AN12" s="61">
        <v>44697</v>
      </c>
      <c r="AO12" s="61">
        <v>44865</v>
      </c>
      <c r="AP12" s="61"/>
      <c r="AQ12" s="61">
        <v>44865</v>
      </c>
      <c r="AR12" s="61">
        <v>44873</v>
      </c>
      <c r="AS12" s="61">
        <v>44874</v>
      </c>
      <c r="AT12" s="61">
        <v>44875</v>
      </c>
      <c r="AU12" s="639"/>
      <c r="AV12" s="39"/>
      <c r="AW12" s="39"/>
      <c r="AX12" s="39"/>
      <c r="AY12" s="39"/>
    </row>
    <row r="13" spans="1:55" ht="16.5" customHeight="1" thickBot="1">
      <c r="A13" s="22"/>
      <c r="B13" s="22"/>
      <c r="C13" s="22"/>
      <c r="D13" s="22"/>
      <c r="E13" s="22"/>
      <c r="F13" s="23"/>
      <c r="G13" s="22"/>
      <c r="H13" s="22"/>
      <c r="I13" s="22"/>
      <c r="J13" s="414"/>
      <c r="K13" s="23"/>
      <c r="L13" s="23"/>
      <c r="M13" s="22"/>
      <c r="N13" s="22"/>
      <c r="O13" s="22"/>
      <c r="P13" s="22"/>
      <c r="Q13" s="22"/>
      <c r="R13" s="22"/>
      <c r="S13" s="22"/>
      <c r="T13" s="22"/>
      <c r="U13" s="22"/>
      <c r="V13" s="23"/>
      <c r="W13" s="23"/>
      <c r="X13" s="23"/>
      <c r="Y13" s="23"/>
      <c r="Z13" s="22"/>
      <c r="AA13" s="22"/>
      <c r="AB13" s="22"/>
      <c r="AC13" s="22"/>
      <c r="AD13" s="22"/>
      <c r="AE13" s="22"/>
      <c r="AF13" s="22"/>
      <c r="AG13" s="22"/>
      <c r="AH13" s="22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62"/>
      <c r="AV13" s="27"/>
      <c r="AW13" s="27"/>
      <c r="AX13" s="27"/>
      <c r="AY13" s="27"/>
    </row>
    <row r="14" spans="1:55" ht="16.5" customHeight="1">
      <c r="A14" s="28">
        <v>812655</v>
      </c>
      <c r="B14" s="29" t="s">
        <v>56</v>
      </c>
      <c r="C14" s="30" t="s">
        <v>42</v>
      </c>
      <c r="D14" s="30"/>
      <c r="E14" s="30"/>
      <c r="F14" s="31" t="s">
        <v>43</v>
      </c>
      <c r="G14" s="33">
        <v>240</v>
      </c>
      <c r="H14" s="33">
        <v>220</v>
      </c>
      <c r="I14" s="34">
        <v>2</v>
      </c>
      <c r="J14" s="415" t="s">
        <v>57</v>
      </c>
      <c r="K14" s="35" t="s">
        <v>45</v>
      </c>
      <c r="L14" s="186"/>
      <c r="M14" s="30"/>
      <c r="N14" s="30"/>
      <c r="O14" s="30"/>
      <c r="P14" s="30"/>
      <c r="Q14" s="30"/>
      <c r="R14" s="30"/>
      <c r="S14" s="30"/>
      <c r="T14" s="29"/>
      <c r="U14" s="30"/>
      <c r="V14" s="36">
        <v>44793</v>
      </c>
      <c r="W14" s="36">
        <v>44813</v>
      </c>
      <c r="X14" s="36">
        <v>44793</v>
      </c>
      <c r="Y14" s="36">
        <v>44834</v>
      </c>
      <c r="Z14" s="31"/>
      <c r="AA14" s="31"/>
      <c r="AB14" s="31"/>
      <c r="AC14" s="37">
        <v>1</v>
      </c>
      <c r="AD14" s="31"/>
      <c r="AE14" s="51">
        <v>44858</v>
      </c>
      <c r="AF14" s="51">
        <v>44870</v>
      </c>
      <c r="AG14" s="51">
        <v>44869</v>
      </c>
      <c r="AH14" s="51">
        <v>44870</v>
      </c>
      <c r="AI14" s="51">
        <v>44872</v>
      </c>
      <c r="AJ14" s="51">
        <v>44865</v>
      </c>
      <c r="AK14" s="51">
        <v>44866</v>
      </c>
      <c r="AL14" s="51">
        <v>44869</v>
      </c>
      <c r="AM14" s="36">
        <v>44868</v>
      </c>
      <c r="AN14" s="36">
        <v>44854</v>
      </c>
      <c r="AO14" s="51">
        <v>44869</v>
      </c>
      <c r="AP14" s="51"/>
      <c r="AQ14" s="51">
        <v>44869</v>
      </c>
      <c r="AR14" s="36">
        <v>44872</v>
      </c>
      <c r="AS14" s="36">
        <v>44874</v>
      </c>
      <c r="AT14" s="63">
        <v>44876</v>
      </c>
      <c r="AU14" s="642" t="s">
        <v>58</v>
      </c>
      <c r="AV14" s="39"/>
      <c r="AW14" s="39"/>
      <c r="AX14" s="39"/>
      <c r="AY14" s="39"/>
    </row>
    <row r="15" spans="1:55" ht="16.5" customHeight="1">
      <c r="A15" s="40">
        <v>812655</v>
      </c>
      <c r="B15" s="41"/>
      <c r="C15" s="42"/>
      <c r="D15" s="42"/>
      <c r="E15" s="42"/>
      <c r="F15" s="43" t="s">
        <v>48</v>
      </c>
      <c r="G15" s="59"/>
      <c r="H15" s="59"/>
      <c r="I15" s="44"/>
      <c r="J15" s="52"/>
      <c r="K15" s="53"/>
      <c r="L15" s="537"/>
      <c r="M15" s="42"/>
      <c r="N15" s="42"/>
      <c r="O15" s="42"/>
      <c r="P15" s="42"/>
      <c r="Q15" s="42"/>
      <c r="R15" s="42"/>
      <c r="S15" s="42"/>
      <c r="T15" s="41"/>
      <c r="U15" s="42"/>
      <c r="V15" s="46">
        <v>44793</v>
      </c>
      <c r="W15" s="46">
        <v>44813</v>
      </c>
      <c r="X15" s="46">
        <v>44818</v>
      </c>
      <c r="Y15" s="46">
        <v>44849</v>
      </c>
      <c r="Z15" s="43"/>
      <c r="AA15" s="43"/>
      <c r="AB15" s="43"/>
      <c r="AC15" s="54"/>
      <c r="AD15" s="43"/>
      <c r="AE15" s="46">
        <v>44858</v>
      </c>
      <c r="AF15" s="46">
        <v>44870</v>
      </c>
      <c r="AG15" s="46">
        <v>44869</v>
      </c>
      <c r="AH15" s="46">
        <v>44870</v>
      </c>
      <c r="AI15" s="46">
        <v>44872</v>
      </c>
      <c r="AJ15" s="46">
        <v>44865</v>
      </c>
      <c r="AK15" s="46">
        <v>44865</v>
      </c>
      <c r="AL15" s="46">
        <v>11628</v>
      </c>
      <c r="AM15" s="46">
        <v>44868</v>
      </c>
      <c r="AN15" s="46">
        <v>44854</v>
      </c>
      <c r="AO15" s="46">
        <v>44869</v>
      </c>
      <c r="AP15" s="46"/>
      <c r="AQ15" s="46">
        <v>44869</v>
      </c>
      <c r="AR15" s="46">
        <v>44872</v>
      </c>
      <c r="AS15" s="46">
        <v>44874</v>
      </c>
      <c r="AT15" s="46">
        <v>44876</v>
      </c>
      <c r="AU15" s="638"/>
      <c r="AV15" s="39"/>
      <c r="AW15" s="39"/>
      <c r="AX15" s="39"/>
      <c r="AY15" s="39"/>
    </row>
    <row r="16" spans="1:55" ht="16.5" customHeight="1">
      <c r="A16" s="28">
        <v>850456</v>
      </c>
      <c r="B16" s="29">
        <v>850456</v>
      </c>
      <c r="C16" s="30" t="s">
        <v>42</v>
      </c>
      <c r="D16" s="30"/>
      <c r="E16" s="30"/>
      <c r="F16" s="31" t="s">
        <v>43</v>
      </c>
      <c r="G16" s="33">
        <v>150</v>
      </c>
      <c r="H16" s="33">
        <v>220</v>
      </c>
      <c r="I16" s="34">
        <v>1</v>
      </c>
      <c r="J16" s="416" t="s">
        <v>59</v>
      </c>
      <c r="K16" s="31" t="s">
        <v>60</v>
      </c>
      <c r="L16" s="161"/>
      <c r="M16" s="30"/>
      <c r="N16" s="30"/>
      <c r="O16" s="30"/>
      <c r="P16" s="30"/>
      <c r="Q16" s="30"/>
      <c r="R16" s="30"/>
      <c r="S16" s="30"/>
      <c r="T16" s="29"/>
      <c r="U16" s="30"/>
      <c r="V16" s="36" t="s">
        <v>61</v>
      </c>
      <c r="W16" s="36" t="s">
        <v>61</v>
      </c>
      <c r="X16" s="36" t="s">
        <v>61</v>
      </c>
      <c r="Y16" s="36" t="s">
        <v>61</v>
      </c>
      <c r="Z16" s="31"/>
      <c r="AA16" s="31"/>
      <c r="AB16" s="31"/>
      <c r="AC16" s="37">
        <v>1</v>
      </c>
      <c r="AD16" s="31"/>
      <c r="AE16" s="36">
        <v>44868</v>
      </c>
      <c r="AF16" s="36">
        <v>44876</v>
      </c>
      <c r="AG16" s="36">
        <v>44872</v>
      </c>
      <c r="AH16" s="36">
        <v>44873</v>
      </c>
      <c r="AI16" s="36">
        <v>44876</v>
      </c>
      <c r="AJ16" s="36">
        <v>44869</v>
      </c>
      <c r="AK16" s="36">
        <v>44869</v>
      </c>
      <c r="AL16" s="36">
        <v>44872</v>
      </c>
      <c r="AM16" s="36">
        <v>44879</v>
      </c>
      <c r="AN16" s="36">
        <v>44862</v>
      </c>
      <c r="AO16" s="36">
        <v>44872</v>
      </c>
      <c r="AP16" s="36"/>
      <c r="AQ16" s="36">
        <v>44872</v>
      </c>
      <c r="AR16" s="36">
        <v>44876</v>
      </c>
      <c r="AS16" s="36">
        <v>44876</v>
      </c>
      <c r="AT16" s="36">
        <v>44880</v>
      </c>
      <c r="AU16" s="638"/>
      <c r="AV16" s="39"/>
      <c r="AW16" s="39"/>
      <c r="AX16" s="39"/>
      <c r="AY16" s="39"/>
    </row>
    <row r="17" spans="1:52" ht="16.5" customHeight="1">
      <c r="A17" s="40">
        <f>IF(A16="","",A16)</f>
        <v>850456</v>
      </c>
      <c r="B17" s="41"/>
      <c r="C17" s="42"/>
      <c r="D17" s="42"/>
      <c r="E17" s="42"/>
      <c r="F17" s="43" t="s">
        <v>48</v>
      </c>
      <c r="G17" s="59"/>
      <c r="H17" s="59"/>
      <c r="I17" s="44"/>
      <c r="J17" s="52"/>
      <c r="K17" s="53"/>
      <c r="L17" s="537"/>
      <c r="M17" s="42"/>
      <c r="N17" s="42"/>
      <c r="O17" s="42"/>
      <c r="P17" s="42"/>
      <c r="Q17" s="42"/>
      <c r="R17" s="42"/>
      <c r="S17" s="42"/>
      <c r="T17" s="41"/>
      <c r="U17" s="42"/>
      <c r="V17" s="43"/>
      <c r="W17" s="43"/>
      <c r="X17" s="46"/>
      <c r="Y17" s="46"/>
      <c r="Z17" s="43"/>
      <c r="AA17" s="43"/>
      <c r="AB17" s="43"/>
      <c r="AC17" s="54"/>
      <c r="AD17" s="43"/>
      <c r="AE17" s="46">
        <v>44868</v>
      </c>
      <c r="AF17" s="46">
        <v>44876</v>
      </c>
      <c r="AG17" s="46">
        <v>44872</v>
      </c>
      <c r="AH17" s="46">
        <v>44873</v>
      </c>
      <c r="AI17" s="46">
        <v>44876</v>
      </c>
      <c r="AJ17" s="64" t="s">
        <v>62</v>
      </c>
      <c r="AK17" s="64" t="s">
        <v>63</v>
      </c>
      <c r="AL17" s="46">
        <v>44841</v>
      </c>
      <c r="AM17" s="46">
        <v>44879</v>
      </c>
      <c r="AN17" s="46">
        <v>44862</v>
      </c>
      <c r="AO17" s="46">
        <v>44872</v>
      </c>
      <c r="AP17" s="46"/>
      <c r="AQ17" s="46">
        <v>44872</v>
      </c>
      <c r="AR17" s="46">
        <v>44878</v>
      </c>
      <c r="AS17" s="46">
        <v>44882</v>
      </c>
      <c r="AT17" s="46">
        <v>44886</v>
      </c>
      <c r="AU17" s="638"/>
      <c r="AV17" s="39"/>
      <c r="AW17" s="39"/>
      <c r="AX17" s="39"/>
      <c r="AY17" s="39"/>
    </row>
    <row r="18" spans="1:52" ht="18.75" customHeight="1">
      <c r="A18" s="28">
        <v>812710</v>
      </c>
      <c r="B18" s="29" t="s">
        <v>64</v>
      </c>
      <c r="C18" s="30" t="s">
        <v>55</v>
      </c>
      <c r="D18" s="30"/>
      <c r="E18" s="30"/>
      <c r="F18" s="31" t="s">
        <v>43</v>
      </c>
      <c r="G18" s="33">
        <v>334</v>
      </c>
      <c r="H18" s="33">
        <v>500</v>
      </c>
      <c r="I18" s="34">
        <v>6</v>
      </c>
      <c r="J18" s="282" t="s">
        <v>65</v>
      </c>
      <c r="K18" s="36" t="s">
        <v>66</v>
      </c>
      <c r="L18" s="36"/>
      <c r="M18" s="30"/>
      <c r="N18" s="30"/>
      <c r="O18" s="30"/>
      <c r="P18" s="30"/>
      <c r="Q18" s="30"/>
      <c r="R18" s="30"/>
      <c r="S18" s="30"/>
      <c r="T18" s="29"/>
      <c r="U18" s="30"/>
      <c r="V18" s="31">
        <v>44873</v>
      </c>
      <c r="W18" s="31">
        <v>44883</v>
      </c>
      <c r="X18" s="36">
        <v>44873</v>
      </c>
      <c r="Y18" s="36">
        <v>44883</v>
      </c>
      <c r="Z18" s="31"/>
      <c r="AA18" s="31"/>
      <c r="AB18" s="31"/>
      <c r="AC18" s="37">
        <v>1</v>
      </c>
      <c r="AD18" s="31"/>
      <c r="AE18" s="36">
        <v>44874</v>
      </c>
      <c r="AF18" s="36">
        <v>44882</v>
      </c>
      <c r="AG18" s="36">
        <v>44878</v>
      </c>
      <c r="AH18" s="36">
        <v>44880</v>
      </c>
      <c r="AI18" s="36">
        <v>44885</v>
      </c>
      <c r="AJ18" s="56">
        <v>44869</v>
      </c>
      <c r="AK18" s="56">
        <v>44869</v>
      </c>
      <c r="AL18" s="36">
        <v>44879</v>
      </c>
      <c r="AM18" s="36">
        <v>44888</v>
      </c>
      <c r="AN18" s="56">
        <v>44869</v>
      </c>
      <c r="AO18" s="36">
        <v>44879</v>
      </c>
      <c r="AP18" s="36"/>
      <c r="AQ18" s="36">
        <v>44879</v>
      </c>
      <c r="AR18" s="36">
        <v>44885</v>
      </c>
      <c r="AS18" s="36">
        <v>44886</v>
      </c>
      <c r="AT18" s="36">
        <v>44888</v>
      </c>
      <c r="AU18" s="638"/>
      <c r="AV18" s="39"/>
      <c r="AW18" s="39"/>
      <c r="AX18" s="39"/>
      <c r="AY18" s="39"/>
    </row>
    <row r="19" spans="1:52" ht="18" customHeight="1">
      <c r="A19" s="40">
        <v>812710</v>
      </c>
      <c r="B19" s="41"/>
      <c r="C19" s="42">
        <v>812007</v>
      </c>
      <c r="D19" s="42"/>
      <c r="E19" s="42"/>
      <c r="F19" s="43" t="s">
        <v>48</v>
      </c>
      <c r="G19" s="59"/>
      <c r="H19" s="59"/>
      <c r="I19" s="44"/>
      <c r="J19" s="52"/>
      <c r="K19" s="53"/>
      <c r="L19" s="537"/>
      <c r="M19" s="42"/>
      <c r="N19" s="42"/>
      <c r="O19" s="42"/>
      <c r="P19" s="42"/>
      <c r="Q19" s="42"/>
      <c r="R19" s="42"/>
      <c r="S19" s="42"/>
      <c r="T19" s="41"/>
      <c r="U19" s="42"/>
      <c r="V19" s="46">
        <v>44873</v>
      </c>
      <c r="W19" s="46">
        <v>44883</v>
      </c>
      <c r="X19" s="46">
        <v>44873</v>
      </c>
      <c r="Y19" s="46">
        <v>44883</v>
      </c>
      <c r="Z19" s="43"/>
      <c r="AA19" s="43"/>
      <c r="AB19" s="43"/>
      <c r="AC19" s="54"/>
      <c r="AD19" s="43"/>
      <c r="AE19" s="46">
        <v>44874</v>
      </c>
      <c r="AF19" s="46">
        <v>44882</v>
      </c>
      <c r="AG19" s="46">
        <v>44879</v>
      </c>
      <c r="AH19" s="46">
        <v>44881</v>
      </c>
      <c r="AI19" s="46">
        <v>44885</v>
      </c>
      <c r="AJ19" s="46">
        <v>44869</v>
      </c>
      <c r="AK19" s="46">
        <v>44869</v>
      </c>
      <c r="AL19" s="46">
        <v>44883</v>
      </c>
      <c r="AM19" s="46">
        <v>44888</v>
      </c>
      <c r="AN19" s="46">
        <v>44869</v>
      </c>
      <c r="AO19" s="46">
        <v>44879</v>
      </c>
      <c r="AP19" s="46"/>
      <c r="AQ19" s="46">
        <v>44879</v>
      </c>
      <c r="AR19" s="46">
        <v>44882</v>
      </c>
      <c r="AS19" s="46">
        <v>44886</v>
      </c>
      <c r="AT19" s="46">
        <v>44888</v>
      </c>
      <c r="AU19" s="638"/>
      <c r="AV19" s="39"/>
      <c r="AW19" s="39"/>
      <c r="AX19" s="39"/>
      <c r="AY19" s="39"/>
    </row>
    <row r="20" spans="1:52" ht="19.5" customHeight="1">
      <c r="A20" s="28">
        <v>812696</v>
      </c>
      <c r="B20" s="29" t="s">
        <v>67</v>
      </c>
      <c r="C20" s="30" t="s">
        <v>42</v>
      </c>
      <c r="D20" s="30"/>
      <c r="E20" s="30"/>
      <c r="F20" s="31" t="s">
        <v>43</v>
      </c>
      <c r="G20" s="50">
        <v>225</v>
      </c>
      <c r="H20" s="50">
        <v>330</v>
      </c>
      <c r="I20" s="34">
        <v>2</v>
      </c>
      <c r="J20" s="417" t="s">
        <v>68</v>
      </c>
      <c r="K20" s="31" t="s">
        <v>69</v>
      </c>
      <c r="L20" s="161"/>
      <c r="M20" s="30"/>
      <c r="N20" s="30"/>
      <c r="O20" s="30"/>
      <c r="P20" s="30"/>
      <c r="Q20" s="30"/>
      <c r="R20" s="30"/>
      <c r="S20" s="30"/>
      <c r="T20" s="29"/>
      <c r="U20" s="30"/>
      <c r="V20" s="36">
        <v>44873</v>
      </c>
      <c r="W20" s="36">
        <v>44895</v>
      </c>
      <c r="X20" s="36">
        <v>44867</v>
      </c>
      <c r="Y20" s="36">
        <v>44895</v>
      </c>
      <c r="Z20" s="31"/>
      <c r="AA20" s="31"/>
      <c r="AB20" s="31"/>
      <c r="AC20" s="37">
        <v>1</v>
      </c>
      <c r="AD20" s="31"/>
      <c r="AE20" s="51">
        <v>44876</v>
      </c>
      <c r="AF20" s="36">
        <v>44889</v>
      </c>
      <c r="AG20" s="36">
        <v>44889</v>
      </c>
      <c r="AH20" s="36">
        <v>44890</v>
      </c>
      <c r="AI20" s="36">
        <v>44895</v>
      </c>
      <c r="AJ20" s="51">
        <v>44872</v>
      </c>
      <c r="AK20" s="51">
        <v>44886</v>
      </c>
      <c r="AL20" s="51">
        <v>44895</v>
      </c>
      <c r="AM20" s="51">
        <v>44895</v>
      </c>
      <c r="AN20" s="51">
        <v>44873</v>
      </c>
      <c r="AO20" s="51">
        <v>44895</v>
      </c>
      <c r="AP20" s="51"/>
      <c r="AQ20" s="51">
        <v>44895</v>
      </c>
      <c r="AR20" s="51">
        <v>44895</v>
      </c>
      <c r="AS20" s="51">
        <v>44896</v>
      </c>
      <c r="AT20" s="36">
        <v>44900</v>
      </c>
      <c r="AU20" s="638"/>
      <c r="AV20" s="39"/>
      <c r="AW20" s="39"/>
      <c r="AX20" s="39"/>
      <c r="AY20" s="39"/>
    </row>
    <row r="21" spans="1:52" ht="17.25" customHeight="1">
      <c r="A21" s="40">
        <v>812696</v>
      </c>
      <c r="B21" s="41"/>
      <c r="C21" s="42"/>
      <c r="D21" s="42"/>
      <c r="E21" s="42"/>
      <c r="F21" s="43" t="s">
        <v>48</v>
      </c>
      <c r="G21" s="44"/>
      <c r="H21" s="44"/>
      <c r="I21" s="44"/>
      <c r="J21" s="52"/>
      <c r="K21" s="53"/>
      <c r="L21" s="537"/>
      <c r="M21" s="42"/>
      <c r="N21" s="42"/>
      <c r="O21" s="42"/>
      <c r="P21" s="42"/>
      <c r="Q21" s="42"/>
      <c r="R21" s="42"/>
      <c r="S21" s="42"/>
      <c r="T21" s="41"/>
      <c r="U21" s="42"/>
      <c r="V21" s="46">
        <v>44873</v>
      </c>
      <c r="W21" s="46">
        <v>44895</v>
      </c>
      <c r="X21" s="46">
        <v>44867</v>
      </c>
      <c r="Y21" s="46">
        <v>44895</v>
      </c>
      <c r="Z21" s="43"/>
      <c r="AA21" s="43"/>
      <c r="AB21" s="43"/>
      <c r="AC21" s="54"/>
      <c r="AD21" s="43"/>
      <c r="AE21" s="46">
        <v>44882</v>
      </c>
      <c r="AF21" s="46">
        <v>44889</v>
      </c>
      <c r="AG21" s="46">
        <v>44889</v>
      </c>
      <c r="AH21" s="46">
        <v>44890</v>
      </c>
      <c r="AI21" s="46">
        <v>44895</v>
      </c>
      <c r="AJ21" s="46">
        <v>44872</v>
      </c>
      <c r="AK21" s="46">
        <v>44886</v>
      </c>
      <c r="AL21" s="46">
        <v>44895</v>
      </c>
      <c r="AM21" s="46">
        <v>44895</v>
      </c>
      <c r="AN21" s="46">
        <v>44886</v>
      </c>
      <c r="AO21" s="46">
        <v>44895</v>
      </c>
      <c r="AP21" s="46"/>
      <c r="AQ21" s="46">
        <v>44895</v>
      </c>
      <c r="AR21" s="46">
        <v>44895</v>
      </c>
      <c r="AS21" s="46">
        <v>44896</v>
      </c>
      <c r="AT21" s="46">
        <v>44900</v>
      </c>
      <c r="AU21" s="638"/>
      <c r="AV21" s="39"/>
      <c r="AW21" s="39"/>
      <c r="AX21" s="39"/>
      <c r="AY21" s="39"/>
    </row>
    <row r="22" spans="1:52" ht="20.25" customHeight="1">
      <c r="A22" s="65">
        <v>812657</v>
      </c>
      <c r="B22" s="29" t="s">
        <v>70</v>
      </c>
      <c r="C22" s="30" t="s">
        <v>42</v>
      </c>
      <c r="D22" s="30"/>
      <c r="E22" s="30"/>
      <c r="F22" s="31" t="s">
        <v>43</v>
      </c>
      <c r="G22" s="50">
        <v>300</v>
      </c>
      <c r="H22" s="50">
        <v>380</v>
      </c>
      <c r="I22" s="34">
        <v>10</v>
      </c>
      <c r="J22" s="418" t="s">
        <v>71</v>
      </c>
      <c r="K22" s="36" t="s">
        <v>66</v>
      </c>
      <c r="L22" s="36"/>
      <c r="M22" s="30"/>
      <c r="N22" s="30"/>
      <c r="O22" s="30"/>
      <c r="P22" s="30"/>
      <c r="Q22" s="30"/>
      <c r="R22" s="30"/>
      <c r="S22" s="30"/>
      <c r="T22" s="29"/>
      <c r="U22" s="30"/>
      <c r="V22" s="36">
        <v>44803</v>
      </c>
      <c r="W22" s="36">
        <v>44865</v>
      </c>
      <c r="X22" s="36">
        <v>44803</v>
      </c>
      <c r="Y22" s="36">
        <v>44865</v>
      </c>
      <c r="Z22" s="31" t="s">
        <v>52</v>
      </c>
      <c r="AA22" s="66" t="s">
        <v>72</v>
      </c>
      <c r="AB22" s="67" t="s">
        <v>73</v>
      </c>
      <c r="AC22" s="68">
        <v>1</v>
      </c>
      <c r="AD22" s="66" t="s">
        <v>72</v>
      </c>
      <c r="AE22" s="51">
        <v>44802</v>
      </c>
      <c r="AF22" s="51">
        <v>44818</v>
      </c>
      <c r="AG22" s="69">
        <v>44818</v>
      </c>
      <c r="AH22" s="70">
        <v>44820</v>
      </c>
      <c r="AI22" s="70">
        <v>44895</v>
      </c>
      <c r="AJ22" s="36">
        <v>44778</v>
      </c>
      <c r="AK22" s="51">
        <v>44895</v>
      </c>
      <c r="AL22" s="51">
        <v>44880</v>
      </c>
      <c r="AM22" s="51">
        <v>44895</v>
      </c>
      <c r="AN22" s="51">
        <v>44880</v>
      </c>
      <c r="AO22" s="51">
        <v>44880</v>
      </c>
      <c r="AP22" s="51"/>
      <c r="AQ22" s="51">
        <v>44880</v>
      </c>
      <c r="AR22" s="51">
        <v>44895</v>
      </c>
      <c r="AS22" s="51">
        <v>44896</v>
      </c>
      <c r="AT22" s="36">
        <v>44910</v>
      </c>
      <c r="AU22" s="638"/>
      <c r="AV22" s="39"/>
      <c r="AW22" s="39"/>
      <c r="AX22" s="39"/>
      <c r="AY22" s="39"/>
    </row>
    <row r="23" spans="1:52" ht="24" customHeight="1" thickBot="1">
      <c r="A23" s="40">
        <v>812657</v>
      </c>
      <c r="B23" s="71"/>
      <c r="C23" s="42"/>
      <c r="D23" s="42"/>
      <c r="E23" s="42"/>
      <c r="F23" s="43" t="s">
        <v>48</v>
      </c>
      <c r="G23" s="44"/>
      <c r="H23" s="44"/>
      <c r="I23" s="44"/>
      <c r="J23" s="52"/>
      <c r="K23" s="46"/>
      <c r="L23" s="490"/>
      <c r="M23" s="72"/>
      <c r="N23" s="72"/>
      <c r="O23" s="72"/>
      <c r="P23" s="72"/>
      <c r="Q23" s="72"/>
      <c r="R23" s="72"/>
      <c r="S23" s="72"/>
      <c r="T23" s="71"/>
      <c r="U23" s="72"/>
      <c r="V23" s="46">
        <v>44803</v>
      </c>
      <c r="W23" s="46">
        <v>44967</v>
      </c>
      <c r="X23" s="46">
        <v>44803</v>
      </c>
      <c r="Y23" s="46">
        <v>44990</v>
      </c>
      <c r="Z23" s="46"/>
      <c r="AA23" s="46"/>
      <c r="AB23" s="43"/>
      <c r="AC23" s="54"/>
      <c r="AD23" s="43"/>
      <c r="AE23" s="46">
        <v>44799</v>
      </c>
      <c r="AF23" s="46">
        <v>44818</v>
      </c>
      <c r="AG23" s="61">
        <v>44900</v>
      </c>
      <c r="AH23" s="61">
        <v>44901</v>
      </c>
      <c r="AI23" s="61">
        <v>44903</v>
      </c>
      <c r="AJ23" s="61">
        <v>44778</v>
      </c>
      <c r="AK23" s="61">
        <v>44895</v>
      </c>
      <c r="AL23" s="61">
        <v>44923</v>
      </c>
      <c r="AM23" s="61">
        <v>44895</v>
      </c>
      <c r="AN23" s="61">
        <v>44873</v>
      </c>
      <c r="AO23" s="61">
        <v>44880</v>
      </c>
      <c r="AP23" s="61"/>
      <c r="AQ23" s="61">
        <v>44880</v>
      </c>
      <c r="AR23" s="61">
        <v>44903</v>
      </c>
      <c r="AS23" s="61">
        <v>44932</v>
      </c>
      <c r="AT23" s="61">
        <v>44932</v>
      </c>
      <c r="AU23" s="643"/>
      <c r="AV23" s="39"/>
      <c r="AW23" s="39"/>
      <c r="AX23" s="39"/>
      <c r="AY23" s="39"/>
      <c r="AZ23" s="73" t="s">
        <v>74</v>
      </c>
    </row>
    <row r="24" spans="1:52" ht="16.5" customHeight="1" thickBot="1">
      <c r="A24" s="22"/>
      <c r="B24" s="22"/>
      <c r="C24" s="22"/>
      <c r="D24" s="22"/>
      <c r="E24" s="22"/>
      <c r="F24" s="23"/>
      <c r="G24" s="22"/>
      <c r="H24" s="22"/>
      <c r="I24" s="22"/>
      <c r="J24" s="414"/>
      <c r="K24" s="23"/>
      <c r="L24" s="23"/>
      <c r="M24" s="22"/>
      <c r="N24" s="22"/>
      <c r="O24" s="22"/>
      <c r="P24" s="22"/>
      <c r="Q24" s="22"/>
      <c r="R24" s="22"/>
      <c r="S24" s="22"/>
      <c r="T24" s="22"/>
      <c r="U24" s="22"/>
      <c r="V24" s="23"/>
      <c r="W24" s="23"/>
      <c r="X24" s="23"/>
      <c r="Y24" s="23"/>
      <c r="Z24" s="22"/>
      <c r="AA24" s="22"/>
      <c r="AB24" s="22"/>
      <c r="AC24" s="22"/>
      <c r="AD24" s="22"/>
      <c r="AE24" s="22"/>
      <c r="AF24" s="22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6"/>
      <c r="AV24" s="27"/>
      <c r="AW24" s="27"/>
      <c r="AX24" s="27"/>
      <c r="AY24" s="27"/>
    </row>
    <row r="25" spans="1:52" ht="16.5" customHeight="1">
      <c r="A25" s="28">
        <v>812699</v>
      </c>
      <c r="B25" s="29" t="s">
        <v>75</v>
      </c>
      <c r="C25" s="30" t="s">
        <v>42</v>
      </c>
      <c r="D25" s="30"/>
      <c r="E25" s="30"/>
      <c r="F25" s="31" t="s">
        <v>43</v>
      </c>
      <c r="G25" s="50">
        <v>260</v>
      </c>
      <c r="H25" s="50">
        <v>220</v>
      </c>
      <c r="I25" s="34">
        <v>4</v>
      </c>
      <c r="J25" s="417" t="s">
        <v>76</v>
      </c>
      <c r="K25" s="31" t="s">
        <v>77</v>
      </c>
      <c r="L25" s="161"/>
      <c r="M25" s="30"/>
      <c r="N25" s="30"/>
      <c r="O25" s="30"/>
      <c r="P25" s="30"/>
      <c r="Q25" s="30"/>
      <c r="R25" s="30"/>
      <c r="S25" s="30"/>
      <c r="T25" s="29"/>
      <c r="U25" s="30"/>
      <c r="V25" s="36">
        <v>44872</v>
      </c>
      <c r="W25" s="36">
        <v>44915</v>
      </c>
      <c r="X25" s="36">
        <v>44896</v>
      </c>
      <c r="Y25" s="36">
        <v>44923</v>
      </c>
      <c r="Z25" s="31" t="s">
        <v>52</v>
      </c>
      <c r="AA25" s="31" t="s">
        <v>72</v>
      </c>
      <c r="AB25" s="74" t="s">
        <v>78</v>
      </c>
      <c r="AC25" s="37">
        <v>1</v>
      </c>
      <c r="AD25" s="31" t="s">
        <v>72</v>
      </c>
      <c r="AE25" s="36">
        <v>44887</v>
      </c>
      <c r="AF25" s="36">
        <v>44897</v>
      </c>
      <c r="AG25" s="36">
        <v>44897</v>
      </c>
      <c r="AH25" s="36">
        <v>44900</v>
      </c>
      <c r="AI25" s="36">
        <v>44910</v>
      </c>
      <c r="AJ25" s="56">
        <v>44865</v>
      </c>
      <c r="AK25" s="36">
        <v>44869</v>
      </c>
      <c r="AL25" s="36">
        <v>44909</v>
      </c>
      <c r="AM25" s="36">
        <v>44910</v>
      </c>
      <c r="AN25" s="56">
        <v>44883</v>
      </c>
      <c r="AO25" s="56">
        <v>44909</v>
      </c>
      <c r="AP25" s="56"/>
      <c r="AQ25" s="56">
        <v>44909</v>
      </c>
      <c r="AR25" s="56">
        <v>44910</v>
      </c>
      <c r="AS25" s="56">
        <v>44911</v>
      </c>
      <c r="AT25" s="36">
        <v>44915</v>
      </c>
      <c r="AU25" s="637" t="s">
        <v>79</v>
      </c>
      <c r="AV25" s="39"/>
      <c r="AW25" s="39"/>
      <c r="AX25" s="39"/>
      <c r="AY25" s="39"/>
    </row>
    <row r="26" spans="1:52" ht="16.5" customHeight="1">
      <c r="A26" s="40">
        <v>812699</v>
      </c>
      <c r="B26" s="41"/>
      <c r="C26" s="42"/>
      <c r="D26" s="42"/>
      <c r="E26" s="42"/>
      <c r="F26" s="43" t="s">
        <v>48</v>
      </c>
      <c r="G26" s="44"/>
      <c r="H26" s="44"/>
      <c r="I26" s="44"/>
      <c r="J26" s="52"/>
      <c r="K26" s="53"/>
      <c r="L26" s="537"/>
      <c r="M26" s="42"/>
      <c r="N26" s="42"/>
      <c r="O26" s="42"/>
      <c r="P26" s="42"/>
      <c r="Q26" s="42"/>
      <c r="R26" s="42"/>
      <c r="S26" s="42"/>
      <c r="T26" s="41"/>
      <c r="U26" s="42"/>
      <c r="V26" s="46">
        <v>44872</v>
      </c>
      <c r="W26" s="46">
        <v>44915</v>
      </c>
      <c r="X26" s="46">
        <v>44896</v>
      </c>
      <c r="Y26" s="46">
        <v>44923</v>
      </c>
      <c r="Z26" s="43"/>
      <c r="AA26" s="43"/>
      <c r="AB26" s="43"/>
      <c r="AC26" s="54"/>
      <c r="AD26" s="43"/>
      <c r="AE26" s="46">
        <v>44887</v>
      </c>
      <c r="AF26" s="46">
        <v>44897</v>
      </c>
      <c r="AG26" s="46">
        <v>44903</v>
      </c>
      <c r="AH26" s="46">
        <v>44907</v>
      </c>
      <c r="AI26" s="46">
        <v>44910</v>
      </c>
      <c r="AJ26" s="46">
        <v>44862</v>
      </c>
      <c r="AK26" s="46">
        <v>44869</v>
      </c>
      <c r="AL26" s="46">
        <v>44900</v>
      </c>
      <c r="AM26" s="46">
        <v>44922</v>
      </c>
      <c r="AN26" s="46">
        <v>44873</v>
      </c>
      <c r="AO26" s="46">
        <v>44907</v>
      </c>
      <c r="AP26" s="46"/>
      <c r="AQ26" s="46">
        <v>44907</v>
      </c>
      <c r="AR26" s="46">
        <v>44910</v>
      </c>
      <c r="AS26" s="46">
        <v>44911</v>
      </c>
      <c r="AT26" s="46">
        <v>44915</v>
      </c>
      <c r="AU26" s="638"/>
      <c r="AV26" s="39"/>
      <c r="AW26" s="39"/>
      <c r="AX26" s="39"/>
      <c r="AY26" s="39"/>
    </row>
    <row r="27" spans="1:52" ht="18.75" customHeight="1">
      <c r="A27" s="28">
        <v>850455</v>
      </c>
      <c r="B27" s="75">
        <v>850455</v>
      </c>
      <c r="C27" s="30" t="s">
        <v>42</v>
      </c>
      <c r="D27" s="30"/>
      <c r="E27" s="30"/>
      <c r="F27" s="31" t="s">
        <v>43</v>
      </c>
      <c r="G27" s="33">
        <v>150</v>
      </c>
      <c r="H27" s="33">
        <v>220</v>
      </c>
      <c r="I27" s="76">
        <v>1</v>
      </c>
      <c r="J27" s="417" t="s">
        <v>80</v>
      </c>
      <c r="K27" s="66" t="s">
        <v>60</v>
      </c>
      <c r="L27" s="157"/>
      <c r="M27" s="30"/>
      <c r="N27" s="30"/>
      <c r="O27" s="30"/>
      <c r="P27" s="30"/>
      <c r="Q27" s="30"/>
      <c r="R27" s="30"/>
      <c r="S27" s="30"/>
      <c r="T27" s="29"/>
      <c r="U27" s="30"/>
      <c r="V27" s="36" t="s">
        <v>61</v>
      </c>
      <c r="W27" s="36" t="s">
        <v>61</v>
      </c>
      <c r="X27" s="36" t="s">
        <v>61</v>
      </c>
      <c r="Y27" s="36" t="s">
        <v>61</v>
      </c>
      <c r="Z27" s="66"/>
      <c r="AA27" s="66"/>
      <c r="AB27" s="66"/>
      <c r="AC27" s="68">
        <v>1</v>
      </c>
      <c r="AD27" s="66"/>
      <c r="AE27" s="77" t="s">
        <v>81</v>
      </c>
      <c r="AF27" s="77" t="s">
        <v>81</v>
      </c>
      <c r="AG27" s="36">
        <v>44910</v>
      </c>
      <c r="AH27" s="36">
        <v>44910</v>
      </c>
      <c r="AI27" s="78">
        <v>44914</v>
      </c>
      <c r="AJ27" s="36" t="s">
        <v>81</v>
      </c>
      <c r="AK27" s="36">
        <v>44895</v>
      </c>
      <c r="AL27" s="78">
        <v>44914</v>
      </c>
      <c r="AM27" s="78">
        <v>44914</v>
      </c>
      <c r="AN27" s="36">
        <v>44896</v>
      </c>
      <c r="AO27" s="78">
        <v>44914</v>
      </c>
      <c r="AP27" s="78"/>
      <c r="AQ27" s="78">
        <v>44914</v>
      </c>
      <c r="AR27" s="78">
        <v>44903</v>
      </c>
      <c r="AS27" s="78">
        <v>44915</v>
      </c>
      <c r="AT27" s="36">
        <v>44918</v>
      </c>
      <c r="AU27" s="638"/>
      <c r="AV27" s="39"/>
      <c r="AW27" s="39"/>
      <c r="AX27" s="39"/>
      <c r="AY27" s="39"/>
    </row>
    <row r="28" spans="1:52" ht="18" customHeight="1">
      <c r="A28" s="40">
        <f>IF(A27="","",A27)</f>
        <v>850455</v>
      </c>
      <c r="B28" s="79"/>
      <c r="C28" s="42"/>
      <c r="D28" s="42"/>
      <c r="E28" s="42"/>
      <c r="F28" s="43" t="s">
        <v>48</v>
      </c>
      <c r="G28" s="59"/>
      <c r="H28" s="59"/>
      <c r="I28" s="44"/>
      <c r="J28" s="52"/>
      <c r="K28" s="53"/>
      <c r="L28" s="537"/>
      <c r="M28" s="42"/>
      <c r="N28" s="42"/>
      <c r="O28" s="42"/>
      <c r="P28" s="42"/>
      <c r="Q28" s="42"/>
      <c r="R28" s="42"/>
      <c r="S28" s="42"/>
      <c r="T28" s="41"/>
      <c r="U28" s="42"/>
      <c r="V28" s="46"/>
      <c r="W28" s="46"/>
      <c r="X28" s="46"/>
      <c r="Y28" s="46"/>
      <c r="Z28" s="43"/>
      <c r="AA28" s="43"/>
      <c r="AB28" s="43"/>
      <c r="AC28" s="54"/>
      <c r="AD28" s="43"/>
      <c r="AE28" s="43" t="s">
        <v>81</v>
      </c>
      <c r="AF28" s="43" t="s">
        <v>81</v>
      </c>
      <c r="AG28" s="46">
        <v>44910</v>
      </c>
      <c r="AH28" s="46">
        <v>44918</v>
      </c>
      <c r="AI28" s="46">
        <v>44916</v>
      </c>
      <c r="AJ28" s="46"/>
      <c r="AK28" s="46">
        <v>44907</v>
      </c>
      <c r="AL28" s="46">
        <v>44915</v>
      </c>
      <c r="AM28" s="46">
        <v>44916</v>
      </c>
      <c r="AN28" s="46">
        <v>44896</v>
      </c>
      <c r="AO28" s="46" t="s">
        <v>82</v>
      </c>
      <c r="AP28" s="46"/>
      <c r="AQ28" s="46" t="s">
        <v>82</v>
      </c>
      <c r="AR28" s="46" t="s">
        <v>83</v>
      </c>
      <c r="AS28" s="46">
        <v>44915</v>
      </c>
      <c r="AT28" s="46">
        <v>44918</v>
      </c>
      <c r="AU28" s="638"/>
      <c r="AV28" s="39"/>
      <c r="AW28" s="39"/>
      <c r="AX28" s="39"/>
      <c r="AY28" s="39"/>
    </row>
    <row r="29" spans="1:52" ht="18.75" customHeight="1">
      <c r="A29" s="48">
        <v>812717</v>
      </c>
      <c r="B29" s="80" t="s">
        <v>84</v>
      </c>
      <c r="C29" s="30" t="s">
        <v>42</v>
      </c>
      <c r="D29" s="30"/>
      <c r="E29" s="30"/>
      <c r="F29" s="31" t="s">
        <v>43</v>
      </c>
      <c r="G29" s="50">
        <v>100</v>
      </c>
      <c r="H29" s="50">
        <v>220</v>
      </c>
      <c r="I29" s="34">
        <v>3</v>
      </c>
      <c r="J29" s="419" t="s">
        <v>85</v>
      </c>
      <c r="K29" s="81" t="s">
        <v>86</v>
      </c>
      <c r="L29" s="538"/>
      <c r="M29" s="82"/>
      <c r="N29" s="82"/>
      <c r="O29" s="82"/>
      <c r="P29" s="82"/>
      <c r="Q29" s="82"/>
      <c r="R29" s="82"/>
      <c r="S29" s="82"/>
      <c r="T29" s="83"/>
      <c r="U29" s="82"/>
      <c r="V29" s="31">
        <v>44883</v>
      </c>
      <c r="W29" s="31">
        <v>44908</v>
      </c>
      <c r="X29" s="31">
        <v>44894</v>
      </c>
      <c r="Y29" s="31">
        <v>44923</v>
      </c>
      <c r="Z29" s="31" t="s">
        <v>52</v>
      </c>
      <c r="AA29" s="31" t="s">
        <v>72</v>
      </c>
      <c r="AB29" s="31" t="s">
        <v>87</v>
      </c>
      <c r="AC29" s="37">
        <v>1</v>
      </c>
      <c r="AD29" s="31"/>
      <c r="AE29" s="51">
        <v>44902</v>
      </c>
      <c r="AF29" s="36">
        <v>44914</v>
      </c>
      <c r="AG29" s="36">
        <v>44917</v>
      </c>
      <c r="AH29" s="36">
        <v>44914</v>
      </c>
      <c r="AI29" s="36">
        <v>44924</v>
      </c>
      <c r="AJ29" s="36">
        <v>44897</v>
      </c>
      <c r="AK29" s="36">
        <v>44894</v>
      </c>
      <c r="AL29" s="36">
        <v>44924</v>
      </c>
      <c r="AM29" s="36">
        <v>44924</v>
      </c>
      <c r="AN29" s="56">
        <v>44900</v>
      </c>
      <c r="AO29" s="36">
        <v>44924</v>
      </c>
      <c r="AP29" s="36"/>
      <c r="AQ29" s="36">
        <v>44924</v>
      </c>
      <c r="AR29" s="36">
        <v>44924</v>
      </c>
      <c r="AS29" s="36">
        <v>44925</v>
      </c>
      <c r="AT29" s="36">
        <v>44931</v>
      </c>
      <c r="AU29" s="638"/>
      <c r="AV29" s="39"/>
      <c r="AW29" s="39"/>
      <c r="AX29" s="39"/>
      <c r="AY29" s="39"/>
    </row>
    <row r="30" spans="1:52" ht="18" customHeight="1">
      <c r="A30" s="40">
        <v>812717</v>
      </c>
      <c r="B30" s="41"/>
      <c r="C30" s="42"/>
      <c r="D30" s="42"/>
      <c r="E30" s="42"/>
      <c r="F30" s="43" t="s">
        <v>48</v>
      </c>
      <c r="G30" s="44"/>
      <c r="H30" s="44"/>
      <c r="I30" s="44"/>
      <c r="J30" s="52"/>
      <c r="K30" s="53"/>
      <c r="L30" s="537"/>
      <c r="M30" s="42"/>
      <c r="N30" s="42"/>
      <c r="O30" s="42"/>
      <c r="P30" s="42"/>
      <c r="Q30" s="42"/>
      <c r="R30" s="42"/>
      <c r="S30" s="42"/>
      <c r="T30" s="41"/>
      <c r="U30" s="42"/>
      <c r="V30" s="43">
        <v>44883</v>
      </c>
      <c r="W30" s="43">
        <v>44908</v>
      </c>
      <c r="X30" s="43">
        <v>44894</v>
      </c>
      <c r="Y30" s="43">
        <v>44923</v>
      </c>
      <c r="Z30" s="43"/>
      <c r="AA30" s="43"/>
      <c r="AB30" s="43"/>
      <c r="AC30" s="54"/>
      <c r="AD30" s="43"/>
      <c r="AE30" s="43">
        <v>44902</v>
      </c>
      <c r="AF30" s="43">
        <v>44916</v>
      </c>
      <c r="AG30" s="46">
        <v>44916</v>
      </c>
      <c r="AH30" s="46">
        <v>44914</v>
      </c>
      <c r="AI30" s="46">
        <v>44924</v>
      </c>
      <c r="AJ30" s="46">
        <v>44897</v>
      </c>
      <c r="AK30" s="46">
        <v>44897</v>
      </c>
      <c r="AL30" s="46">
        <v>44916</v>
      </c>
      <c r="AM30" s="46">
        <v>44924</v>
      </c>
      <c r="AN30" s="46">
        <v>44900</v>
      </c>
      <c r="AO30" s="46">
        <v>44916</v>
      </c>
      <c r="AP30" s="46"/>
      <c r="AQ30" s="46">
        <v>44916</v>
      </c>
      <c r="AR30" s="46">
        <v>44924</v>
      </c>
      <c r="AS30" s="46">
        <v>44925</v>
      </c>
      <c r="AT30" s="46">
        <v>44931</v>
      </c>
      <c r="AU30" s="638"/>
      <c r="AV30" s="39"/>
      <c r="AW30" s="39"/>
      <c r="AX30" s="39"/>
      <c r="AY30" s="39"/>
    </row>
    <row r="31" spans="1:52" ht="18" customHeight="1">
      <c r="A31" s="28">
        <v>812687</v>
      </c>
      <c r="B31" s="29" t="s">
        <v>88</v>
      </c>
      <c r="C31" s="30" t="s">
        <v>42</v>
      </c>
      <c r="D31" s="30"/>
      <c r="E31" s="30"/>
      <c r="F31" s="31" t="s">
        <v>43</v>
      </c>
      <c r="G31" s="33">
        <v>240</v>
      </c>
      <c r="H31" s="33">
        <v>220</v>
      </c>
      <c r="I31" s="34">
        <v>2</v>
      </c>
      <c r="J31" s="416" t="s">
        <v>89</v>
      </c>
      <c r="K31" s="81" t="s">
        <v>90</v>
      </c>
      <c r="L31" s="538"/>
      <c r="M31" s="30"/>
      <c r="N31" s="30"/>
      <c r="O31" s="30"/>
      <c r="P31" s="30"/>
      <c r="Q31" s="30"/>
      <c r="R31" s="30"/>
      <c r="S31" s="30"/>
      <c r="T31" s="29"/>
      <c r="U31" s="30"/>
      <c r="V31" s="31">
        <v>44870</v>
      </c>
      <c r="W31" s="31">
        <v>44921</v>
      </c>
      <c r="X31" s="36">
        <v>44896</v>
      </c>
      <c r="Y31" s="36">
        <v>44924</v>
      </c>
      <c r="Z31" s="31" t="s">
        <v>52</v>
      </c>
      <c r="AA31" s="31" t="s">
        <v>72</v>
      </c>
      <c r="AB31" s="31" t="s">
        <v>91</v>
      </c>
      <c r="AC31" s="37">
        <v>1</v>
      </c>
      <c r="AD31" s="31" t="s">
        <v>72</v>
      </c>
      <c r="AE31" s="36">
        <v>44911</v>
      </c>
      <c r="AF31" s="51">
        <v>44926</v>
      </c>
      <c r="AG31" s="36">
        <v>44917</v>
      </c>
      <c r="AH31" s="36">
        <v>44918</v>
      </c>
      <c r="AI31" s="36">
        <v>44924</v>
      </c>
      <c r="AJ31" s="84">
        <v>44910</v>
      </c>
      <c r="AK31" s="84">
        <v>44910</v>
      </c>
      <c r="AL31" s="85">
        <v>44921</v>
      </c>
      <c r="AM31" s="36">
        <v>44924</v>
      </c>
      <c r="AN31" s="85">
        <v>44911</v>
      </c>
      <c r="AO31" s="85">
        <v>44921</v>
      </c>
      <c r="AP31" s="85"/>
      <c r="AQ31" s="85">
        <v>44921</v>
      </c>
      <c r="AR31" s="85">
        <v>44921</v>
      </c>
      <c r="AS31" s="36">
        <v>44924</v>
      </c>
      <c r="AT31" s="85">
        <v>44929</v>
      </c>
      <c r="AU31" s="638"/>
      <c r="AV31" s="39"/>
      <c r="AW31" s="39"/>
      <c r="AX31" s="39"/>
      <c r="AY31" s="39"/>
    </row>
    <row r="32" spans="1:52" ht="18" customHeight="1">
      <c r="A32" s="40">
        <v>812687</v>
      </c>
      <c r="B32" s="41"/>
      <c r="C32" s="42"/>
      <c r="D32" s="42"/>
      <c r="E32" s="42"/>
      <c r="F32" s="43" t="s">
        <v>48</v>
      </c>
      <c r="G32" s="44"/>
      <c r="H32" s="44"/>
      <c r="I32" s="44"/>
      <c r="J32" s="44"/>
      <c r="K32" s="44"/>
      <c r="L32" s="58"/>
      <c r="M32" s="42"/>
      <c r="N32" s="42"/>
      <c r="O32" s="42"/>
      <c r="P32" s="42"/>
      <c r="Q32" s="42"/>
      <c r="R32" s="42"/>
      <c r="S32" s="42"/>
      <c r="T32" s="41"/>
      <c r="U32" s="42"/>
      <c r="V32" s="86">
        <v>44870</v>
      </c>
      <c r="W32" s="86">
        <v>44921</v>
      </c>
      <c r="X32" s="87">
        <v>44896</v>
      </c>
      <c r="Y32" s="87">
        <v>44924</v>
      </c>
      <c r="Z32" s="44"/>
      <c r="AA32" s="44"/>
      <c r="AB32" s="44"/>
      <c r="AC32" s="54"/>
      <c r="AD32" s="54"/>
      <c r="AE32" s="43">
        <v>44915</v>
      </c>
      <c r="AF32" s="43">
        <v>44926</v>
      </c>
      <c r="AG32" s="43">
        <v>44921</v>
      </c>
      <c r="AH32" s="43">
        <v>44921</v>
      </c>
      <c r="AI32" s="43">
        <v>45289</v>
      </c>
      <c r="AJ32" s="46">
        <v>44910</v>
      </c>
      <c r="AK32" s="46">
        <v>44910</v>
      </c>
      <c r="AL32" s="46">
        <v>44912</v>
      </c>
      <c r="AM32" s="43">
        <v>45289</v>
      </c>
      <c r="AN32" s="46">
        <v>44911</v>
      </c>
      <c r="AO32" s="46">
        <v>44917</v>
      </c>
      <c r="AP32" s="46"/>
      <c r="AQ32" s="46">
        <v>44917</v>
      </c>
      <c r="AR32" s="46">
        <v>44922</v>
      </c>
      <c r="AS32" s="43">
        <v>45289</v>
      </c>
      <c r="AT32" s="46">
        <v>44929</v>
      </c>
      <c r="AU32" s="638"/>
      <c r="AV32" s="39"/>
      <c r="AW32" s="39"/>
      <c r="AX32" s="39"/>
      <c r="AY32" s="39"/>
    </row>
    <row r="33" spans="1:51" ht="18.75" customHeight="1">
      <c r="A33" s="28">
        <v>812617</v>
      </c>
      <c r="B33" s="29">
        <v>812617</v>
      </c>
      <c r="C33" s="30" t="s">
        <v>42</v>
      </c>
      <c r="D33" s="30"/>
      <c r="E33" s="30"/>
      <c r="F33" s="31" t="s">
        <v>43</v>
      </c>
      <c r="G33" s="50">
        <v>180</v>
      </c>
      <c r="H33" s="50">
        <v>220</v>
      </c>
      <c r="I33" s="34">
        <v>1</v>
      </c>
      <c r="J33" s="420" t="s">
        <v>92</v>
      </c>
      <c r="K33" s="88" t="s">
        <v>90</v>
      </c>
      <c r="L33" s="88"/>
      <c r="M33" s="30"/>
      <c r="N33" s="30"/>
      <c r="O33" s="30"/>
      <c r="P33" s="30"/>
      <c r="Q33" s="30"/>
      <c r="R33" s="30"/>
      <c r="S33" s="30"/>
      <c r="T33" s="29"/>
      <c r="U33" s="30"/>
      <c r="V33" s="36">
        <v>44872</v>
      </c>
      <c r="W33" s="36">
        <v>44895</v>
      </c>
      <c r="X33" s="36">
        <v>44879</v>
      </c>
      <c r="Y33" s="36">
        <v>44895</v>
      </c>
      <c r="Z33" s="31"/>
      <c r="AA33" s="31"/>
      <c r="AB33" s="31"/>
      <c r="AC33" s="37">
        <v>1</v>
      </c>
      <c r="AD33" s="31"/>
      <c r="AE33" s="51">
        <v>44918</v>
      </c>
      <c r="AF33" s="69">
        <v>44926</v>
      </c>
      <c r="AG33" s="89">
        <v>44924</v>
      </c>
      <c r="AH33" s="90">
        <v>44925</v>
      </c>
      <c r="AI33" s="90">
        <v>44925</v>
      </c>
      <c r="AJ33" s="90">
        <v>44903</v>
      </c>
      <c r="AK33" s="90">
        <v>44903</v>
      </c>
      <c r="AL33" s="90">
        <v>44925</v>
      </c>
      <c r="AM33" s="90">
        <v>44925</v>
      </c>
      <c r="AN33" s="91">
        <v>44903</v>
      </c>
      <c r="AO33" s="90">
        <v>44925</v>
      </c>
      <c r="AP33" s="90"/>
      <c r="AQ33" s="90">
        <v>44925</v>
      </c>
      <c r="AR33" s="90">
        <v>44925</v>
      </c>
      <c r="AS33" s="90">
        <v>44930</v>
      </c>
      <c r="AT33" s="90">
        <v>44932</v>
      </c>
      <c r="AU33" s="638"/>
      <c r="AV33" s="39"/>
      <c r="AW33" s="39"/>
      <c r="AX33" s="39"/>
      <c r="AY33" s="39"/>
    </row>
    <row r="34" spans="1:51" ht="18" customHeight="1" thickBot="1">
      <c r="A34" s="40">
        <v>812617</v>
      </c>
      <c r="B34" s="41"/>
      <c r="C34" s="42"/>
      <c r="D34" s="42"/>
      <c r="E34" s="42"/>
      <c r="F34" s="43" t="s">
        <v>48</v>
      </c>
      <c r="G34" s="44"/>
      <c r="H34" s="44"/>
      <c r="I34" s="44"/>
      <c r="J34" s="52"/>
      <c r="K34" s="53"/>
      <c r="L34" s="537"/>
      <c r="M34" s="42"/>
      <c r="N34" s="42"/>
      <c r="O34" s="42"/>
      <c r="P34" s="42"/>
      <c r="Q34" s="42"/>
      <c r="R34" s="42"/>
      <c r="S34" s="42"/>
      <c r="T34" s="41"/>
      <c r="U34" s="42"/>
      <c r="V34" s="46">
        <v>44872</v>
      </c>
      <c r="W34" s="46">
        <v>44895</v>
      </c>
      <c r="X34" s="46">
        <v>44879</v>
      </c>
      <c r="Y34" s="46">
        <v>44895</v>
      </c>
      <c r="Z34" s="43"/>
      <c r="AA34" s="43"/>
      <c r="AB34" s="43"/>
      <c r="AC34" s="54"/>
      <c r="AD34" s="43"/>
      <c r="AE34" s="46">
        <v>44918</v>
      </c>
      <c r="AF34" s="46">
        <v>44926</v>
      </c>
      <c r="AG34" s="92">
        <v>44924</v>
      </c>
      <c r="AH34" s="92">
        <v>44925</v>
      </c>
      <c r="AI34" s="92">
        <v>44925</v>
      </c>
      <c r="AJ34" s="61">
        <v>44903</v>
      </c>
      <c r="AK34" s="61">
        <v>44903</v>
      </c>
      <c r="AL34" s="61">
        <v>44903</v>
      </c>
      <c r="AM34" s="61">
        <v>44925</v>
      </c>
      <c r="AN34" s="61">
        <v>44903</v>
      </c>
      <c r="AO34" s="61">
        <v>44900</v>
      </c>
      <c r="AP34" s="61"/>
      <c r="AQ34" s="61">
        <v>44900</v>
      </c>
      <c r="AR34" s="61">
        <v>44925</v>
      </c>
      <c r="AS34" s="61">
        <v>44930</v>
      </c>
      <c r="AT34" s="61">
        <v>44932</v>
      </c>
      <c r="AU34" s="639"/>
      <c r="AV34" s="39"/>
      <c r="AW34" s="39"/>
      <c r="AX34" s="39"/>
      <c r="AY34" s="39"/>
    </row>
    <row r="35" spans="1:51" ht="16.5" customHeight="1" thickBot="1">
      <c r="A35" s="93"/>
      <c r="B35" s="22"/>
      <c r="C35" s="22"/>
      <c r="D35" s="22"/>
      <c r="E35" s="22"/>
      <c r="F35" s="23"/>
      <c r="G35" s="22"/>
      <c r="H35" s="22"/>
      <c r="I35" s="22"/>
      <c r="J35" s="414"/>
      <c r="K35" s="23"/>
      <c r="L35" s="23"/>
      <c r="M35" s="22"/>
      <c r="N35" s="22"/>
      <c r="O35" s="22"/>
      <c r="P35" s="22"/>
      <c r="Q35" s="22"/>
      <c r="R35" s="22"/>
      <c r="S35" s="22"/>
      <c r="T35" s="22"/>
      <c r="U35" s="22"/>
      <c r="V35" s="23"/>
      <c r="W35" s="23"/>
      <c r="X35" s="23"/>
      <c r="Y35" s="23"/>
      <c r="Z35" s="22"/>
      <c r="AA35" s="22"/>
      <c r="AB35" s="22"/>
      <c r="AC35" s="22"/>
      <c r="AD35" s="22"/>
      <c r="AE35" s="22"/>
      <c r="AF35" s="22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6"/>
      <c r="AV35" s="27"/>
      <c r="AW35" s="27"/>
      <c r="AX35" s="27"/>
      <c r="AY35" s="27"/>
    </row>
    <row r="36" spans="1:51" ht="18.75" customHeight="1">
      <c r="A36" s="94">
        <v>812671</v>
      </c>
      <c r="B36" s="29">
        <v>812671</v>
      </c>
      <c r="C36" s="30" t="s">
        <v>42</v>
      </c>
      <c r="D36" s="30"/>
      <c r="E36" s="30"/>
      <c r="F36" s="31" t="s">
        <v>43</v>
      </c>
      <c r="G36" s="50">
        <v>300</v>
      </c>
      <c r="H36" s="50">
        <v>400</v>
      </c>
      <c r="I36" s="34">
        <v>1</v>
      </c>
      <c r="J36" s="421" t="s">
        <v>93</v>
      </c>
      <c r="K36" s="31" t="s">
        <v>45</v>
      </c>
      <c r="L36" s="161"/>
      <c r="M36" s="30"/>
      <c r="N36" s="30"/>
      <c r="O36" s="30"/>
      <c r="P36" s="30"/>
      <c r="Q36" s="30"/>
      <c r="R36" s="30"/>
      <c r="S36" s="30"/>
      <c r="T36" s="29"/>
      <c r="U36" s="30"/>
      <c r="V36" s="31">
        <v>44834</v>
      </c>
      <c r="W36" s="31">
        <v>44864</v>
      </c>
      <c r="X36" s="31">
        <v>44834</v>
      </c>
      <c r="Y36" s="31">
        <v>44864</v>
      </c>
      <c r="Z36" s="31"/>
      <c r="AA36" s="31" t="s">
        <v>72</v>
      </c>
      <c r="AB36" s="31"/>
      <c r="AC36" s="37">
        <v>3</v>
      </c>
      <c r="AD36" s="31"/>
      <c r="AE36" s="56">
        <v>44930</v>
      </c>
      <c r="AF36" s="56">
        <v>44936</v>
      </c>
      <c r="AG36" s="56">
        <v>44936</v>
      </c>
      <c r="AH36" s="56">
        <v>44937</v>
      </c>
      <c r="AI36" s="36">
        <v>44963</v>
      </c>
      <c r="AJ36" s="56">
        <v>44910</v>
      </c>
      <c r="AK36" s="56">
        <v>44923</v>
      </c>
      <c r="AL36" s="36">
        <v>44943</v>
      </c>
      <c r="AM36" s="36">
        <v>44956</v>
      </c>
      <c r="AN36" s="56">
        <v>44923</v>
      </c>
      <c r="AO36" s="36">
        <v>44943</v>
      </c>
      <c r="AP36" s="36"/>
      <c r="AQ36" s="36">
        <v>44943</v>
      </c>
      <c r="AR36" s="36">
        <v>44956</v>
      </c>
      <c r="AS36" s="36">
        <v>44956</v>
      </c>
      <c r="AT36" s="36">
        <v>44963</v>
      </c>
      <c r="AU36" s="637" t="s">
        <v>94</v>
      </c>
      <c r="AV36" s="39"/>
      <c r="AW36" s="39"/>
      <c r="AX36" s="39"/>
      <c r="AY36" s="39"/>
    </row>
    <row r="37" spans="1:51" ht="18" customHeight="1">
      <c r="A37" s="40">
        <v>812671</v>
      </c>
      <c r="B37" s="41"/>
      <c r="C37" s="42"/>
      <c r="D37" s="42"/>
      <c r="E37" s="42"/>
      <c r="F37" s="43" t="s">
        <v>48</v>
      </c>
      <c r="G37" s="44"/>
      <c r="H37" s="44"/>
      <c r="I37" s="44"/>
      <c r="J37" s="52"/>
      <c r="K37" s="53"/>
      <c r="L37" s="537"/>
      <c r="M37" s="42"/>
      <c r="N37" s="42"/>
      <c r="O37" s="42"/>
      <c r="P37" s="42"/>
      <c r="Q37" s="42"/>
      <c r="R37" s="42"/>
      <c r="S37" s="42"/>
      <c r="T37" s="41"/>
      <c r="U37" s="42"/>
      <c r="V37" s="43">
        <v>44834</v>
      </c>
      <c r="W37" s="43">
        <v>44834</v>
      </c>
      <c r="X37" s="43">
        <v>44834</v>
      </c>
      <c r="Y37" s="43">
        <v>44917</v>
      </c>
      <c r="Z37" s="43"/>
      <c r="AA37" s="43"/>
      <c r="AB37" s="43"/>
      <c r="AC37" s="54"/>
      <c r="AD37" s="43"/>
      <c r="AE37" s="46">
        <v>44904</v>
      </c>
      <c r="AF37" s="46">
        <v>44937</v>
      </c>
      <c r="AG37" s="46">
        <v>44942</v>
      </c>
      <c r="AH37" s="46">
        <v>44955</v>
      </c>
      <c r="AI37" s="46">
        <v>44963</v>
      </c>
      <c r="AJ37" s="46">
        <v>44910</v>
      </c>
      <c r="AK37" s="46">
        <v>44921</v>
      </c>
      <c r="AL37" s="46">
        <v>202</v>
      </c>
      <c r="AM37" s="46">
        <v>44955</v>
      </c>
      <c r="AN37" s="46">
        <v>44922</v>
      </c>
      <c r="AO37" s="46">
        <v>44939</v>
      </c>
      <c r="AP37" s="46"/>
      <c r="AQ37" s="46">
        <v>44939</v>
      </c>
      <c r="AR37" s="46">
        <v>44957</v>
      </c>
      <c r="AS37" s="46">
        <v>44956</v>
      </c>
      <c r="AT37" s="46">
        <v>44963</v>
      </c>
      <c r="AU37" s="638"/>
      <c r="AV37" s="39"/>
      <c r="AW37" s="39"/>
      <c r="AX37" s="39"/>
      <c r="AY37" s="39"/>
    </row>
    <row r="38" spans="1:51" ht="18.75" customHeight="1">
      <c r="A38" s="95">
        <v>812727</v>
      </c>
      <c r="B38" s="96" t="s">
        <v>95</v>
      </c>
      <c r="C38" s="97" t="s">
        <v>42</v>
      </c>
      <c r="D38" s="97"/>
      <c r="E38" s="97"/>
      <c r="F38" s="66" t="s">
        <v>43</v>
      </c>
      <c r="G38" s="33">
        <v>160</v>
      </c>
      <c r="H38" s="33">
        <v>220</v>
      </c>
      <c r="I38" s="76">
        <v>2</v>
      </c>
      <c r="J38" s="417" t="s">
        <v>96</v>
      </c>
      <c r="K38" s="81" t="s">
        <v>97</v>
      </c>
      <c r="L38" s="197"/>
      <c r="M38" s="97"/>
      <c r="N38" s="97"/>
      <c r="O38" s="97"/>
      <c r="P38" s="97"/>
      <c r="Q38" s="97"/>
      <c r="R38" s="97"/>
      <c r="S38" s="97"/>
      <c r="T38" s="96"/>
      <c r="U38" s="97"/>
      <c r="V38" s="31">
        <v>44897</v>
      </c>
      <c r="W38" s="31">
        <v>44946</v>
      </c>
      <c r="X38" s="36">
        <v>44967</v>
      </c>
      <c r="Y38" s="36">
        <v>44985</v>
      </c>
      <c r="Z38" s="31" t="s">
        <v>52</v>
      </c>
      <c r="AA38" s="31" t="s">
        <v>72</v>
      </c>
      <c r="AB38" s="98" t="s">
        <v>98</v>
      </c>
      <c r="AC38" s="68">
        <v>1</v>
      </c>
      <c r="AD38" s="31" t="s">
        <v>72</v>
      </c>
      <c r="AE38" s="51">
        <v>44939</v>
      </c>
      <c r="AF38" s="51">
        <v>44963</v>
      </c>
      <c r="AG38" s="51">
        <v>44964</v>
      </c>
      <c r="AH38" s="51">
        <v>44963</v>
      </c>
      <c r="AI38" s="51">
        <v>44963</v>
      </c>
      <c r="AJ38" s="91">
        <v>44925</v>
      </c>
      <c r="AK38" s="91">
        <v>44925</v>
      </c>
      <c r="AL38" s="36">
        <v>44956</v>
      </c>
      <c r="AM38" s="36">
        <v>44957</v>
      </c>
      <c r="AN38" s="91">
        <v>44920</v>
      </c>
      <c r="AO38" s="99">
        <v>44957</v>
      </c>
      <c r="AP38" s="99"/>
      <c r="AQ38" s="99">
        <v>44957</v>
      </c>
      <c r="AR38" s="99">
        <v>44960</v>
      </c>
      <c r="AS38" s="99">
        <v>44965</v>
      </c>
      <c r="AT38" s="99">
        <v>44967</v>
      </c>
      <c r="AU38" s="638"/>
      <c r="AV38" s="39"/>
      <c r="AW38" s="39"/>
      <c r="AX38" s="39"/>
      <c r="AY38" s="39"/>
    </row>
    <row r="39" spans="1:51" ht="18" customHeight="1">
      <c r="A39" s="40">
        <v>812727</v>
      </c>
      <c r="B39" s="41"/>
      <c r="C39" s="42"/>
      <c r="D39" s="42"/>
      <c r="E39" s="42"/>
      <c r="F39" s="43" t="s">
        <v>48</v>
      </c>
      <c r="G39" s="59"/>
      <c r="H39" s="59"/>
      <c r="I39" s="44"/>
      <c r="J39" s="52"/>
      <c r="K39" s="53"/>
      <c r="L39" s="537"/>
      <c r="M39" s="42"/>
      <c r="N39" s="42"/>
      <c r="O39" s="42"/>
      <c r="P39" s="42"/>
      <c r="Q39" s="42"/>
      <c r="R39" s="42"/>
      <c r="S39" s="42"/>
      <c r="T39" s="41"/>
      <c r="U39" s="42"/>
      <c r="V39" s="43">
        <v>44897</v>
      </c>
      <c r="W39" s="43">
        <v>44946</v>
      </c>
      <c r="X39" s="46">
        <v>44967</v>
      </c>
      <c r="Y39" s="46">
        <v>44985</v>
      </c>
      <c r="Z39" s="43"/>
      <c r="AA39" s="43"/>
      <c r="AB39" s="43"/>
      <c r="AC39" s="54"/>
      <c r="AD39" s="54"/>
      <c r="AE39" s="46">
        <v>44574</v>
      </c>
      <c r="AF39" s="46">
        <v>44963</v>
      </c>
      <c r="AG39" s="46">
        <v>44963</v>
      </c>
      <c r="AH39" s="46">
        <v>44963</v>
      </c>
      <c r="AI39" s="46">
        <v>44963</v>
      </c>
      <c r="AJ39" s="46">
        <v>44918</v>
      </c>
      <c r="AK39" s="46">
        <v>44921</v>
      </c>
      <c r="AL39" s="46">
        <v>44956</v>
      </c>
      <c r="AM39" s="46">
        <v>44957</v>
      </c>
      <c r="AN39" s="46">
        <v>44921</v>
      </c>
      <c r="AO39" s="46">
        <v>44957</v>
      </c>
      <c r="AP39" s="46"/>
      <c r="AQ39" s="46">
        <v>44957</v>
      </c>
      <c r="AR39" s="46">
        <v>44963</v>
      </c>
      <c r="AS39" s="46">
        <v>44967</v>
      </c>
      <c r="AT39" s="46">
        <v>44967</v>
      </c>
      <c r="AU39" s="638"/>
      <c r="AV39" s="39"/>
      <c r="AW39" s="39"/>
      <c r="AX39" s="39"/>
      <c r="AY39" s="39"/>
    </row>
    <row r="40" spans="1:51" ht="18" customHeight="1">
      <c r="A40" s="48">
        <v>812705</v>
      </c>
      <c r="B40" s="29" t="s">
        <v>99</v>
      </c>
      <c r="C40" s="30" t="s">
        <v>42</v>
      </c>
      <c r="D40" s="30"/>
      <c r="E40" s="30"/>
      <c r="F40" s="31" t="s">
        <v>43</v>
      </c>
      <c r="G40" s="50">
        <v>225</v>
      </c>
      <c r="H40" s="50">
        <v>220</v>
      </c>
      <c r="I40" s="34">
        <v>2</v>
      </c>
      <c r="J40" s="421" t="s">
        <v>100</v>
      </c>
      <c r="K40" s="31" t="s">
        <v>45</v>
      </c>
      <c r="L40" s="161"/>
      <c r="M40" s="30"/>
      <c r="N40" s="30"/>
      <c r="O40" s="30"/>
      <c r="P40" s="30"/>
      <c r="Q40" s="30"/>
      <c r="R40" s="30"/>
      <c r="S40" s="30"/>
      <c r="T40" s="29"/>
      <c r="U40" s="30"/>
      <c r="V40" s="31">
        <v>44848</v>
      </c>
      <c r="W40" s="31">
        <v>44864</v>
      </c>
      <c r="X40" s="31">
        <v>44848</v>
      </c>
      <c r="Y40" s="31">
        <v>44864</v>
      </c>
      <c r="Z40" s="31"/>
      <c r="AA40" s="31"/>
      <c r="AB40" s="31"/>
      <c r="AC40" s="37">
        <v>1</v>
      </c>
      <c r="AD40" s="31"/>
      <c r="AE40" s="90">
        <v>44938</v>
      </c>
      <c r="AF40" s="90">
        <v>44957</v>
      </c>
      <c r="AG40" s="90">
        <v>44957</v>
      </c>
      <c r="AH40" s="90">
        <v>44957</v>
      </c>
      <c r="AI40" s="36">
        <v>44960</v>
      </c>
      <c r="AJ40" s="90">
        <v>44940</v>
      </c>
      <c r="AK40" s="90">
        <v>44940</v>
      </c>
      <c r="AL40" s="36">
        <v>44957</v>
      </c>
      <c r="AM40" s="36">
        <v>44957</v>
      </c>
      <c r="AN40" s="36">
        <v>44932</v>
      </c>
      <c r="AO40" s="36">
        <v>44957</v>
      </c>
      <c r="AP40" s="36"/>
      <c r="AQ40" s="36">
        <v>44957</v>
      </c>
      <c r="AR40" s="36">
        <v>44960</v>
      </c>
      <c r="AS40" s="36">
        <v>44960</v>
      </c>
      <c r="AT40" s="36">
        <v>44967</v>
      </c>
      <c r="AU40" s="638"/>
      <c r="AV40" s="39"/>
      <c r="AW40" s="39"/>
      <c r="AX40" s="39"/>
      <c r="AY40" s="39"/>
    </row>
    <row r="41" spans="1:51" ht="18" customHeight="1">
      <c r="A41" s="40">
        <v>812705</v>
      </c>
      <c r="B41" s="41"/>
      <c r="C41" s="42"/>
      <c r="D41" s="42"/>
      <c r="E41" s="42"/>
      <c r="F41" s="43" t="s">
        <v>48</v>
      </c>
      <c r="G41" s="44"/>
      <c r="H41" s="44"/>
      <c r="I41" s="44"/>
      <c r="J41" s="52"/>
      <c r="K41" s="53"/>
      <c r="L41" s="537"/>
      <c r="M41" s="42"/>
      <c r="N41" s="42"/>
      <c r="O41" s="42"/>
      <c r="P41" s="42"/>
      <c r="Q41" s="42"/>
      <c r="R41" s="42"/>
      <c r="S41" s="42"/>
      <c r="T41" s="41"/>
      <c r="U41" s="42"/>
      <c r="V41" s="43">
        <v>44848</v>
      </c>
      <c r="W41" s="43">
        <v>44915</v>
      </c>
      <c r="X41" s="43">
        <v>44848</v>
      </c>
      <c r="Y41" s="43">
        <v>44915</v>
      </c>
      <c r="Z41" s="43"/>
      <c r="AA41" s="43"/>
      <c r="AB41" s="43"/>
      <c r="AC41" s="54"/>
      <c r="AD41" s="54"/>
      <c r="AE41" s="46">
        <v>44904</v>
      </c>
      <c r="AF41" s="46">
        <v>44938</v>
      </c>
      <c r="AG41" s="46">
        <v>44957</v>
      </c>
      <c r="AH41" s="46">
        <v>44956</v>
      </c>
      <c r="AI41" s="46">
        <v>44960</v>
      </c>
      <c r="AJ41" s="46">
        <v>44940</v>
      </c>
      <c r="AK41" s="46">
        <v>44957</v>
      </c>
      <c r="AL41" s="46">
        <v>44957</v>
      </c>
      <c r="AM41" s="46">
        <v>44955</v>
      </c>
      <c r="AN41" s="46">
        <v>44930</v>
      </c>
      <c r="AO41" s="46">
        <v>44957</v>
      </c>
      <c r="AP41" s="46"/>
      <c r="AQ41" s="46">
        <v>44957</v>
      </c>
      <c r="AR41" s="46">
        <v>44957</v>
      </c>
      <c r="AS41" s="46">
        <v>44957</v>
      </c>
      <c r="AT41" s="46">
        <v>44977</v>
      </c>
      <c r="AU41" s="643"/>
      <c r="AV41" s="39"/>
      <c r="AW41" s="39"/>
      <c r="AX41" s="39"/>
      <c r="AY41" s="39"/>
    </row>
    <row r="42" spans="1:51" ht="16.5" customHeight="1" thickBot="1">
      <c r="A42" s="100"/>
      <c r="B42" s="24"/>
      <c r="C42" s="24"/>
      <c r="D42" s="24"/>
      <c r="E42" s="24"/>
      <c r="F42" s="101"/>
      <c r="G42" s="24"/>
      <c r="H42" s="24"/>
      <c r="I42" s="24"/>
      <c r="J42" s="422"/>
      <c r="K42" s="101"/>
      <c r="L42" s="101"/>
      <c r="M42" s="24"/>
      <c r="N42" s="24"/>
      <c r="O42" s="24"/>
      <c r="P42" s="24"/>
      <c r="Q42" s="24"/>
      <c r="R42" s="24"/>
      <c r="S42" s="24"/>
      <c r="T42" s="24"/>
      <c r="U42" s="24"/>
      <c r="V42" s="101"/>
      <c r="W42" s="101"/>
      <c r="X42" s="101"/>
      <c r="Y42" s="101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6"/>
      <c r="AV42" s="27"/>
      <c r="AW42" s="27"/>
      <c r="AX42" s="27"/>
      <c r="AY42" s="27"/>
    </row>
    <row r="43" spans="1:51" ht="16.5" customHeight="1">
      <c r="A43" s="102">
        <v>812595</v>
      </c>
      <c r="B43" s="103">
        <v>812595</v>
      </c>
      <c r="C43" s="104" t="s">
        <v>55</v>
      </c>
      <c r="D43" s="352"/>
      <c r="E43" s="352"/>
      <c r="F43" s="105" t="s">
        <v>43</v>
      </c>
      <c r="G43" s="106">
        <v>180</v>
      </c>
      <c r="H43" s="106">
        <v>220</v>
      </c>
      <c r="I43" s="106">
        <v>1</v>
      </c>
      <c r="J43" s="423" t="s">
        <v>101</v>
      </c>
      <c r="K43" s="107" t="s">
        <v>45</v>
      </c>
      <c r="L43" s="539"/>
      <c r="M43" s="97"/>
      <c r="N43" s="97"/>
      <c r="O43" s="97"/>
      <c r="P43" s="97"/>
      <c r="Q43" s="97"/>
      <c r="R43" s="97"/>
      <c r="S43" s="97"/>
      <c r="T43" s="96"/>
      <c r="U43" s="97"/>
      <c r="V43" s="108">
        <v>44915</v>
      </c>
      <c r="W43" s="108">
        <v>44936</v>
      </c>
      <c r="X43" s="108">
        <v>44915</v>
      </c>
      <c r="Y43" s="108">
        <v>44936</v>
      </c>
      <c r="Z43" s="107"/>
      <c r="AA43" s="107"/>
      <c r="AB43" s="107"/>
      <c r="AC43" s="109">
        <v>1</v>
      </c>
      <c r="AD43" s="107"/>
      <c r="AE43" s="110">
        <v>44957</v>
      </c>
      <c r="AF43" s="110">
        <v>44963</v>
      </c>
      <c r="AG43" s="110">
        <v>44969</v>
      </c>
      <c r="AH43" s="110">
        <v>44970</v>
      </c>
      <c r="AI43" s="110">
        <v>44971</v>
      </c>
      <c r="AJ43" s="108">
        <v>44938</v>
      </c>
      <c r="AK43" s="108">
        <v>44957</v>
      </c>
      <c r="AL43" s="108">
        <v>44957</v>
      </c>
      <c r="AM43" s="108">
        <v>44957</v>
      </c>
      <c r="AN43" s="108">
        <v>44940</v>
      </c>
      <c r="AO43" s="111">
        <v>44967</v>
      </c>
      <c r="AP43" s="111"/>
      <c r="AQ43" s="111">
        <v>44967</v>
      </c>
      <c r="AR43" s="112">
        <v>37613</v>
      </c>
      <c r="AS43" s="113" t="s">
        <v>102</v>
      </c>
      <c r="AT43" s="113" t="s">
        <v>103</v>
      </c>
      <c r="AU43" s="637" t="s">
        <v>104</v>
      </c>
      <c r="AV43" s="39"/>
      <c r="AW43" s="39"/>
      <c r="AX43" s="39"/>
      <c r="AY43" s="39"/>
    </row>
    <row r="44" spans="1:51" ht="16.5" customHeight="1">
      <c r="A44" s="40">
        <f>IF(A43="","",A43)</f>
        <v>812595</v>
      </c>
      <c r="B44" s="41"/>
      <c r="C44" s="42"/>
      <c r="D44" s="42"/>
      <c r="E44" s="42"/>
      <c r="F44" s="43" t="s">
        <v>48</v>
      </c>
      <c r="G44" s="59"/>
      <c r="H44" s="59"/>
      <c r="I44" s="44"/>
      <c r="J44" s="52"/>
      <c r="K44" s="114"/>
      <c r="L44" s="189"/>
      <c r="M44" s="42"/>
      <c r="N44" s="42"/>
      <c r="O44" s="42"/>
      <c r="P44" s="42"/>
      <c r="Q44" s="42"/>
      <c r="R44" s="42"/>
      <c r="S44" s="42"/>
      <c r="T44" s="41"/>
      <c r="U44" s="42"/>
      <c r="V44" s="46">
        <v>44915</v>
      </c>
      <c r="W44" s="46">
        <v>44936</v>
      </c>
      <c r="X44" s="46">
        <v>44915</v>
      </c>
      <c r="Y44" s="46">
        <v>44936</v>
      </c>
      <c r="Z44" s="114"/>
      <c r="AA44" s="114"/>
      <c r="AB44" s="114"/>
      <c r="AC44" s="115"/>
      <c r="AD44" s="114"/>
      <c r="AE44" s="46">
        <v>44957</v>
      </c>
      <c r="AF44" s="46">
        <v>44963</v>
      </c>
      <c r="AG44" s="46">
        <v>44969</v>
      </c>
      <c r="AH44" s="46">
        <v>44970</v>
      </c>
      <c r="AI44" s="46">
        <v>44973</v>
      </c>
      <c r="AJ44" s="114">
        <v>44938</v>
      </c>
      <c r="AK44" s="114">
        <v>44957</v>
      </c>
      <c r="AL44" s="46">
        <v>44957</v>
      </c>
      <c r="AM44" s="46">
        <v>44957</v>
      </c>
      <c r="AN44" s="46">
        <v>44936</v>
      </c>
      <c r="AO44" s="46">
        <v>44967</v>
      </c>
      <c r="AP44" s="46"/>
      <c r="AQ44" s="46">
        <v>44967</v>
      </c>
      <c r="AR44" s="116">
        <v>37613</v>
      </c>
      <c r="AS44" s="117" t="s">
        <v>105</v>
      </c>
      <c r="AT44" s="118" t="s">
        <v>103</v>
      </c>
      <c r="AU44" s="638"/>
      <c r="AV44" s="39"/>
      <c r="AW44" s="39"/>
      <c r="AX44" s="39"/>
      <c r="AY44" s="39"/>
    </row>
    <row r="45" spans="1:51" ht="19.5" customHeight="1">
      <c r="A45" s="119">
        <v>812678</v>
      </c>
      <c r="B45" s="29" t="s">
        <v>106</v>
      </c>
      <c r="C45" s="49" t="s">
        <v>42</v>
      </c>
      <c r="D45" s="49"/>
      <c r="E45" s="49"/>
      <c r="F45" s="31" t="s">
        <v>43</v>
      </c>
      <c r="G45" s="50">
        <v>200</v>
      </c>
      <c r="H45" s="50">
        <v>400</v>
      </c>
      <c r="I45" s="34">
        <v>3</v>
      </c>
      <c r="J45" s="421" t="s">
        <v>107</v>
      </c>
      <c r="K45" s="31" t="s">
        <v>108</v>
      </c>
      <c r="L45" s="161"/>
      <c r="M45" s="30"/>
      <c r="N45" s="30"/>
      <c r="O45" s="30"/>
      <c r="P45" s="30"/>
      <c r="Q45" s="30"/>
      <c r="R45" s="30"/>
      <c r="S45" s="30"/>
      <c r="T45" s="29"/>
      <c r="U45" s="30"/>
      <c r="V45" s="31">
        <v>44834</v>
      </c>
      <c r="W45" s="31">
        <v>44915</v>
      </c>
      <c r="X45" s="31">
        <v>44849</v>
      </c>
      <c r="Y45" s="31">
        <v>44915</v>
      </c>
      <c r="Z45" s="31"/>
      <c r="AA45" s="31"/>
      <c r="AB45" s="31"/>
      <c r="AC45" s="37">
        <v>1</v>
      </c>
      <c r="AD45" s="31"/>
      <c r="AE45" s="56">
        <v>44932</v>
      </c>
      <c r="AF45" s="56">
        <v>44974</v>
      </c>
      <c r="AG45" s="56">
        <v>44977</v>
      </c>
      <c r="AH45" s="56">
        <v>44980</v>
      </c>
      <c r="AI45" s="56">
        <v>44984</v>
      </c>
      <c r="AJ45" s="56">
        <v>44910</v>
      </c>
      <c r="AK45" s="38" t="s">
        <v>109</v>
      </c>
      <c r="AL45" s="36">
        <v>44972</v>
      </c>
      <c r="AM45" s="36">
        <v>44972</v>
      </c>
      <c r="AN45" s="36">
        <v>44940</v>
      </c>
      <c r="AO45" s="36">
        <v>44957</v>
      </c>
      <c r="AP45" s="36"/>
      <c r="AQ45" s="36">
        <v>44957</v>
      </c>
      <c r="AR45" s="120" t="s">
        <v>110</v>
      </c>
      <c r="AS45" s="121">
        <v>44980</v>
      </c>
      <c r="AT45" s="121">
        <v>45008</v>
      </c>
      <c r="AU45" s="638"/>
      <c r="AV45" s="39"/>
      <c r="AW45" s="39"/>
      <c r="AX45" s="39"/>
      <c r="AY45" s="39"/>
    </row>
    <row r="46" spans="1:51" ht="19.5" customHeight="1">
      <c r="A46" s="40">
        <v>812675</v>
      </c>
      <c r="B46" s="122" t="s">
        <v>111</v>
      </c>
      <c r="C46" s="58"/>
      <c r="D46" s="58"/>
      <c r="E46" s="58"/>
      <c r="F46" s="43" t="s">
        <v>48</v>
      </c>
      <c r="G46" s="44"/>
      <c r="H46" s="44"/>
      <c r="I46" s="44"/>
      <c r="J46" s="52"/>
      <c r="K46" s="53"/>
      <c r="L46" s="537"/>
      <c r="M46" s="123"/>
      <c r="N46" s="123"/>
      <c r="O46" s="123"/>
      <c r="P46" s="123"/>
      <c r="Q46" s="123"/>
      <c r="R46" s="123"/>
      <c r="S46" s="123"/>
      <c r="T46" s="122"/>
      <c r="U46" s="123"/>
      <c r="V46" s="43">
        <v>44834</v>
      </c>
      <c r="W46" s="43">
        <v>44915</v>
      </c>
      <c r="X46" s="43">
        <v>44849</v>
      </c>
      <c r="Y46" s="43">
        <v>44915</v>
      </c>
      <c r="Z46" s="43"/>
      <c r="AA46" s="43"/>
      <c r="AB46" s="43"/>
      <c r="AC46" s="54"/>
      <c r="AD46" s="43"/>
      <c r="AE46" s="46">
        <v>44921</v>
      </c>
      <c r="AF46" s="46" t="s">
        <v>112</v>
      </c>
      <c r="AG46" s="46">
        <v>44977</v>
      </c>
      <c r="AH46" s="46">
        <v>44985</v>
      </c>
      <c r="AI46" s="46">
        <v>44984</v>
      </c>
      <c r="AJ46" s="46">
        <v>44903</v>
      </c>
      <c r="AK46" s="46">
        <v>44820</v>
      </c>
      <c r="AL46" s="46">
        <v>44972</v>
      </c>
      <c r="AM46" s="46">
        <v>44972</v>
      </c>
      <c r="AN46" s="46">
        <v>44939</v>
      </c>
      <c r="AO46" s="46">
        <v>44957</v>
      </c>
      <c r="AP46" s="46"/>
      <c r="AQ46" s="46">
        <v>44957</v>
      </c>
      <c r="AR46" s="118" t="s">
        <v>110</v>
      </c>
      <c r="AS46" s="116">
        <v>44980</v>
      </c>
      <c r="AT46" s="116">
        <v>45008</v>
      </c>
      <c r="AU46" s="638"/>
      <c r="AV46" s="39"/>
      <c r="AW46" s="39"/>
      <c r="AX46" s="39"/>
      <c r="AY46" s="39"/>
    </row>
    <row r="47" spans="1:51" ht="19.5" customHeight="1">
      <c r="A47" s="94">
        <v>812693</v>
      </c>
      <c r="B47" s="29">
        <v>812693</v>
      </c>
      <c r="C47" s="104" t="s">
        <v>55</v>
      </c>
      <c r="D47" s="104"/>
      <c r="E47" s="104"/>
      <c r="F47" s="31" t="s">
        <v>43</v>
      </c>
      <c r="G47" s="50">
        <v>240</v>
      </c>
      <c r="H47" s="50">
        <v>220</v>
      </c>
      <c r="I47" s="34">
        <v>1</v>
      </c>
      <c r="J47" s="417" t="s">
        <v>113</v>
      </c>
      <c r="K47" s="31" t="s">
        <v>50</v>
      </c>
      <c r="L47" s="157"/>
      <c r="M47" s="97"/>
      <c r="N47" s="97"/>
      <c r="O47" s="97"/>
      <c r="P47" s="97"/>
      <c r="Q47" s="97"/>
      <c r="R47" s="97"/>
      <c r="S47" s="97"/>
      <c r="T47" s="96"/>
      <c r="U47" s="97"/>
      <c r="V47" s="36">
        <v>44848</v>
      </c>
      <c r="W47" s="36">
        <v>45241</v>
      </c>
      <c r="X47" s="36">
        <v>44854</v>
      </c>
      <c r="Y47" s="36">
        <v>45290</v>
      </c>
      <c r="Z47" s="31"/>
      <c r="AA47" s="31"/>
      <c r="AB47" s="31"/>
      <c r="AC47" s="37">
        <v>1</v>
      </c>
      <c r="AD47" s="31"/>
      <c r="AE47" s="56">
        <v>44967</v>
      </c>
      <c r="AF47" s="56">
        <v>44978</v>
      </c>
      <c r="AG47" s="56">
        <v>44979</v>
      </c>
      <c r="AH47" s="56">
        <v>44979</v>
      </c>
      <c r="AI47" s="36">
        <v>44979</v>
      </c>
      <c r="AJ47" s="91">
        <v>44964</v>
      </c>
      <c r="AK47" s="91">
        <v>44964</v>
      </c>
      <c r="AL47" s="36">
        <v>44979</v>
      </c>
      <c r="AM47" s="36">
        <v>44979</v>
      </c>
      <c r="AN47" s="90">
        <v>44964</v>
      </c>
      <c r="AO47" s="36">
        <v>44979</v>
      </c>
      <c r="AP47" s="36"/>
      <c r="AQ47" s="36">
        <v>44979</v>
      </c>
      <c r="AR47" s="124" t="s">
        <v>114</v>
      </c>
      <c r="AS47" s="124" t="s">
        <v>114</v>
      </c>
      <c r="AT47" s="124" t="s">
        <v>110</v>
      </c>
      <c r="AU47" s="638"/>
      <c r="AV47" s="39"/>
      <c r="AW47" s="39"/>
      <c r="AX47" s="39"/>
      <c r="AY47" s="39"/>
    </row>
    <row r="48" spans="1:51" ht="17.25" customHeight="1">
      <c r="A48" s="125">
        <v>812693</v>
      </c>
      <c r="B48" s="41"/>
      <c r="C48" s="42">
        <v>812611</v>
      </c>
      <c r="D48" s="42"/>
      <c r="E48" s="42"/>
      <c r="F48" s="43" t="s">
        <v>48</v>
      </c>
      <c r="G48" s="44"/>
      <c r="H48" s="44"/>
      <c r="I48" s="44"/>
      <c r="J48" s="52"/>
      <c r="K48" s="53"/>
      <c r="L48" s="537"/>
      <c r="M48" s="42"/>
      <c r="N48" s="42"/>
      <c r="O48" s="42"/>
      <c r="P48" s="42"/>
      <c r="Q48" s="42"/>
      <c r="R48" s="42"/>
      <c r="S48" s="42"/>
      <c r="T48" s="41"/>
      <c r="U48" s="42"/>
      <c r="V48" s="46">
        <v>44848</v>
      </c>
      <c r="W48" s="46">
        <v>45241</v>
      </c>
      <c r="X48" s="46">
        <v>44854</v>
      </c>
      <c r="Y48" s="46">
        <v>45290</v>
      </c>
      <c r="Z48" s="43"/>
      <c r="AA48" s="43"/>
      <c r="AB48" s="43"/>
      <c r="AC48" s="54"/>
      <c r="AD48" s="43"/>
      <c r="AE48" s="46">
        <v>44967</v>
      </c>
      <c r="AF48" s="46" t="s">
        <v>103</v>
      </c>
      <c r="AG48" s="46">
        <v>44979</v>
      </c>
      <c r="AH48" s="46">
        <v>44980</v>
      </c>
      <c r="AI48" s="46">
        <v>44979</v>
      </c>
      <c r="AJ48" s="46">
        <v>44964</v>
      </c>
      <c r="AK48" s="46">
        <v>44940</v>
      </c>
      <c r="AL48" s="46">
        <v>44979</v>
      </c>
      <c r="AM48" s="46">
        <v>44979</v>
      </c>
      <c r="AN48" s="46">
        <v>44956</v>
      </c>
      <c r="AO48" s="46">
        <v>44979</v>
      </c>
      <c r="AP48" s="46"/>
      <c r="AQ48" s="46">
        <v>44979</v>
      </c>
      <c r="AR48" s="118" t="s">
        <v>112</v>
      </c>
      <c r="AS48" s="118" t="s">
        <v>114</v>
      </c>
      <c r="AT48" s="117" t="s">
        <v>115</v>
      </c>
      <c r="AU48" s="638"/>
      <c r="AV48" s="39"/>
      <c r="AW48" s="39"/>
      <c r="AX48" s="39"/>
      <c r="AY48" s="39"/>
    </row>
    <row r="49" spans="1:51" ht="18.75" customHeight="1">
      <c r="A49" s="126">
        <v>812675</v>
      </c>
      <c r="B49" s="96" t="s">
        <v>116</v>
      </c>
      <c r="C49" s="104" t="s">
        <v>55</v>
      </c>
      <c r="D49" s="104"/>
      <c r="E49" s="104"/>
      <c r="F49" s="66" t="s">
        <v>43</v>
      </c>
      <c r="G49" s="50">
        <v>200</v>
      </c>
      <c r="H49" s="50">
        <v>400</v>
      </c>
      <c r="I49" s="76">
        <v>3</v>
      </c>
      <c r="J49" s="421" t="s">
        <v>107</v>
      </c>
      <c r="K49" s="66" t="s">
        <v>108</v>
      </c>
      <c r="L49" s="157"/>
      <c r="M49" s="97"/>
      <c r="N49" s="97"/>
      <c r="O49" s="97"/>
      <c r="P49" s="97"/>
      <c r="Q49" s="97"/>
      <c r="R49" s="97"/>
      <c r="S49" s="97"/>
      <c r="T49" s="96"/>
      <c r="U49" s="97"/>
      <c r="V49" s="66">
        <v>44849</v>
      </c>
      <c r="W49" s="66">
        <v>44915</v>
      </c>
      <c r="X49" s="66">
        <v>44864</v>
      </c>
      <c r="Y49" s="66">
        <v>44915</v>
      </c>
      <c r="Z49" s="66"/>
      <c r="AA49" s="66"/>
      <c r="AB49" s="66"/>
      <c r="AC49" s="68">
        <v>1</v>
      </c>
      <c r="AD49" s="31"/>
      <c r="AE49" s="56">
        <v>44932</v>
      </c>
      <c r="AF49" s="56">
        <v>44974</v>
      </c>
      <c r="AG49" s="56">
        <v>44977</v>
      </c>
      <c r="AH49" s="56">
        <v>44980</v>
      </c>
      <c r="AI49" s="56">
        <v>44984</v>
      </c>
      <c r="AJ49" s="56">
        <v>44910</v>
      </c>
      <c r="AK49" s="38" t="s">
        <v>117</v>
      </c>
      <c r="AL49" s="36">
        <v>44984</v>
      </c>
      <c r="AM49" s="36">
        <v>44984</v>
      </c>
      <c r="AN49" s="36">
        <v>44940</v>
      </c>
      <c r="AO49" s="36">
        <v>44984</v>
      </c>
      <c r="AP49" s="36"/>
      <c r="AQ49" s="36">
        <v>44984</v>
      </c>
      <c r="AR49" s="120" t="s">
        <v>115</v>
      </c>
      <c r="AS49" s="120" t="s">
        <v>115</v>
      </c>
      <c r="AT49" s="121">
        <v>44988</v>
      </c>
      <c r="AU49" s="638"/>
      <c r="AV49" s="39"/>
      <c r="AW49" s="39"/>
      <c r="AX49" s="39"/>
      <c r="AY49" s="39"/>
    </row>
    <row r="50" spans="1:51" ht="21" customHeight="1">
      <c r="A50" s="40">
        <v>812678</v>
      </c>
      <c r="B50" s="122" t="s">
        <v>118</v>
      </c>
      <c r="C50" s="58"/>
      <c r="D50" s="58"/>
      <c r="E50" s="58"/>
      <c r="F50" s="43" t="s">
        <v>48</v>
      </c>
      <c r="G50" s="44"/>
      <c r="H50" s="44"/>
      <c r="I50" s="44"/>
      <c r="J50" s="52"/>
      <c r="K50" s="53"/>
      <c r="L50" s="537"/>
      <c r="M50" s="123"/>
      <c r="N50" s="123"/>
      <c r="O50" s="123"/>
      <c r="P50" s="123"/>
      <c r="Q50" s="123"/>
      <c r="R50" s="123"/>
      <c r="S50" s="123"/>
      <c r="T50" s="122"/>
      <c r="U50" s="123"/>
      <c r="V50" s="43">
        <v>44848</v>
      </c>
      <c r="W50" s="43">
        <v>44915</v>
      </c>
      <c r="X50" s="43">
        <v>44864</v>
      </c>
      <c r="Y50" s="43">
        <v>44915</v>
      </c>
      <c r="Z50" s="43"/>
      <c r="AA50" s="43"/>
      <c r="AB50" s="43"/>
      <c r="AC50" s="54"/>
      <c r="AD50" s="43"/>
      <c r="AE50" s="46">
        <v>44921</v>
      </c>
      <c r="AF50" s="46" t="s">
        <v>112</v>
      </c>
      <c r="AG50" s="46">
        <v>44977</v>
      </c>
      <c r="AH50" s="46">
        <v>44985</v>
      </c>
      <c r="AI50" s="46">
        <v>44984</v>
      </c>
      <c r="AJ50" s="46">
        <v>44903</v>
      </c>
      <c r="AK50" s="46">
        <v>44820</v>
      </c>
      <c r="AL50" s="46">
        <v>44972</v>
      </c>
      <c r="AM50" s="46">
        <v>44982</v>
      </c>
      <c r="AN50" s="46">
        <v>44939</v>
      </c>
      <c r="AO50" s="46">
        <v>44967</v>
      </c>
      <c r="AP50" s="46"/>
      <c r="AQ50" s="46">
        <v>44967</v>
      </c>
      <c r="AR50" s="118" t="s">
        <v>115</v>
      </c>
      <c r="AS50" s="118" t="s">
        <v>115</v>
      </c>
      <c r="AT50" s="116">
        <v>44988</v>
      </c>
      <c r="AU50" s="638"/>
      <c r="AV50" s="39"/>
      <c r="AW50" s="39"/>
      <c r="AX50" s="39"/>
      <c r="AY50" s="39"/>
    </row>
    <row r="51" spans="1:51" ht="18.75" customHeight="1">
      <c r="A51" s="127">
        <v>850498</v>
      </c>
      <c r="B51" s="29" t="s">
        <v>119</v>
      </c>
      <c r="C51" s="49" t="s">
        <v>42</v>
      </c>
      <c r="D51" s="49"/>
      <c r="E51" s="49"/>
      <c r="F51" s="31" t="s">
        <v>43</v>
      </c>
      <c r="G51" s="50">
        <v>50</v>
      </c>
      <c r="H51" s="50">
        <v>110</v>
      </c>
      <c r="I51" s="34">
        <v>2</v>
      </c>
      <c r="J51" s="417" t="s">
        <v>120</v>
      </c>
      <c r="K51" s="31" t="s">
        <v>66</v>
      </c>
      <c r="L51" s="161"/>
      <c r="M51" s="30"/>
      <c r="N51" s="30"/>
      <c r="O51" s="30"/>
      <c r="P51" s="30"/>
      <c r="Q51" s="30"/>
      <c r="R51" s="30"/>
      <c r="S51" s="30"/>
      <c r="T51" s="29"/>
      <c r="U51" s="30"/>
      <c r="V51" s="31">
        <v>44971</v>
      </c>
      <c r="W51" s="31">
        <v>44980</v>
      </c>
      <c r="X51" s="31" t="s">
        <v>61</v>
      </c>
      <c r="Y51" s="31"/>
      <c r="Z51" s="31"/>
      <c r="AA51" s="31"/>
      <c r="AB51" s="31" t="s">
        <v>121</v>
      </c>
      <c r="AC51" s="37">
        <v>1</v>
      </c>
      <c r="AD51" s="31"/>
      <c r="AE51" s="86" t="s">
        <v>81</v>
      </c>
      <c r="AF51" s="86" t="s">
        <v>81</v>
      </c>
      <c r="AG51" s="70">
        <v>44980</v>
      </c>
      <c r="AH51" s="70">
        <v>44980</v>
      </c>
      <c r="AI51" s="90">
        <v>44985</v>
      </c>
      <c r="AJ51" s="90" t="s">
        <v>81</v>
      </c>
      <c r="AK51" s="90">
        <v>44965</v>
      </c>
      <c r="AL51" s="90">
        <v>44970</v>
      </c>
      <c r="AM51" s="90">
        <v>44985</v>
      </c>
      <c r="AN51" s="90">
        <v>44965</v>
      </c>
      <c r="AO51" s="90">
        <v>44985</v>
      </c>
      <c r="AP51" s="90"/>
      <c r="AQ51" s="90">
        <v>44985</v>
      </c>
      <c r="AR51" s="90">
        <v>44985</v>
      </c>
      <c r="AS51" s="90">
        <v>44985</v>
      </c>
      <c r="AT51" s="36">
        <v>44993</v>
      </c>
      <c r="AU51" s="638"/>
      <c r="AV51" s="39"/>
      <c r="AW51" s="39"/>
      <c r="AX51" s="39"/>
      <c r="AY51" s="39"/>
    </row>
    <row r="52" spans="1:51" ht="18.75" customHeight="1">
      <c r="A52" s="40">
        <v>850498</v>
      </c>
      <c r="B52" s="41"/>
      <c r="C52" s="42"/>
      <c r="D52" s="42"/>
      <c r="E52" s="42"/>
      <c r="F52" s="43" t="s">
        <v>48</v>
      </c>
      <c r="G52" s="44"/>
      <c r="H52" s="44"/>
      <c r="I52" s="44"/>
      <c r="J52" s="52"/>
      <c r="K52" s="53"/>
      <c r="L52" s="537"/>
      <c r="M52" s="42"/>
      <c r="N52" s="42"/>
      <c r="O52" s="42"/>
      <c r="P52" s="42"/>
      <c r="Q52" s="42"/>
      <c r="R52" s="42"/>
      <c r="S52" s="42"/>
      <c r="T52" s="41"/>
      <c r="U52" s="42"/>
      <c r="V52" s="43">
        <v>44970</v>
      </c>
      <c r="W52" s="43">
        <v>44980</v>
      </c>
      <c r="X52" s="43"/>
      <c r="Y52" s="43"/>
      <c r="Z52" s="43"/>
      <c r="AA52" s="43"/>
      <c r="AB52" s="43"/>
      <c r="AC52" s="54"/>
      <c r="AD52" s="43"/>
      <c r="AE52" s="117" t="s">
        <v>122</v>
      </c>
      <c r="AF52" s="117" t="s">
        <v>122</v>
      </c>
      <c r="AG52" s="118" t="s">
        <v>123</v>
      </c>
      <c r="AH52" s="118" t="s">
        <v>115</v>
      </c>
      <c r="AI52" s="128" t="s">
        <v>124</v>
      </c>
      <c r="AJ52" s="117" t="s">
        <v>122</v>
      </c>
      <c r="AK52" s="129">
        <v>37491</v>
      </c>
      <c r="AL52" s="117" t="s">
        <v>122</v>
      </c>
      <c r="AM52" s="130">
        <v>44994</v>
      </c>
      <c r="AN52" s="116">
        <v>44965</v>
      </c>
      <c r="AO52" s="118" t="s">
        <v>114</v>
      </c>
      <c r="AP52" s="118"/>
      <c r="AQ52" s="118" t="s">
        <v>114</v>
      </c>
      <c r="AR52" s="118" t="s">
        <v>125</v>
      </c>
      <c r="AS52" s="117" t="s">
        <v>126</v>
      </c>
      <c r="AT52" s="129">
        <v>45013</v>
      </c>
      <c r="AU52" s="638"/>
      <c r="AV52" s="39"/>
      <c r="AW52" s="39"/>
      <c r="AX52" s="39"/>
      <c r="AY52" s="39"/>
    </row>
    <row r="53" spans="1:51" ht="21" customHeight="1">
      <c r="A53" s="127">
        <v>812732</v>
      </c>
      <c r="B53" s="29">
        <v>812732</v>
      </c>
      <c r="C53" s="30" t="s">
        <v>55</v>
      </c>
      <c r="D53" s="30">
        <v>70</v>
      </c>
      <c r="E53" s="30">
        <v>20</v>
      </c>
      <c r="F53" s="31" t="s">
        <v>43</v>
      </c>
      <c r="G53" s="33">
        <v>700</v>
      </c>
      <c r="H53" s="33">
        <v>750</v>
      </c>
      <c r="I53" s="34">
        <v>1</v>
      </c>
      <c r="J53" s="424" t="s">
        <v>127</v>
      </c>
      <c r="K53" s="31" t="s">
        <v>45</v>
      </c>
      <c r="L53" s="161"/>
      <c r="M53" s="30"/>
      <c r="N53" s="30"/>
      <c r="O53" s="30"/>
      <c r="P53" s="30"/>
      <c r="Q53" s="30"/>
      <c r="R53" s="30"/>
      <c r="S53" s="30"/>
      <c r="T53" s="29"/>
      <c r="U53" s="30"/>
      <c r="V53" s="66">
        <v>44974</v>
      </c>
      <c r="W53" s="66">
        <v>44995</v>
      </c>
      <c r="X53" s="66">
        <v>44990</v>
      </c>
      <c r="Y53" s="66">
        <v>44990</v>
      </c>
      <c r="Z53" s="66"/>
      <c r="AA53" s="66"/>
      <c r="AB53" s="66"/>
      <c r="AC53" s="37">
        <v>1</v>
      </c>
      <c r="AD53" s="66"/>
      <c r="AE53" s="131" t="s">
        <v>128</v>
      </c>
      <c r="AF53" s="131" t="s">
        <v>129</v>
      </c>
      <c r="AG53" s="131" t="s">
        <v>115</v>
      </c>
      <c r="AH53" s="131" t="s">
        <v>115</v>
      </c>
      <c r="AI53" s="132">
        <v>45008</v>
      </c>
      <c r="AJ53" s="131" t="s">
        <v>130</v>
      </c>
      <c r="AK53" s="131" t="s">
        <v>130</v>
      </c>
      <c r="AL53" s="131" t="s">
        <v>130</v>
      </c>
      <c r="AM53" s="133" t="s">
        <v>130</v>
      </c>
      <c r="AN53" s="131" t="s">
        <v>129</v>
      </c>
      <c r="AO53" s="132">
        <v>44980</v>
      </c>
      <c r="AP53" s="132">
        <v>44981</v>
      </c>
      <c r="AQ53" s="132">
        <v>44980</v>
      </c>
      <c r="AR53" s="124" t="s">
        <v>131</v>
      </c>
      <c r="AS53" s="124" t="s">
        <v>126</v>
      </c>
      <c r="AT53" s="124" t="s">
        <v>132</v>
      </c>
      <c r="AU53" s="638"/>
      <c r="AV53" s="39"/>
      <c r="AW53" s="39"/>
      <c r="AX53" s="39"/>
      <c r="AY53" s="39"/>
    </row>
    <row r="54" spans="1:51" ht="21" customHeight="1" thickBot="1">
      <c r="A54" s="134">
        <v>812732</v>
      </c>
      <c r="B54" s="135"/>
      <c r="C54" s="136">
        <v>898888</v>
      </c>
      <c r="D54" s="136"/>
      <c r="E54" s="136"/>
      <c r="F54" s="137" t="s">
        <v>48</v>
      </c>
      <c r="G54" s="139"/>
      <c r="H54" s="139"/>
      <c r="I54" s="138"/>
      <c r="J54" s="140"/>
      <c r="K54" s="141"/>
      <c r="L54" s="540"/>
      <c r="M54" s="136"/>
      <c r="N54" s="136"/>
      <c r="O54" s="136"/>
      <c r="P54" s="136"/>
      <c r="Q54" s="136"/>
      <c r="R54" s="136"/>
      <c r="S54" s="136"/>
      <c r="T54" s="135"/>
      <c r="U54" s="136"/>
      <c r="V54" s="142">
        <v>44974</v>
      </c>
      <c r="W54" s="142">
        <v>45015</v>
      </c>
      <c r="X54" s="142">
        <v>44990</v>
      </c>
      <c r="Y54" s="142">
        <v>45015</v>
      </c>
      <c r="Z54" s="137"/>
      <c r="AA54" s="137"/>
      <c r="AB54" s="137"/>
      <c r="AC54" s="61"/>
      <c r="AD54" s="61"/>
      <c r="AE54" s="143" t="s">
        <v>128</v>
      </c>
      <c r="AF54" s="143" t="s">
        <v>129</v>
      </c>
      <c r="AG54" s="144">
        <v>44980</v>
      </c>
      <c r="AH54" s="145" t="s">
        <v>133</v>
      </c>
      <c r="AI54" s="145" t="s">
        <v>134</v>
      </c>
      <c r="AJ54" s="146" t="s">
        <v>135</v>
      </c>
      <c r="AK54" s="146" t="s">
        <v>135</v>
      </c>
      <c r="AL54" s="147">
        <v>44980</v>
      </c>
      <c r="AM54" s="145" t="s">
        <v>136</v>
      </c>
      <c r="AN54" s="143" t="s">
        <v>114</v>
      </c>
      <c r="AO54" s="145"/>
      <c r="AP54" s="145" t="s">
        <v>137</v>
      </c>
      <c r="AQ54" s="118"/>
      <c r="AR54" s="145" t="s">
        <v>138</v>
      </c>
      <c r="AS54" s="145" t="s">
        <v>132</v>
      </c>
      <c r="AT54" s="145" t="s">
        <v>139</v>
      </c>
      <c r="AU54" s="639"/>
      <c r="AV54" s="39"/>
      <c r="AW54" s="39"/>
      <c r="AX54" s="39"/>
      <c r="AY54" s="39"/>
    </row>
    <row r="55" spans="1:51" ht="16.5" customHeight="1" thickBot="1">
      <c r="A55" s="100"/>
      <c r="B55" s="24"/>
      <c r="C55" s="24"/>
      <c r="D55" s="24"/>
      <c r="E55" s="24"/>
      <c r="F55" s="101"/>
      <c r="G55" s="24"/>
      <c r="H55" s="24"/>
      <c r="I55" s="24"/>
      <c r="J55" s="422"/>
      <c r="K55" s="101"/>
      <c r="L55" s="101"/>
      <c r="M55" s="24"/>
      <c r="N55" s="24"/>
      <c r="O55" s="24"/>
      <c r="P55" s="24"/>
      <c r="Q55" s="24"/>
      <c r="R55" s="24"/>
      <c r="S55" s="24"/>
      <c r="T55" s="24"/>
      <c r="U55" s="24"/>
      <c r="V55" s="101"/>
      <c r="W55" s="101"/>
      <c r="X55" s="101"/>
      <c r="Y55" s="101"/>
      <c r="Z55" s="24"/>
      <c r="AA55" s="24"/>
      <c r="AB55" s="24"/>
      <c r="AC55" s="24"/>
      <c r="AD55" s="24"/>
      <c r="AE55" s="148"/>
      <c r="AF55" s="148"/>
      <c r="AG55" s="148"/>
      <c r="AH55" s="148"/>
      <c r="AI55" s="148"/>
      <c r="AJ55" s="148"/>
      <c r="AK55" s="148"/>
      <c r="AL55" s="148"/>
      <c r="AM55" s="148"/>
      <c r="AN55" s="148"/>
      <c r="AO55" s="148"/>
      <c r="AP55" s="148"/>
      <c r="AQ55" s="148"/>
      <c r="AR55" s="148"/>
      <c r="AS55" s="148"/>
      <c r="AT55" s="148"/>
      <c r="AU55" s="26"/>
      <c r="AV55" s="27"/>
      <c r="AW55" s="27"/>
      <c r="AX55" s="27"/>
      <c r="AY55" s="27"/>
    </row>
    <row r="56" spans="1:51" ht="18.75" customHeight="1">
      <c r="A56" s="149">
        <v>812689</v>
      </c>
      <c r="B56" s="29" t="s">
        <v>140</v>
      </c>
      <c r="C56" s="30" t="s">
        <v>42</v>
      </c>
      <c r="D56" s="30"/>
      <c r="E56" s="30"/>
      <c r="F56" s="31" t="s">
        <v>43</v>
      </c>
      <c r="G56" s="50">
        <v>334</v>
      </c>
      <c r="H56" s="50">
        <v>500</v>
      </c>
      <c r="I56" s="34">
        <v>3</v>
      </c>
      <c r="J56" s="425" t="s">
        <v>141</v>
      </c>
      <c r="K56" s="31" t="s">
        <v>77</v>
      </c>
      <c r="L56" s="161"/>
      <c r="M56" s="30"/>
      <c r="N56" s="30"/>
      <c r="O56" s="30"/>
      <c r="P56" s="30"/>
      <c r="Q56" s="30"/>
      <c r="R56" s="30"/>
      <c r="S56" s="30"/>
      <c r="T56" s="29"/>
      <c r="U56" s="30"/>
      <c r="V56" s="36">
        <v>44851</v>
      </c>
      <c r="W56" s="36">
        <v>45280</v>
      </c>
      <c r="X56" s="36">
        <v>44854</v>
      </c>
      <c r="Y56" s="36">
        <v>45280</v>
      </c>
      <c r="Z56" s="31"/>
      <c r="AA56" s="31"/>
      <c r="AB56" s="31"/>
      <c r="AC56" s="37"/>
      <c r="AD56" s="31"/>
      <c r="AE56" s="90">
        <v>44986</v>
      </c>
      <c r="AF56" s="90">
        <v>44994</v>
      </c>
      <c r="AG56" s="90">
        <v>44994</v>
      </c>
      <c r="AH56" s="90">
        <v>44995</v>
      </c>
      <c r="AI56" s="90">
        <v>44998</v>
      </c>
      <c r="AJ56" s="90">
        <v>44970</v>
      </c>
      <c r="AK56" s="90">
        <v>44970</v>
      </c>
      <c r="AL56" s="90">
        <v>44998</v>
      </c>
      <c r="AM56" s="90">
        <v>44998</v>
      </c>
      <c r="AN56" s="90">
        <v>44944</v>
      </c>
      <c r="AO56" s="90">
        <v>44979</v>
      </c>
      <c r="AP56" s="90"/>
      <c r="AQ56" s="90">
        <v>44979</v>
      </c>
      <c r="AR56" s="90">
        <v>44998</v>
      </c>
      <c r="AS56" s="90">
        <v>44998</v>
      </c>
      <c r="AT56" s="90">
        <v>45000</v>
      </c>
      <c r="AU56" s="150"/>
      <c r="AV56" s="151"/>
      <c r="AW56" s="151"/>
      <c r="AX56" s="151"/>
      <c r="AY56" s="151"/>
    </row>
    <row r="57" spans="1:51" ht="18.75" customHeight="1">
      <c r="A57" s="40">
        <v>812689</v>
      </c>
      <c r="B57" s="41"/>
      <c r="C57" s="42"/>
      <c r="D57" s="42"/>
      <c r="E57" s="42"/>
      <c r="F57" s="43" t="s">
        <v>48</v>
      </c>
      <c r="G57" s="44"/>
      <c r="H57" s="44"/>
      <c r="I57" s="44"/>
      <c r="J57" s="52"/>
      <c r="K57" s="53"/>
      <c r="L57" s="537"/>
      <c r="M57" s="42"/>
      <c r="N57" s="42"/>
      <c r="O57" s="42"/>
      <c r="P57" s="42"/>
      <c r="Q57" s="42"/>
      <c r="R57" s="42"/>
      <c r="S57" s="42"/>
      <c r="T57" s="41"/>
      <c r="U57" s="42"/>
      <c r="V57" s="46">
        <v>44851</v>
      </c>
      <c r="W57" s="46">
        <v>45280</v>
      </c>
      <c r="X57" s="46">
        <v>44126</v>
      </c>
      <c r="Y57" s="46">
        <v>45280</v>
      </c>
      <c r="Z57" s="43"/>
      <c r="AA57" s="43"/>
      <c r="AB57" s="43"/>
      <c r="AC57" s="54"/>
      <c r="AD57" s="43"/>
      <c r="AE57" s="116">
        <v>37675</v>
      </c>
      <c r="AF57" s="130" t="s">
        <v>131</v>
      </c>
      <c r="AG57" s="130" t="s">
        <v>142</v>
      </c>
      <c r="AH57" s="130" t="s">
        <v>143</v>
      </c>
      <c r="AI57" s="130" t="s">
        <v>144</v>
      </c>
      <c r="AJ57" s="116" t="s">
        <v>102</v>
      </c>
      <c r="AK57" s="116" t="s">
        <v>102</v>
      </c>
      <c r="AL57" s="116" t="s">
        <v>131</v>
      </c>
      <c r="AM57" s="116" t="s">
        <v>131</v>
      </c>
      <c r="AN57" s="116" t="s">
        <v>145</v>
      </c>
      <c r="AO57" s="116" t="s">
        <v>146</v>
      </c>
      <c r="AP57" s="116"/>
      <c r="AQ57" s="116" t="s">
        <v>146</v>
      </c>
      <c r="AR57" s="130" t="s">
        <v>143</v>
      </c>
      <c r="AS57" s="130" t="s">
        <v>147</v>
      </c>
      <c r="AT57" s="116" t="s">
        <v>148</v>
      </c>
      <c r="AU57" s="150"/>
      <c r="AV57" s="151"/>
      <c r="AW57" s="151"/>
      <c r="AX57" s="151"/>
      <c r="AY57" s="151"/>
    </row>
    <row r="58" spans="1:51" ht="18.75" customHeight="1">
      <c r="A58" s="152">
        <v>812620</v>
      </c>
      <c r="B58" s="29">
        <v>812620</v>
      </c>
      <c r="C58" s="104" t="s">
        <v>55</v>
      </c>
      <c r="D58" s="153">
        <v>0.7</v>
      </c>
      <c r="E58" s="154">
        <v>0.4</v>
      </c>
      <c r="F58" s="31" t="s">
        <v>43</v>
      </c>
      <c r="G58" s="33">
        <v>180</v>
      </c>
      <c r="H58" s="33">
        <v>220</v>
      </c>
      <c r="I58" s="34">
        <v>1</v>
      </c>
      <c r="J58" s="282" t="s">
        <v>149</v>
      </c>
      <c r="K58" s="31" t="s">
        <v>50</v>
      </c>
      <c r="L58" s="157"/>
      <c r="M58" s="97"/>
      <c r="N58" s="97"/>
      <c r="O58" s="97"/>
      <c r="P58" s="97"/>
      <c r="Q58" s="97"/>
      <c r="R58" s="97"/>
      <c r="S58" s="97"/>
      <c r="T58" s="96"/>
      <c r="U58" s="97"/>
      <c r="V58" s="36">
        <v>44865</v>
      </c>
      <c r="W58" s="36">
        <v>44895</v>
      </c>
      <c r="X58" s="36">
        <v>44872</v>
      </c>
      <c r="Y58" s="36">
        <v>44895</v>
      </c>
      <c r="Z58" s="31"/>
      <c r="AA58" s="31"/>
      <c r="AB58" s="31"/>
      <c r="AC58" s="37"/>
      <c r="AD58" s="31"/>
      <c r="AE58" s="90">
        <v>44987</v>
      </c>
      <c r="AF58" s="36">
        <v>44999</v>
      </c>
      <c r="AG58" s="36">
        <v>44999</v>
      </c>
      <c r="AH58" s="36">
        <v>44999</v>
      </c>
      <c r="AI58" s="36">
        <v>45000</v>
      </c>
      <c r="AJ58" s="36">
        <v>44944</v>
      </c>
      <c r="AK58" s="36">
        <v>44985</v>
      </c>
      <c r="AL58" s="36">
        <v>45000</v>
      </c>
      <c r="AM58" s="36">
        <v>45000</v>
      </c>
      <c r="AN58" s="90">
        <v>44944</v>
      </c>
      <c r="AO58" s="36">
        <v>44979</v>
      </c>
      <c r="AP58" s="36"/>
      <c r="AQ58" s="36">
        <v>44979</v>
      </c>
      <c r="AR58" s="36">
        <v>45000</v>
      </c>
      <c r="AS58" s="36">
        <v>45000</v>
      </c>
      <c r="AT58" s="36">
        <v>45005</v>
      </c>
      <c r="AU58" s="150"/>
      <c r="AV58" s="151"/>
      <c r="AW58" s="151"/>
      <c r="AX58" s="151"/>
      <c r="AY58" s="151"/>
    </row>
    <row r="59" spans="1:51" ht="18" customHeight="1">
      <c r="A59" s="40">
        <f>IF(A58="","",A58)</f>
        <v>812620</v>
      </c>
      <c r="B59" s="41"/>
      <c r="C59" s="42">
        <v>812618</v>
      </c>
      <c r="D59" s="155"/>
      <c r="E59" s="155"/>
      <c r="F59" s="43" t="s">
        <v>48</v>
      </c>
      <c r="G59" s="59"/>
      <c r="H59" s="59"/>
      <c r="I59" s="44"/>
      <c r="J59" s="52"/>
      <c r="K59" s="53"/>
      <c r="L59" s="537"/>
      <c r="M59" s="42"/>
      <c r="N59" s="42"/>
      <c r="O59" s="42"/>
      <c r="P59" s="42"/>
      <c r="Q59" s="42"/>
      <c r="R59" s="42"/>
      <c r="S59" s="42"/>
      <c r="T59" s="41"/>
      <c r="U59" s="42"/>
      <c r="V59" s="46">
        <v>44865</v>
      </c>
      <c r="W59" s="46">
        <v>44895</v>
      </c>
      <c r="X59" s="46">
        <v>44872</v>
      </c>
      <c r="Y59" s="46">
        <v>44895</v>
      </c>
      <c r="Z59" s="43"/>
      <c r="AA59" s="43"/>
      <c r="AB59" s="43"/>
      <c r="AC59" s="54"/>
      <c r="AD59" s="43"/>
      <c r="AE59" s="116">
        <v>44980</v>
      </c>
      <c r="AF59" s="118" t="s">
        <v>150</v>
      </c>
      <c r="AG59" s="118" t="s">
        <v>150</v>
      </c>
      <c r="AH59" s="118" t="s">
        <v>151</v>
      </c>
      <c r="AI59" s="118" t="s">
        <v>126</v>
      </c>
      <c r="AJ59" s="118" t="s">
        <v>152</v>
      </c>
      <c r="AK59" s="118" t="s">
        <v>115</v>
      </c>
      <c r="AL59" s="116">
        <v>44980</v>
      </c>
      <c r="AM59" s="118" t="s">
        <v>126</v>
      </c>
      <c r="AN59" s="118" t="s">
        <v>145</v>
      </c>
      <c r="AO59" s="118" t="s">
        <v>114</v>
      </c>
      <c r="AP59" s="118"/>
      <c r="AQ59" s="118" t="s">
        <v>114</v>
      </c>
      <c r="AR59" s="118" t="s">
        <v>151</v>
      </c>
      <c r="AS59" s="116">
        <v>45000</v>
      </c>
      <c r="AT59" s="156">
        <v>45005</v>
      </c>
      <c r="AU59" s="150"/>
      <c r="AV59" s="151"/>
      <c r="AW59" s="151"/>
      <c r="AX59" s="151"/>
      <c r="AY59" s="151"/>
    </row>
    <row r="60" spans="1:51" ht="18" customHeight="1">
      <c r="A60" s="149">
        <v>812720</v>
      </c>
      <c r="B60" s="80"/>
      <c r="C60" s="30" t="s">
        <v>42</v>
      </c>
      <c r="D60" s="153"/>
      <c r="E60" s="153"/>
      <c r="F60" s="31" t="s">
        <v>43</v>
      </c>
      <c r="G60" s="33">
        <v>300</v>
      </c>
      <c r="H60" s="33">
        <v>220</v>
      </c>
      <c r="I60" s="34">
        <v>4</v>
      </c>
      <c r="J60" s="426" t="s">
        <v>153</v>
      </c>
      <c r="K60" s="81" t="s">
        <v>154</v>
      </c>
      <c r="L60" s="538"/>
      <c r="M60" s="82"/>
      <c r="N60" s="82"/>
      <c r="O60" s="82"/>
      <c r="P60" s="82"/>
      <c r="Q60" s="82"/>
      <c r="R60" s="82"/>
      <c r="S60" s="82"/>
      <c r="T60" s="83"/>
      <c r="U60" s="82"/>
      <c r="V60" s="36" t="s">
        <v>155</v>
      </c>
      <c r="W60" s="36">
        <v>44911</v>
      </c>
      <c r="X60" s="36">
        <v>44811</v>
      </c>
      <c r="Y60" s="36">
        <v>44932</v>
      </c>
      <c r="Z60" s="157" t="s">
        <v>52</v>
      </c>
      <c r="AA60" s="66"/>
      <c r="AB60" s="66"/>
      <c r="AC60" s="37"/>
      <c r="AD60" s="31" t="s">
        <v>72</v>
      </c>
      <c r="AE60" s="90">
        <v>44987</v>
      </c>
      <c r="AF60" s="90">
        <v>45007</v>
      </c>
      <c r="AG60" s="90">
        <v>45007</v>
      </c>
      <c r="AH60" s="90">
        <v>45008</v>
      </c>
      <c r="AI60" s="36">
        <v>45012</v>
      </c>
      <c r="AJ60" s="36">
        <v>44977</v>
      </c>
      <c r="AK60" s="36">
        <v>44977</v>
      </c>
      <c r="AL60" s="36">
        <v>45012</v>
      </c>
      <c r="AM60" s="36">
        <v>44995</v>
      </c>
      <c r="AN60" s="91">
        <v>44977</v>
      </c>
      <c r="AO60" s="36">
        <v>45008</v>
      </c>
      <c r="AP60" s="36"/>
      <c r="AQ60" s="36">
        <v>45008</v>
      </c>
      <c r="AR60" s="51">
        <v>45016</v>
      </c>
      <c r="AS60" s="51">
        <v>45016</v>
      </c>
      <c r="AT60" s="51">
        <v>45022</v>
      </c>
      <c r="AU60" s="150"/>
      <c r="AV60" s="151"/>
      <c r="AW60" s="151"/>
      <c r="AX60" s="151"/>
      <c r="AY60" s="151"/>
    </row>
    <row r="61" spans="1:51" ht="21" customHeight="1">
      <c r="A61" s="40">
        <v>812720</v>
      </c>
      <c r="B61" s="41" t="s">
        <v>156</v>
      </c>
      <c r="C61" s="42"/>
      <c r="D61" s="155"/>
      <c r="E61" s="155"/>
      <c r="F61" s="43" t="s">
        <v>48</v>
      </c>
      <c r="G61" s="59"/>
      <c r="H61" s="59"/>
      <c r="I61" s="44"/>
      <c r="J61" s="52"/>
      <c r="K61" s="53"/>
      <c r="L61" s="537"/>
      <c r="M61" s="42"/>
      <c r="N61" s="42"/>
      <c r="O61" s="42"/>
      <c r="P61" s="42"/>
      <c r="Q61" s="42"/>
      <c r="R61" s="42"/>
      <c r="S61" s="42"/>
      <c r="T61" s="41"/>
      <c r="U61" s="42"/>
      <c r="V61" s="46" t="s">
        <v>155</v>
      </c>
      <c r="W61" s="46">
        <v>44911</v>
      </c>
      <c r="X61" s="46">
        <v>44811</v>
      </c>
      <c r="Y61" s="46">
        <v>44932</v>
      </c>
      <c r="Z61" s="158"/>
      <c r="AA61" s="43"/>
      <c r="AB61" s="43"/>
      <c r="AC61" s="54"/>
      <c r="AD61" s="43"/>
      <c r="AE61" s="116">
        <v>44980</v>
      </c>
      <c r="AF61" s="118" t="s">
        <v>157</v>
      </c>
      <c r="AG61" s="130">
        <v>45009</v>
      </c>
      <c r="AH61" s="159" t="s">
        <v>132</v>
      </c>
      <c r="AI61" s="118" t="s">
        <v>158</v>
      </c>
      <c r="AJ61" s="118" t="s">
        <v>159</v>
      </c>
      <c r="AK61" s="118" t="s">
        <v>159</v>
      </c>
      <c r="AL61" s="118" t="s">
        <v>160</v>
      </c>
      <c r="AM61" s="118" t="s">
        <v>144</v>
      </c>
      <c r="AN61" s="118" t="s">
        <v>159</v>
      </c>
      <c r="AO61" s="116">
        <v>44979</v>
      </c>
      <c r="AP61" s="116"/>
      <c r="AQ61" s="116">
        <v>44979</v>
      </c>
      <c r="AR61" s="116">
        <v>45016</v>
      </c>
      <c r="AS61" s="116">
        <v>45016</v>
      </c>
      <c r="AT61" s="116">
        <v>45022</v>
      </c>
      <c r="AU61" s="47" t="s">
        <v>161</v>
      </c>
      <c r="AV61" s="39"/>
      <c r="AW61" s="39"/>
      <c r="AX61" s="39"/>
      <c r="AY61" s="39"/>
    </row>
    <row r="62" spans="1:51" ht="21" customHeight="1">
      <c r="A62" s="160">
        <v>812733</v>
      </c>
      <c r="B62" s="29">
        <v>812733</v>
      </c>
      <c r="C62" s="30" t="s">
        <v>162</v>
      </c>
      <c r="D62" s="153">
        <v>0.9</v>
      </c>
      <c r="E62" s="153">
        <v>0.1</v>
      </c>
      <c r="F62" s="31" t="s">
        <v>43</v>
      </c>
      <c r="G62" s="33">
        <v>700</v>
      </c>
      <c r="H62" s="33">
        <v>750</v>
      </c>
      <c r="I62" s="34">
        <v>2</v>
      </c>
      <c r="J62" s="424" t="s">
        <v>127</v>
      </c>
      <c r="K62" s="31" t="s">
        <v>45</v>
      </c>
      <c r="L62" s="161"/>
      <c r="M62" s="30"/>
      <c r="N62" s="30"/>
      <c r="O62" s="30"/>
      <c r="P62" s="30"/>
      <c r="Q62" s="30"/>
      <c r="R62" s="30"/>
      <c r="S62" s="30"/>
      <c r="T62" s="29"/>
      <c r="U62" s="30"/>
      <c r="V62" s="36">
        <v>44985</v>
      </c>
      <c r="W62" s="36">
        <v>45000</v>
      </c>
      <c r="X62" s="36">
        <v>44990</v>
      </c>
      <c r="Y62" s="36">
        <v>45000</v>
      </c>
      <c r="Z62" s="161"/>
      <c r="AA62" s="31"/>
      <c r="AB62" s="31"/>
      <c r="AC62" s="37"/>
      <c r="AD62" s="31"/>
      <c r="AE62" s="124" t="s">
        <v>128</v>
      </c>
      <c r="AF62" s="124" t="s">
        <v>129</v>
      </c>
      <c r="AG62" s="132">
        <v>44980</v>
      </c>
      <c r="AH62" s="132">
        <v>44980</v>
      </c>
      <c r="AI62" s="36">
        <v>45008</v>
      </c>
      <c r="AJ62" s="162">
        <v>44980</v>
      </c>
      <c r="AK62" s="162">
        <v>44980</v>
      </c>
      <c r="AL62" s="163">
        <v>45015</v>
      </c>
      <c r="AM62" s="38">
        <v>45022</v>
      </c>
      <c r="AN62" s="162">
        <v>44980</v>
      </c>
      <c r="AO62" s="164" t="s">
        <v>163</v>
      </c>
      <c r="AP62" s="164"/>
      <c r="AQ62" s="164" t="s">
        <v>163</v>
      </c>
      <c r="AR62" s="51">
        <v>45020</v>
      </c>
      <c r="AS62" s="51">
        <v>45020</v>
      </c>
      <c r="AT62" s="51">
        <v>45022</v>
      </c>
      <c r="AU62" s="150"/>
      <c r="AV62" s="151"/>
      <c r="AW62" s="151"/>
      <c r="AX62" s="151"/>
      <c r="AY62" s="151"/>
    </row>
    <row r="63" spans="1:51" ht="21" customHeight="1">
      <c r="A63" s="40">
        <v>812733</v>
      </c>
      <c r="B63" s="41"/>
      <c r="C63" s="42">
        <v>812732</v>
      </c>
      <c r="D63" s="155"/>
      <c r="E63" s="155"/>
      <c r="F63" s="43" t="s">
        <v>48</v>
      </c>
      <c r="G63" s="59"/>
      <c r="H63" s="59"/>
      <c r="I63" s="44"/>
      <c r="J63" s="52"/>
      <c r="K63" s="53"/>
      <c r="L63" s="537"/>
      <c r="M63" s="42"/>
      <c r="N63" s="42"/>
      <c r="O63" s="42"/>
      <c r="P63" s="42"/>
      <c r="Q63" s="42"/>
      <c r="R63" s="42"/>
      <c r="S63" s="42"/>
      <c r="T63" s="41"/>
      <c r="U63" s="42"/>
      <c r="V63" s="46">
        <v>44985</v>
      </c>
      <c r="W63" s="46">
        <v>45000</v>
      </c>
      <c r="X63" s="46">
        <v>44990</v>
      </c>
      <c r="Y63" s="46">
        <v>45000</v>
      </c>
      <c r="Z63" s="158"/>
      <c r="AA63" s="43"/>
      <c r="AB63" s="43"/>
      <c r="AC63" s="54"/>
      <c r="AD63" s="43"/>
      <c r="AE63" s="118" t="s">
        <v>128</v>
      </c>
      <c r="AF63" s="118" t="s">
        <v>129</v>
      </c>
      <c r="AG63" s="118" t="s">
        <v>130</v>
      </c>
      <c r="AH63" s="117" t="s">
        <v>133</v>
      </c>
      <c r="AI63" s="165">
        <v>45019</v>
      </c>
      <c r="AJ63" s="117" t="s">
        <v>110</v>
      </c>
      <c r="AK63" s="117" t="s">
        <v>110</v>
      </c>
      <c r="AL63" s="166">
        <v>45015</v>
      </c>
      <c r="AM63" s="129">
        <v>45022</v>
      </c>
      <c r="AN63" s="118" t="s">
        <v>114</v>
      </c>
      <c r="AO63" s="118" t="s">
        <v>130</v>
      </c>
      <c r="AP63" s="118"/>
      <c r="AQ63" s="118" t="s">
        <v>130</v>
      </c>
      <c r="AR63" s="116">
        <v>45020</v>
      </c>
      <c r="AS63" s="116">
        <v>45020</v>
      </c>
      <c r="AT63" s="116">
        <v>45022</v>
      </c>
      <c r="AU63" s="150"/>
      <c r="AV63" s="151"/>
      <c r="AW63" s="151"/>
      <c r="AX63" s="151"/>
      <c r="AY63" s="151"/>
    </row>
    <row r="64" spans="1:51" ht="18.75" customHeight="1">
      <c r="A64" s="55">
        <v>812709</v>
      </c>
      <c r="B64" s="29">
        <v>812709</v>
      </c>
      <c r="C64" s="167" t="s">
        <v>55</v>
      </c>
      <c r="D64" s="168">
        <v>0.7</v>
      </c>
      <c r="E64" s="168">
        <v>0.4</v>
      </c>
      <c r="F64" s="31" t="s">
        <v>43</v>
      </c>
      <c r="G64" s="33">
        <v>240</v>
      </c>
      <c r="H64" s="33">
        <v>220</v>
      </c>
      <c r="I64" s="34">
        <v>1</v>
      </c>
      <c r="J64" s="427" t="s">
        <v>164</v>
      </c>
      <c r="K64" s="81" t="s">
        <v>165</v>
      </c>
      <c r="L64" s="538"/>
      <c r="M64" s="30"/>
      <c r="N64" s="30"/>
      <c r="O64" s="30"/>
      <c r="P64" s="30"/>
      <c r="Q64" s="30"/>
      <c r="R64" s="30"/>
      <c r="S64" s="30"/>
      <c r="T64" s="29"/>
      <c r="U64" s="30"/>
      <c r="V64" s="36" t="s">
        <v>166</v>
      </c>
      <c r="W64" s="36">
        <v>45031</v>
      </c>
      <c r="X64" s="36">
        <v>44973</v>
      </c>
      <c r="Y64" s="36">
        <v>45031</v>
      </c>
      <c r="Z64" s="161"/>
      <c r="AA64" s="31"/>
      <c r="AB64" s="31"/>
      <c r="AC64" s="37"/>
      <c r="AD64" s="31"/>
      <c r="AE64" s="36">
        <v>44991</v>
      </c>
      <c r="AF64" s="124" t="s">
        <v>144</v>
      </c>
      <c r="AG64" s="124" t="s">
        <v>144</v>
      </c>
      <c r="AH64" s="124" t="s">
        <v>144</v>
      </c>
      <c r="AI64" s="38" t="s">
        <v>167</v>
      </c>
      <c r="AJ64" s="36" t="s">
        <v>168</v>
      </c>
      <c r="AK64" s="36">
        <v>44980</v>
      </c>
      <c r="AL64" s="38" t="s">
        <v>169</v>
      </c>
      <c r="AM64" s="38" t="s">
        <v>169</v>
      </c>
      <c r="AN64" s="162" t="s">
        <v>170</v>
      </c>
      <c r="AO64" s="162" t="s">
        <v>170</v>
      </c>
      <c r="AP64" s="132"/>
      <c r="AQ64" s="162" t="s">
        <v>170</v>
      </c>
      <c r="AR64" s="51">
        <v>45016</v>
      </c>
      <c r="AS64" s="51">
        <v>45016</v>
      </c>
      <c r="AT64" s="51">
        <v>45024</v>
      </c>
      <c r="AU64" s="150"/>
      <c r="AV64" s="151"/>
      <c r="AW64" s="151"/>
      <c r="AX64" s="151"/>
      <c r="AY64" s="151"/>
    </row>
    <row r="65" spans="1:51" ht="18" customHeight="1">
      <c r="A65" s="40">
        <v>812709</v>
      </c>
      <c r="B65" s="41"/>
      <c r="C65" s="42">
        <v>812693</v>
      </c>
      <c r="D65" s="155"/>
      <c r="E65" s="155"/>
      <c r="F65" s="43" t="s">
        <v>48</v>
      </c>
      <c r="G65" s="59"/>
      <c r="H65" s="59"/>
      <c r="I65" s="44"/>
      <c r="J65" s="52"/>
      <c r="K65" s="53"/>
      <c r="L65" s="537"/>
      <c r="M65" s="42"/>
      <c r="N65" s="42"/>
      <c r="O65" s="42"/>
      <c r="P65" s="42"/>
      <c r="Q65" s="42"/>
      <c r="R65" s="42"/>
      <c r="S65" s="42"/>
      <c r="T65" s="41"/>
      <c r="U65" s="42"/>
      <c r="V65" s="46">
        <v>45265</v>
      </c>
      <c r="W65" s="46">
        <v>45031</v>
      </c>
      <c r="X65" s="46">
        <v>44973</v>
      </c>
      <c r="Y65" s="46">
        <v>45031</v>
      </c>
      <c r="Z65" s="158"/>
      <c r="AA65" s="43"/>
      <c r="AB65" s="43"/>
      <c r="AC65" s="54"/>
      <c r="AD65" s="43"/>
      <c r="AE65" s="116">
        <v>37795</v>
      </c>
      <c r="AF65" s="118" t="s">
        <v>144</v>
      </c>
      <c r="AG65" s="118" t="s">
        <v>139</v>
      </c>
      <c r="AH65" s="118" t="s">
        <v>139</v>
      </c>
      <c r="AI65" s="118" t="s">
        <v>169</v>
      </c>
      <c r="AJ65" s="118" t="s">
        <v>110</v>
      </c>
      <c r="AK65" s="118" t="s">
        <v>110</v>
      </c>
      <c r="AL65" s="169">
        <v>45016</v>
      </c>
      <c r="AM65" s="118" t="s">
        <v>169</v>
      </c>
      <c r="AN65" s="118" t="s">
        <v>170</v>
      </c>
      <c r="AO65" s="118" t="s">
        <v>171</v>
      </c>
      <c r="AP65" s="118"/>
      <c r="AQ65" s="118" t="s">
        <v>171</v>
      </c>
      <c r="AR65" s="116">
        <v>45016</v>
      </c>
      <c r="AS65" s="170">
        <v>45019</v>
      </c>
      <c r="AT65" s="116">
        <v>45024</v>
      </c>
      <c r="AU65" s="150"/>
      <c r="AV65" s="151"/>
      <c r="AW65" s="151"/>
      <c r="AX65" s="151"/>
      <c r="AY65" s="151"/>
    </row>
    <row r="66" spans="1:51" ht="21.75" customHeight="1">
      <c r="A66" s="160">
        <v>812761</v>
      </c>
      <c r="B66" s="29" t="s">
        <v>172</v>
      </c>
      <c r="C66" s="30" t="s">
        <v>173</v>
      </c>
      <c r="D66" s="153">
        <v>0.9</v>
      </c>
      <c r="E66" s="153">
        <v>0.3</v>
      </c>
      <c r="F66" s="31" t="s">
        <v>43</v>
      </c>
      <c r="G66" s="33">
        <v>700</v>
      </c>
      <c r="H66" s="33">
        <v>750</v>
      </c>
      <c r="I66" s="34">
        <v>3</v>
      </c>
      <c r="J66" s="329" t="s">
        <v>174</v>
      </c>
      <c r="K66" s="31"/>
      <c r="L66" s="161"/>
      <c r="M66" s="30"/>
      <c r="N66" s="30"/>
      <c r="O66" s="30"/>
      <c r="P66" s="30"/>
      <c r="Q66" s="30"/>
      <c r="R66" s="30"/>
      <c r="S66" s="30"/>
      <c r="T66" s="29"/>
      <c r="U66" s="30"/>
      <c r="V66" s="36">
        <v>45015</v>
      </c>
      <c r="W66" s="36">
        <v>45026</v>
      </c>
      <c r="X66" s="36">
        <v>45015</v>
      </c>
      <c r="Y66" s="36">
        <v>45046</v>
      </c>
      <c r="Z66" s="161"/>
      <c r="AA66" s="31"/>
      <c r="AB66" s="31"/>
      <c r="AC66" s="37"/>
      <c r="AD66" s="31"/>
      <c r="AE66" s="132">
        <v>45012</v>
      </c>
      <c r="AF66" s="132">
        <v>45012</v>
      </c>
      <c r="AG66" s="132">
        <v>45012</v>
      </c>
      <c r="AH66" s="132">
        <v>45012</v>
      </c>
      <c r="AI66" s="36">
        <v>45022</v>
      </c>
      <c r="AJ66" s="132">
        <v>45012</v>
      </c>
      <c r="AK66" s="132">
        <v>45012</v>
      </c>
      <c r="AL66" s="51">
        <v>45019</v>
      </c>
      <c r="AM66" s="51">
        <v>45019</v>
      </c>
      <c r="AN66" s="38">
        <v>45012</v>
      </c>
      <c r="AO66" s="38">
        <v>45012</v>
      </c>
      <c r="AP66" s="38"/>
      <c r="AQ66" s="38">
        <v>45012</v>
      </c>
      <c r="AR66" s="51" t="s">
        <v>175</v>
      </c>
      <c r="AS66" s="51">
        <v>45022</v>
      </c>
      <c r="AT66" s="51">
        <v>45026</v>
      </c>
      <c r="AU66" s="150"/>
      <c r="AV66" s="151"/>
      <c r="AW66" s="151"/>
      <c r="AX66" s="151"/>
      <c r="AY66" s="151"/>
    </row>
    <row r="67" spans="1:51" ht="19.5" customHeight="1">
      <c r="A67" s="40">
        <v>812761</v>
      </c>
      <c r="B67" s="41"/>
      <c r="C67" s="42">
        <v>898888</v>
      </c>
      <c r="D67" s="42"/>
      <c r="E67" s="42"/>
      <c r="F67" s="43" t="s">
        <v>48</v>
      </c>
      <c r="G67" s="59"/>
      <c r="H67" s="59"/>
      <c r="I67" s="44"/>
      <c r="J67" s="52"/>
      <c r="K67" s="53"/>
      <c r="L67" s="537"/>
      <c r="M67" s="42"/>
      <c r="N67" s="42"/>
      <c r="O67" s="42"/>
      <c r="P67" s="42"/>
      <c r="Q67" s="42"/>
      <c r="R67" s="42"/>
      <c r="S67" s="42"/>
      <c r="T67" s="41"/>
      <c r="U67" s="42"/>
      <c r="V67" s="46">
        <v>45010</v>
      </c>
      <c r="W67" s="46">
        <v>45026</v>
      </c>
      <c r="X67" s="46">
        <v>45015</v>
      </c>
      <c r="Y67" s="46">
        <v>45051</v>
      </c>
      <c r="Z67" s="158"/>
      <c r="AA67" s="43"/>
      <c r="AB67" s="43"/>
      <c r="AC67" s="54"/>
      <c r="AD67" s="43"/>
      <c r="AE67" s="118" t="s">
        <v>139</v>
      </c>
      <c r="AF67" s="118" t="s">
        <v>139</v>
      </c>
      <c r="AG67" s="118" t="s">
        <v>139</v>
      </c>
      <c r="AH67" s="118" t="s">
        <v>139</v>
      </c>
      <c r="AI67" s="116">
        <v>45022</v>
      </c>
      <c r="AJ67" s="117" t="s">
        <v>144</v>
      </c>
      <c r="AK67" s="117" t="s">
        <v>144</v>
      </c>
      <c r="AL67" s="116">
        <v>45008</v>
      </c>
      <c r="AM67" s="116">
        <v>45008</v>
      </c>
      <c r="AN67" s="118" t="s">
        <v>144</v>
      </c>
      <c r="AO67" s="170">
        <v>45012</v>
      </c>
      <c r="AP67" s="170"/>
      <c r="AQ67" s="170">
        <v>45012</v>
      </c>
      <c r="AR67" s="169">
        <v>45021</v>
      </c>
      <c r="AS67" s="169">
        <v>45022</v>
      </c>
      <c r="AT67" s="169">
        <v>45026</v>
      </c>
      <c r="AU67" s="171"/>
      <c r="AV67" s="151"/>
      <c r="AW67" s="151"/>
      <c r="AX67" s="151"/>
      <c r="AY67" s="151"/>
    </row>
    <row r="68" spans="1:51" ht="16.5" customHeight="1" thickBot="1">
      <c r="A68" s="100"/>
      <c r="B68" s="24"/>
      <c r="C68" s="24"/>
      <c r="D68" s="24"/>
      <c r="E68" s="24"/>
      <c r="F68" s="101"/>
      <c r="G68" s="24"/>
      <c r="H68" s="24"/>
      <c r="I68" s="24"/>
      <c r="J68" s="422"/>
      <c r="K68" s="101"/>
      <c r="L68" s="101"/>
      <c r="M68" s="24"/>
      <c r="N68" s="24"/>
      <c r="O68" s="24"/>
      <c r="P68" s="24"/>
      <c r="Q68" s="24"/>
      <c r="R68" s="24"/>
      <c r="S68" s="24"/>
      <c r="T68" s="24"/>
      <c r="U68" s="24"/>
      <c r="V68" s="101"/>
      <c r="W68" s="101"/>
      <c r="X68" s="101"/>
      <c r="Y68" s="101"/>
      <c r="Z68" s="24"/>
      <c r="AA68" s="24"/>
      <c r="AB68" s="24"/>
      <c r="AC68" s="24"/>
      <c r="AD68" s="24"/>
      <c r="AE68" s="172"/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2"/>
      <c r="AS68" s="172"/>
      <c r="AT68" s="172"/>
      <c r="AU68" s="26"/>
      <c r="AV68" s="27"/>
      <c r="AW68" s="27"/>
      <c r="AX68" s="27"/>
      <c r="AY68" s="27"/>
    </row>
    <row r="69" spans="1:51" ht="18.75" customHeight="1">
      <c r="A69" s="55">
        <v>812708</v>
      </c>
      <c r="B69" s="29">
        <v>812708</v>
      </c>
      <c r="C69" s="167" t="s">
        <v>162</v>
      </c>
      <c r="D69" s="153">
        <v>0.9</v>
      </c>
      <c r="E69" s="168">
        <v>0.5</v>
      </c>
      <c r="F69" s="31" t="s">
        <v>43</v>
      </c>
      <c r="G69" s="33">
        <v>240</v>
      </c>
      <c r="H69" s="33">
        <v>220</v>
      </c>
      <c r="I69" s="34">
        <v>1</v>
      </c>
      <c r="J69" s="427" t="s">
        <v>176</v>
      </c>
      <c r="K69" s="81" t="s">
        <v>165</v>
      </c>
      <c r="L69" s="538"/>
      <c r="M69" s="30"/>
      <c r="N69" s="30"/>
      <c r="O69" s="30"/>
      <c r="P69" s="30"/>
      <c r="Q69" s="30"/>
      <c r="R69" s="30"/>
      <c r="S69" s="30"/>
      <c r="T69" s="29"/>
      <c r="U69" s="30"/>
      <c r="V69" s="36" t="s">
        <v>177</v>
      </c>
      <c r="W69" s="36">
        <v>45015</v>
      </c>
      <c r="X69" s="36">
        <v>44990</v>
      </c>
      <c r="Y69" s="36">
        <v>45021</v>
      </c>
      <c r="Z69" s="161"/>
      <c r="AA69" s="31"/>
      <c r="AB69" s="31"/>
      <c r="AC69" s="37"/>
      <c r="AD69" s="31"/>
      <c r="AE69" s="163">
        <v>44994</v>
      </c>
      <c r="AF69" s="163">
        <v>45019</v>
      </c>
      <c r="AG69" s="163">
        <v>45019</v>
      </c>
      <c r="AH69" s="163">
        <v>45019</v>
      </c>
      <c r="AI69" s="163">
        <v>45019</v>
      </c>
      <c r="AJ69" s="163">
        <v>44998</v>
      </c>
      <c r="AK69" s="163">
        <v>44998</v>
      </c>
      <c r="AL69" s="163">
        <v>45022</v>
      </c>
      <c r="AM69" s="163">
        <v>45022</v>
      </c>
      <c r="AN69" s="163">
        <v>45000</v>
      </c>
      <c r="AO69" s="163">
        <v>45022</v>
      </c>
      <c r="AP69" s="163"/>
      <c r="AQ69" s="163">
        <v>45022</v>
      </c>
      <c r="AR69" s="163">
        <v>45022</v>
      </c>
      <c r="AS69" s="163">
        <v>45023</v>
      </c>
      <c r="AT69" s="163">
        <v>45027</v>
      </c>
      <c r="AU69" s="150"/>
      <c r="AV69" s="151"/>
      <c r="AW69" s="151"/>
      <c r="AX69" s="151"/>
      <c r="AY69" s="151"/>
    </row>
    <row r="70" spans="1:51" ht="22.5" customHeight="1">
      <c r="A70" s="40">
        <v>812708</v>
      </c>
      <c r="B70" s="41"/>
      <c r="C70" s="42">
        <v>812693</v>
      </c>
      <c r="D70" s="155"/>
      <c r="E70" s="155"/>
      <c r="F70" s="43" t="s">
        <v>48</v>
      </c>
      <c r="G70" s="59"/>
      <c r="H70" s="59"/>
      <c r="I70" s="44"/>
      <c r="J70" s="44"/>
      <c r="K70" s="53"/>
      <c r="L70" s="537"/>
      <c r="M70" s="42"/>
      <c r="N70" s="42"/>
      <c r="O70" s="42"/>
      <c r="P70" s="42"/>
      <c r="Q70" s="42"/>
      <c r="R70" s="42"/>
      <c r="S70" s="42"/>
      <c r="T70" s="41"/>
      <c r="U70" s="42"/>
      <c r="V70" s="46">
        <v>44956</v>
      </c>
      <c r="W70" s="46">
        <v>45015</v>
      </c>
      <c r="X70" s="46">
        <v>44990</v>
      </c>
      <c r="Y70" s="46">
        <v>45021</v>
      </c>
      <c r="Z70" s="158"/>
      <c r="AA70" s="43"/>
      <c r="AB70" s="43"/>
      <c r="AC70" s="54"/>
      <c r="AD70" s="43"/>
      <c r="AE70" s="169">
        <v>44994</v>
      </c>
      <c r="AF70" s="169">
        <v>45019</v>
      </c>
      <c r="AG70" s="169">
        <v>45019</v>
      </c>
      <c r="AH70" s="169">
        <v>45019</v>
      </c>
      <c r="AI70" s="169">
        <v>45019</v>
      </c>
      <c r="AJ70" s="165" t="s">
        <v>126</v>
      </c>
      <c r="AK70" s="165" t="s">
        <v>126</v>
      </c>
      <c r="AL70" s="169">
        <v>45022</v>
      </c>
      <c r="AM70" s="169">
        <v>45022</v>
      </c>
      <c r="AN70" s="169" t="s">
        <v>126</v>
      </c>
      <c r="AO70" s="169">
        <v>45022</v>
      </c>
      <c r="AP70" s="169"/>
      <c r="AQ70" s="169">
        <v>45022</v>
      </c>
      <c r="AR70" s="169">
        <v>45022</v>
      </c>
      <c r="AS70" s="169">
        <v>45023</v>
      </c>
      <c r="AT70" s="169">
        <v>45027</v>
      </c>
      <c r="AU70" s="150"/>
      <c r="AV70" s="151"/>
      <c r="AW70" s="151"/>
      <c r="AX70" s="151"/>
      <c r="AY70" s="151"/>
    </row>
    <row r="71" spans="1:51" ht="18.75" customHeight="1">
      <c r="A71" s="149">
        <v>812736</v>
      </c>
      <c r="B71" s="29" t="s">
        <v>178</v>
      </c>
      <c r="C71" s="30" t="s">
        <v>162</v>
      </c>
      <c r="D71" s="153">
        <v>0.9</v>
      </c>
      <c r="E71" s="153">
        <v>0.7</v>
      </c>
      <c r="F71" s="31" t="s">
        <v>43</v>
      </c>
      <c r="G71" s="33">
        <v>240</v>
      </c>
      <c r="H71" s="33">
        <v>220</v>
      </c>
      <c r="I71" s="34">
        <v>2</v>
      </c>
      <c r="J71" s="427" t="s">
        <v>179</v>
      </c>
      <c r="K71" s="81" t="s">
        <v>97</v>
      </c>
      <c r="L71" s="538"/>
      <c r="M71" s="30"/>
      <c r="N71" s="30"/>
      <c r="O71" s="30"/>
      <c r="P71" s="30"/>
      <c r="Q71" s="30"/>
      <c r="R71" s="30"/>
      <c r="S71" s="30"/>
      <c r="T71" s="29"/>
      <c r="U71" s="30"/>
      <c r="V71" s="36">
        <v>44945</v>
      </c>
      <c r="W71" s="36">
        <v>44960</v>
      </c>
      <c r="X71" s="36">
        <v>44960</v>
      </c>
      <c r="Y71" s="36">
        <v>45092</v>
      </c>
      <c r="Z71" s="161"/>
      <c r="AA71" s="31"/>
      <c r="AB71" s="31"/>
      <c r="AC71" s="37"/>
      <c r="AD71" s="31"/>
      <c r="AE71" s="163">
        <v>45022</v>
      </c>
      <c r="AF71" s="163">
        <v>45026</v>
      </c>
      <c r="AG71" s="163">
        <v>45026</v>
      </c>
      <c r="AH71" s="163">
        <v>45026</v>
      </c>
      <c r="AI71" s="163">
        <v>45036</v>
      </c>
      <c r="AJ71" s="163">
        <v>45020</v>
      </c>
      <c r="AK71" s="163">
        <v>45020</v>
      </c>
      <c r="AL71" s="163">
        <v>45036</v>
      </c>
      <c r="AM71" s="163">
        <v>45036</v>
      </c>
      <c r="AN71" s="163">
        <v>45022</v>
      </c>
      <c r="AO71" s="163">
        <v>45036</v>
      </c>
      <c r="AP71" s="163"/>
      <c r="AQ71" s="163">
        <v>45036</v>
      </c>
      <c r="AR71" s="163">
        <v>45036</v>
      </c>
      <c r="AS71" s="163">
        <v>45036</v>
      </c>
      <c r="AT71" s="163">
        <v>45041</v>
      </c>
      <c r="AU71" s="150"/>
      <c r="AV71" s="151"/>
      <c r="AW71" s="151"/>
      <c r="AX71" s="151"/>
      <c r="AY71" s="151"/>
    </row>
    <row r="72" spans="1:51" ht="18" customHeight="1">
      <c r="A72" s="40">
        <v>812736</v>
      </c>
      <c r="B72" s="41"/>
      <c r="C72" s="42">
        <v>812707</v>
      </c>
      <c r="D72" s="155"/>
      <c r="E72" s="155"/>
      <c r="F72" s="43" t="s">
        <v>48</v>
      </c>
      <c r="G72" s="59"/>
      <c r="H72" s="59"/>
      <c r="I72" s="44"/>
      <c r="J72" s="52"/>
      <c r="K72" s="53"/>
      <c r="L72" s="537"/>
      <c r="M72" s="42"/>
      <c r="N72" s="42"/>
      <c r="O72" s="42"/>
      <c r="P72" s="42"/>
      <c r="Q72" s="42"/>
      <c r="R72" s="42"/>
      <c r="S72" s="42"/>
      <c r="T72" s="41"/>
      <c r="U72" s="42"/>
      <c r="V72" s="46">
        <v>44945</v>
      </c>
      <c r="W72" s="46">
        <v>44960</v>
      </c>
      <c r="X72" s="46">
        <v>44960</v>
      </c>
      <c r="Y72" s="46">
        <v>45092</v>
      </c>
      <c r="Z72" s="158"/>
      <c r="AA72" s="43"/>
      <c r="AB72" s="43"/>
      <c r="AC72" s="54"/>
      <c r="AD72" s="43"/>
      <c r="AE72" s="169">
        <v>45022</v>
      </c>
      <c r="AF72" s="169">
        <v>45026</v>
      </c>
      <c r="AG72" s="169">
        <v>45026</v>
      </c>
      <c r="AH72" s="169">
        <v>45026</v>
      </c>
      <c r="AI72" s="169">
        <v>45036</v>
      </c>
      <c r="AJ72" s="169">
        <v>45009</v>
      </c>
      <c r="AK72" s="169" t="s">
        <v>132</v>
      </c>
      <c r="AL72" s="169">
        <v>45036</v>
      </c>
      <c r="AM72" s="169" t="s">
        <v>180</v>
      </c>
      <c r="AN72" s="169">
        <v>45039</v>
      </c>
      <c r="AO72" s="169">
        <v>45036</v>
      </c>
      <c r="AP72" s="169"/>
      <c r="AQ72" s="169">
        <v>45036</v>
      </c>
      <c r="AR72" s="169">
        <v>45036</v>
      </c>
      <c r="AS72" s="169">
        <v>45036</v>
      </c>
      <c r="AT72" s="169">
        <v>45041</v>
      </c>
      <c r="AU72" s="150"/>
      <c r="AV72" s="151"/>
      <c r="AW72" s="151"/>
      <c r="AX72" s="151"/>
      <c r="AY72" s="151"/>
    </row>
    <row r="73" spans="1:51" ht="18.75" customHeight="1">
      <c r="A73" s="160">
        <v>812731</v>
      </c>
      <c r="B73" s="29">
        <v>812731</v>
      </c>
      <c r="C73" s="30" t="s">
        <v>42</v>
      </c>
      <c r="D73" s="153"/>
      <c r="E73" s="153"/>
      <c r="F73" s="31" t="s">
        <v>43</v>
      </c>
      <c r="G73" s="50">
        <v>390</v>
      </c>
      <c r="H73" s="50">
        <v>410</v>
      </c>
      <c r="I73" s="34">
        <v>1</v>
      </c>
      <c r="J73" s="428" t="s">
        <v>181</v>
      </c>
      <c r="K73" s="81" t="s">
        <v>154</v>
      </c>
      <c r="L73" s="538"/>
      <c r="M73" s="30"/>
      <c r="N73" s="30"/>
      <c r="O73" s="30"/>
      <c r="P73" s="30"/>
      <c r="Q73" s="30"/>
      <c r="R73" s="30"/>
      <c r="S73" s="30"/>
      <c r="T73" s="29"/>
      <c r="U73" s="30"/>
      <c r="V73" s="36">
        <v>44985</v>
      </c>
      <c r="W73" s="36">
        <v>45056</v>
      </c>
      <c r="X73" s="36">
        <v>45000</v>
      </c>
      <c r="Y73" s="36">
        <v>45092</v>
      </c>
      <c r="Z73" s="161"/>
      <c r="AA73" s="74" t="s">
        <v>182</v>
      </c>
      <c r="AB73" s="31"/>
      <c r="AC73" s="37"/>
      <c r="AD73" s="31"/>
      <c r="AE73" s="163">
        <v>45026</v>
      </c>
      <c r="AF73" s="173">
        <v>45044</v>
      </c>
      <c r="AG73" s="163">
        <v>45034</v>
      </c>
      <c r="AH73" s="163">
        <v>45034</v>
      </c>
      <c r="AI73" s="163">
        <v>45041</v>
      </c>
      <c r="AJ73" s="163">
        <v>45044</v>
      </c>
      <c r="AK73" s="163">
        <v>45044</v>
      </c>
      <c r="AL73" s="163">
        <v>45041</v>
      </c>
      <c r="AM73" s="163">
        <v>45056</v>
      </c>
      <c r="AN73" s="163">
        <v>45023</v>
      </c>
      <c r="AO73" s="163">
        <v>45041</v>
      </c>
      <c r="AP73" s="163"/>
      <c r="AQ73" s="163">
        <v>45041</v>
      </c>
      <c r="AR73" s="163">
        <v>45041</v>
      </c>
      <c r="AS73" s="163">
        <v>45041</v>
      </c>
      <c r="AT73" s="163">
        <v>45044</v>
      </c>
      <c r="AU73" s="150"/>
      <c r="AV73" s="151"/>
      <c r="AW73" s="151"/>
      <c r="AX73" s="151"/>
      <c r="AY73" s="151"/>
    </row>
    <row r="74" spans="1:51" ht="19.5" customHeight="1">
      <c r="A74" s="40">
        <v>812731</v>
      </c>
      <c r="B74" s="41"/>
      <c r="C74" s="42"/>
      <c r="D74" s="155"/>
      <c r="E74" s="155"/>
      <c r="F74" s="43" t="s">
        <v>48</v>
      </c>
      <c r="G74" s="44"/>
      <c r="H74" s="44"/>
      <c r="I74" s="44"/>
      <c r="J74" s="52"/>
      <c r="K74" s="53"/>
      <c r="L74" s="537"/>
      <c r="M74" s="42"/>
      <c r="N74" s="42"/>
      <c r="O74" s="42"/>
      <c r="P74" s="42"/>
      <c r="Q74" s="42"/>
      <c r="R74" s="42"/>
      <c r="S74" s="42"/>
      <c r="T74" s="41"/>
      <c r="U74" s="42"/>
      <c r="V74" s="46">
        <v>44985</v>
      </c>
      <c r="W74" s="46">
        <v>45046</v>
      </c>
      <c r="X74" s="46">
        <v>45000</v>
      </c>
      <c r="Y74" s="46">
        <v>45092</v>
      </c>
      <c r="Z74" s="158"/>
      <c r="AA74" s="43"/>
      <c r="AB74" s="43"/>
      <c r="AC74" s="54"/>
      <c r="AD74" s="43"/>
      <c r="AE74" s="165">
        <v>45028</v>
      </c>
      <c r="AF74" s="174">
        <v>45044</v>
      </c>
      <c r="AG74" s="169" t="s">
        <v>183</v>
      </c>
      <c r="AH74" s="175" t="s">
        <v>184</v>
      </c>
      <c r="AI74" s="169" t="s">
        <v>184</v>
      </c>
      <c r="AJ74" s="169">
        <v>45044</v>
      </c>
      <c r="AK74" s="169">
        <v>45044</v>
      </c>
      <c r="AL74" s="174">
        <v>45041</v>
      </c>
      <c r="AM74" s="46">
        <v>45056</v>
      </c>
      <c r="AN74" s="174" t="s">
        <v>185</v>
      </c>
      <c r="AO74" s="174" t="s">
        <v>186</v>
      </c>
      <c r="AP74" s="174"/>
      <c r="AQ74" s="174" t="s">
        <v>186</v>
      </c>
      <c r="AR74" s="174">
        <v>45041</v>
      </c>
      <c r="AS74" s="174" t="s">
        <v>186</v>
      </c>
      <c r="AT74" s="174">
        <v>45044</v>
      </c>
      <c r="AU74" s="47" t="s">
        <v>187</v>
      </c>
      <c r="AV74" s="39"/>
      <c r="AW74" s="39"/>
      <c r="AX74" s="39"/>
      <c r="AY74" s="39"/>
    </row>
    <row r="75" spans="1:51" ht="18.75" customHeight="1">
      <c r="A75" s="176">
        <v>812758</v>
      </c>
      <c r="B75" s="177" t="s">
        <v>188</v>
      </c>
      <c r="C75" s="30" t="s">
        <v>42</v>
      </c>
      <c r="D75" s="153"/>
      <c r="E75" s="153"/>
      <c r="F75" s="31" t="s">
        <v>43</v>
      </c>
      <c r="G75" s="50">
        <v>334</v>
      </c>
      <c r="H75" s="50">
        <v>500</v>
      </c>
      <c r="I75" s="34">
        <v>3</v>
      </c>
      <c r="J75" s="329" t="s">
        <v>189</v>
      </c>
      <c r="K75" s="81" t="s">
        <v>60</v>
      </c>
      <c r="L75" s="538"/>
      <c r="M75" s="178"/>
      <c r="N75" s="178"/>
      <c r="O75" s="178"/>
      <c r="P75" s="178"/>
      <c r="Q75" s="178"/>
      <c r="R75" s="178"/>
      <c r="S75" s="178"/>
      <c r="T75" s="177"/>
      <c r="U75" s="178"/>
      <c r="V75" s="36">
        <v>45033</v>
      </c>
      <c r="W75" s="36">
        <v>45063</v>
      </c>
      <c r="X75" s="36">
        <v>45036</v>
      </c>
      <c r="Y75" s="36">
        <v>45076</v>
      </c>
      <c r="Z75" s="161"/>
      <c r="AA75" s="31"/>
      <c r="AB75" s="31"/>
      <c r="AC75" s="37"/>
      <c r="AD75" s="31"/>
      <c r="AE75" s="163">
        <v>45030</v>
      </c>
      <c r="AF75" s="163">
        <v>45044</v>
      </c>
      <c r="AG75" s="163">
        <v>45044</v>
      </c>
      <c r="AH75" s="163">
        <v>45044</v>
      </c>
      <c r="AI75" s="51">
        <v>45050</v>
      </c>
      <c r="AJ75" s="38">
        <v>45034</v>
      </c>
      <c r="AK75" s="38">
        <v>45034</v>
      </c>
      <c r="AL75" s="36">
        <v>45044</v>
      </c>
      <c r="AM75" s="179">
        <v>45055</v>
      </c>
      <c r="AN75" s="38">
        <v>45034</v>
      </c>
      <c r="AO75" s="36">
        <v>45044</v>
      </c>
      <c r="AP75" s="36"/>
      <c r="AQ75" s="36">
        <v>45044</v>
      </c>
      <c r="AR75" s="36">
        <v>45044</v>
      </c>
      <c r="AS75" s="51">
        <v>45050</v>
      </c>
      <c r="AT75" s="36">
        <v>45054</v>
      </c>
      <c r="AU75" s="150"/>
      <c r="AV75" s="151"/>
      <c r="AW75" s="151"/>
      <c r="AX75" s="151"/>
      <c r="AY75" s="151"/>
    </row>
    <row r="76" spans="1:51" ht="18" customHeight="1">
      <c r="A76" s="180">
        <v>812758</v>
      </c>
      <c r="B76" s="181"/>
      <c r="C76" s="182"/>
      <c r="D76" s="182"/>
      <c r="E76" s="182"/>
      <c r="F76" s="43" t="s">
        <v>48</v>
      </c>
      <c r="G76" s="183"/>
      <c r="H76" s="183"/>
      <c r="I76" s="184"/>
      <c r="J76" s="429"/>
      <c r="K76" s="53"/>
      <c r="L76" s="537"/>
      <c r="M76" s="185"/>
      <c r="N76" s="185"/>
      <c r="O76" s="185"/>
      <c r="P76" s="185"/>
      <c r="Q76" s="185"/>
      <c r="R76" s="185"/>
      <c r="S76" s="185"/>
      <c r="T76" s="181"/>
      <c r="U76" s="185"/>
      <c r="V76" s="46">
        <v>45033</v>
      </c>
      <c r="W76" s="46">
        <v>45063</v>
      </c>
      <c r="X76" s="46">
        <v>45036</v>
      </c>
      <c r="Y76" s="46">
        <v>45076</v>
      </c>
      <c r="Z76" s="158"/>
      <c r="AA76" s="43"/>
      <c r="AB76" s="43"/>
      <c r="AC76" s="54"/>
      <c r="AD76" s="43"/>
      <c r="AE76" s="174">
        <v>45030</v>
      </c>
      <c r="AF76" s="174">
        <v>45044</v>
      </c>
      <c r="AG76" s="174">
        <v>45044</v>
      </c>
      <c r="AH76" s="174">
        <v>45044</v>
      </c>
      <c r="AI76" s="46">
        <v>45050</v>
      </c>
      <c r="AJ76" s="46">
        <v>45034</v>
      </c>
      <c r="AK76" s="46">
        <v>45034</v>
      </c>
      <c r="AL76" s="46">
        <v>45044</v>
      </c>
      <c r="AM76" s="46">
        <v>45059</v>
      </c>
      <c r="AN76" s="46">
        <v>45033</v>
      </c>
      <c r="AO76" s="46">
        <v>45044</v>
      </c>
      <c r="AP76" s="46"/>
      <c r="AQ76" s="46">
        <v>45044</v>
      </c>
      <c r="AR76" s="46">
        <v>45044</v>
      </c>
      <c r="AS76" s="46">
        <v>45050</v>
      </c>
      <c r="AT76" s="46">
        <v>45054</v>
      </c>
      <c r="AU76" s="150"/>
      <c r="AV76" s="151"/>
      <c r="AW76" s="151"/>
      <c r="AX76" s="151"/>
      <c r="AY76" s="151"/>
    </row>
    <row r="77" spans="1:51" ht="18.75" customHeight="1">
      <c r="A77" s="149">
        <v>812652</v>
      </c>
      <c r="B77" s="29" t="s">
        <v>190</v>
      </c>
      <c r="C77" s="30" t="s">
        <v>162</v>
      </c>
      <c r="D77" s="153">
        <v>0.3</v>
      </c>
      <c r="E77" s="153">
        <v>0.5</v>
      </c>
      <c r="F77" s="31" t="s">
        <v>43</v>
      </c>
      <c r="G77" s="33">
        <v>240</v>
      </c>
      <c r="H77" s="33">
        <v>220</v>
      </c>
      <c r="I77" s="34">
        <v>2</v>
      </c>
      <c r="J77" s="415" t="s">
        <v>191</v>
      </c>
      <c r="K77" s="31" t="s">
        <v>50</v>
      </c>
      <c r="L77" s="161"/>
      <c r="M77" s="30"/>
      <c r="N77" s="30"/>
      <c r="O77" s="30"/>
      <c r="P77" s="30"/>
      <c r="Q77" s="30"/>
      <c r="R77" s="30"/>
      <c r="S77" s="30"/>
      <c r="T77" s="29"/>
      <c r="U77" s="30"/>
      <c r="V77" s="36">
        <v>44806</v>
      </c>
      <c r="W77" s="36">
        <v>44823</v>
      </c>
      <c r="X77" s="36">
        <v>44820</v>
      </c>
      <c r="Y77" s="36">
        <v>44864</v>
      </c>
      <c r="Z77" s="161"/>
      <c r="AA77" s="31"/>
      <c r="AB77" s="31"/>
      <c r="AC77" s="37"/>
      <c r="AD77" s="31" t="s">
        <v>72</v>
      </c>
      <c r="AE77" s="163">
        <v>45033</v>
      </c>
      <c r="AF77" s="51">
        <v>45056</v>
      </c>
      <c r="AG77" s="163">
        <v>45044</v>
      </c>
      <c r="AH77" s="163">
        <v>45044</v>
      </c>
      <c r="AI77" s="36">
        <v>45060</v>
      </c>
      <c r="AJ77" s="36">
        <v>45044</v>
      </c>
      <c r="AK77" s="36">
        <v>45044</v>
      </c>
      <c r="AL77" s="36">
        <v>45056</v>
      </c>
      <c r="AM77" s="36">
        <v>45058</v>
      </c>
      <c r="AN77" s="36">
        <v>45034</v>
      </c>
      <c r="AO77" s="36">
        <v>45056</v>
      </c>
      <c r="AP77" s="36"/>
      <c r="AQ77" s="36">
        <v>45056</v>
      </c>
      <c r="AR77" s="36">
        <v>45056</v>
      </c>
      <c r="AS77" s="36">
        <v>45056</v>
      </c>
      <c r="AT77" s="36">
        <v>45061</v>
      </c>
      <c r="AU77" s="150"/>
      <c r="AV77" s="151"/>
      <c r="AW77" s="151"/>
      <c r="AX77" s="151"/>
      <c r="AY77" s="151"/>
    </row>
    <row r="78" spans="1:51" ht="18" customHeight="1">
      <c r="A78" s="40">
        <v>812652</v>
      </c>
      <c r="B78" s="41"/>
      <c r="C78" s="42">
        <v>812655</v>
      </c>
      <c r="D78" s="155"/>
      <c r="E78" s="155"/>
      <c r="F78" s="43" t="s">
        <v>48</v>
      </c>
      <c r="G78" s="59"/>
      <c r="H78" s="59"/>
      <c r="I78" s="44"/>
      <c r="J78" s="52"/>
      <c r="K78" s="53"/>
      <c r="L78" s="537"/>
      <c r="M78" s="42"/>
      <c r="N78" s="42"/>
      <c r="O78" s="42"/>
      <c r="P78" s="42"/>
      <c r="Q78" s="42"/>
      <c r="R78" s="42"/>
      <c r="S78" s="42"/>
      <c r="T78" s="41"/>
      <c r="U78" s="42"/>
      <c r="V78" s="46">
        <v>44806</v>
      </c>
      <c r="W78" s="46">
        <v>44823</v>
      </c>
      <c r="X78" s="46">
        <v>44820</v>
      </c>
      <c r="Y78" s="46">
        <v>44864</v>
      </c>
      <c r="Z78" s="158"/>
      <c r="AA78" s="43"/>
      <c r="AB78" s="43"/>
      <c r="AC78" s="54"/>
      <c r="AD78" s="43"/>
      <c r="AE78" s="169">
        <v>45033</v>
      </c>
      <c r="AF78" s="169">
        <v>45056</v>
      </c>
      <c r="AG78" s="169">
        <v>45039</v>
      </c>
      <c r="AH78" s="169">
        <v>45039</v>
      </c>
      <c r="AI78" s="46">
        <v>45060</v>
      </c>
      <c r="AJ78" s="46">
        <v>45043</v>
      </c>
      <c r="AK78" s="46">
        <v>45043</v>
      </c>
      <c r="AL78" s="46">
        <v>45056</v>
      </c>
      <c r="AM78" s="46">
        <v>45058</v>
      </c>
      <c r="AN78" s="46">
        <v>45030</v>
      </c>
      <c r="AO78" s="46">
        <v>45044</v>
      </c>
      <c r="AP78" s="46"/>
      <c r="AQ78" s="46">
        <v>45044</v>
      </c>
      <c r="AR78" s="46">
        <v>45056</v>
      </c>
      <c r="AS78" s="46">
        <v>45055</v>
      </c>
      <c r="AT78" s="46">
        <v>45061</v>
      </c>
      <c r="AU78" s="171"/>
      <c r="AV78" s="151"/>
      <c r="AW78" s="151"/>
      <c r="AX78" s="151"/>
      <c r="AY78" s="151"/>
    </row>
    <row r="79" spans="1:51" ht="16.5" customHeight="1" thickBot="1">
      <c r="A79" s="100"/>
      <c r="B79" s="24"/>
      <c r="C79" s="24"/>
      <c r="D79" s="24"/>
      <c r="E79" s="24"/>
      <c r="F79" s="101"/>
      <c r="G79" s="24"/>
      <c r="H79" s="24"/>
      <c r="I79" s="24"/>
      <c r="J79" s="422"/>
      <c r="K79" s="101"/>
      <c r="L79" s="101"/>
      <c r="M79" s="24"/>
      <c r="N79" s="24"/>
      <c r="O79" s="24"/>
      <c r="P79" s="24"/>
      <c r="Q79" s="24"/>
      <c r="R79" s="24"/>
      <c r="S79" s="24"/>
      <c r="T79" s="24"/>
      <c r="U79" s="24"/>
      <c r="V79" s="101"/>
      <c r="W79" s="101"/>
      <c r="X79" s="101"/>
      <c r="Y79" s="101"/>
      <c r="Z79" s="24"/>
      <c r="AA79" s="24"/>
      <c r="AB79" s="24"/>
      <c r="AC79" s="24"/>
      <c r="AD79" s="24"/>
      <c r="AE79" s="172"/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2"/>
      <c r="AS79" s="172"/>
      <c r="AT79" s="172"/>
      <c r="AU79" s="26"/>
      <c r="AV79" s="27"/>
      <c r="AW79" s="27"/>
      <c r="AX79" s="27"/>
      <c r="AY79" s="27"/>
    </row>
    <row r="80" spans="1:51" ht="18.75" customHeight="1">
      <c r="A80" s="55">
        <v>812707</v>
      </c>
      <c r="B80" s="29">
        <v>812707</v>
      </c>
      <c r="C80" s="167" t="s">
        <v>55</v>
      </c>
      <c r="D80" s="153">
        <v>0.9</v>
      </c>
      <c r="E80" s="168">
        <v>0.5</v>
      </c>
      <c r="F80" s="31" t="s">
        <v>43</v>
      </c>
      <c r="G80" s="33">
        <v>240</v>
      </c>
      <c r="H80" s="33">
        <v>220</v>
      </c>
      <c r="I80" s="34">
        <v>1</v>
      </c>
      <c r="J80" s="282" t="s">
        <v>192</v>
      </c>
      <c r="K80" s="81" t="s">
        <v>165</v>
      </c>
      <c r="L80" s="538"/>
      <c r="M80" s="30"/>
      <c r="N80" s="30"/>
      <c r="O80" s="30"/>
      <c r="P80" s="30"/>
      <c r="Q80" s="30"/>
      <c r="R80" s="30"/>
      <c r="S80" s="30"/>
      <c r="T80" s="29"/>
      <c r="U80" s="30"/>
      <c r="V80" s="36" t="s">
        <v>193</v>
      </c>
      <c r="W80" s="36" t="s">
        <v>194</v>
      </c>
      <c r="X80" s="36">
        <v>45261</v>
      </c>
      <c r="Y80" s="36">
        <v>44976</v>
      </c>
      <c r="Z80" s="161"/>
      <c r="AA80" s="31"/>
      <c r="AB80" s="31"/>
      <c r="AC80" s="37"/>
      <c r="AD80" s="31"/>
      <c r="AE80" s="132">
        <v>45051</v>
      </c>
      <c r="AF80" s="132">
        <v>45051</v>
      </c>
      <c r="AG80" s="132">
        <v>45051</v>
      </c>
      <c r="AH80" s="132">
        <v>45051</v>
      </c>
      <c r="AI80" s="132">
        <v>45065</v>
      </c>
      <c r="AJ80" s="132">
        <v>45042</v>
      </c>
      <c r="AK80" s="132">
        <v>45042</v>
      </c>
      <c r="AL80" s="132">
        <v>45065</v>
      </c>
      <c r="AM80" s="132">
        <v>45065</v>
      </c>
      <c r="AN80" s="132">
        <v>45042</v>
      </c>
      <c r="AO80" s="132">
        <v>45065</v>
      </c>
      <c r="AP80" s="132"/>
      <c r="AQ80" s="132">
        <v>45065</v>
      </c>
      <c r="AR80" s="132">
        <v>45065</v>
      </c>
      <c r="AS80" s="132">
        <v>45065</v>
      </c>
      <c r="AT80" s="132">
        <v>45069</v>
      </c>
      <c r="AU80" s="150"/>
      <c r="AV80" s="151"/>
      <c r="AW80" s="151"/>
      <c r="AX80" s="151"/>
      <c r="AY80" s="151"/>
    </row>
    <row r="81" spans="1:51" ht="21" customHeight="1">
      <c r="A81" s="40">
        <v>812707</v>
      </c>
      <c r="B81" s="41"/>
      <c r="C81" s="42">
        <v>812693</v>
      </c>
      <c r="D81" s="155"/>
      <c r="E81" s="155"/>
      <c r="F81" s="43" t="s">
        <v>48</v>
      </c>
      <c r="G81" s="59"/>
      <c r="H81" s="59"/>
      <c r="I81" s="44"/>
      <c r="J81" s="52"/>
      <c r="K81" s="53"/>
      <c r="L81" s="537"/>
      <c r="M81" s="42"/>
      <c r="N81" s="42"/>
      <c r="O81" s="42"/>
      <c r="P81" s="42"/>
      <c r="Q81" s="42"/>
      <c r="R81" s="42"/>
      <c r="S81" s="42"/>
      <c r="T81" s="41"/>
      <c r="U81" s="42"/>
      <c r="V81" s="46">
        <v>44914</v>
      </c>
      <c r="W81" s="46">
        <v>44974</v>
      </c>
      <c r="X81" s="46">
        <v>44942</v>
      </c>
      <c r="Y81" s="46">
        <v>44970</v>
      </c>
      <c r="Z81" s="158"/>
      <c r="AA81" s="43"/>
      <c r="AB81" s="43"/>
      <c r="AC81" s="54"/>
      <c r="AD81" s="43"/>
      <c r="AE81" s="116">
        <v>45051</v>
      </c>
      <c r="AF81" s="116">
        <v>45051</v>
      </c>
      <c r="AG81" s="116">
        <v>45051</v>
      </c>
      <c r="AH81" s="116">
        <v>45051</v>
      </c>
      <c r="AI81" s="116">
        <v>45051</v>
      </c>
      <c r="AJ81" s="116">
        <v>45042</v>
      </c>
      <c r="AK81" s="116">
        <v>45042</v>
      </c>
      <c r="AL81" s="116">
        <v>45051</v>
      </c>
      <c r="AM81" s="116">
        <v>45051</v>
      </c>
      <c r="AN81" s="116">
        <v>45042</v>
      </c>
      <c r="AO81" s="116">
        <v>45042</v>
      </c>
      <c r="AP81" s="116"/>
      <c r="AQ81" s="116">
        <v>45042</v>
      </c>
      <c r="AR81" s="116">
        <v>45061</v>
      </c>
      <c r="AS81" s="116">
        <v>45061</v>
      </c>
      <c r="AT81" s="116">
        <v>45061</v>
      </c>
      <c r="AU81" s="150"/>
      <c r="AV81" s="151"/>
      <c r="AW81" s="151"/>
      <c r="AX81" s="151"/>
      <c r="AY81" s="151"/>
    </row>
    <row r="82" spans="1:51" ht="23.25" customHeight="1">
      <c r="A82" s="149">
        <v>812396</v>
      </c>
      <c r="B82" s="29" t="s">
        <v>195</v>
      </c>
      <c r="C82" s="30" t="s">
        <v>42</v>
      </c>
      <c r="D82" s="30"/>
      <c r="E82" s="30"/>
      <c r="F82" s="31" t="s">
        <v>43</v>
      </c>
      <c r="G82" s="34">
        <v>240</v>
      </c>
      <c r="H82" s="34">
        <v>220</v>
      </c>
      <c r="I82" s="34">
        <v>3</v>
      </c>
      <c r="J82" s="425" t="s">
        <v>196</v>
      </c>
      <c r="K82" s="35" t="s">
        <v>197</v>
      </c>
      <c r="L82" s="186"/>
      <c r="M82" s="30"/>
      <c r="N82" s="30"/>
      <c r="O82" s="30"/>
      <c r="P82" s="30"/>
      <c r="Q82" s="30"/>
      <c r="R82" s="30"/>
      <c r="S82" s="30"/>
      <c r="T82" s="29"/>
      <c r="U82" s="30"/>
      <c r="V82" s="36">
        <v>44627</v>
      </c>
      <c r="W82" s="36">
        <v>45029</v>
      </c>
      <c r="X82" s="36">
        <v>44645</v>
      </c>
      <c r="Y82" s="36">
        <v>45026</v>
      </c>
      <c r="Z82" s="186" t="s">
        <v>198</v>
      </c>
      <c r="AA82" s="31" t="s">
        <v>72</v>
      </c>
      <c r="AB82" s="35" t="s">
        <v>199</v>
      </c>
      <c r="AC82" s="187"/>
      <c r="AD82" s="35"/>
      <c r="AE82" s="132">
        <v>45055</v>
      </c>
      <c r="AF82" s="132">
        <v>45065</v>
      </c>
      <c r="AG82" s="132">
        <v>45058</v>
      </c>
      <c r="AH82" s="132">
        <v>45061</v>
      </c>
      <c r="AI82" s="132">
        <v>45071</v>
      </c>
      <c r="AJ82" s="132">
        <v>44701</v>
      </c>
      <c r="AK82" s="132">
        <v>44701</v>
      </c>
      <c r="AL82" s="132">
        <v>45071</v>
      </c>
      <c r="AM82" s="132">
        <v>45076</v>
      </c>
      <c r="AN82" s="132">
        <v>44707</v>
      </c>
      <c r="AO82" s="132">
        <v>44610</v>
      </c>
      <c r="AP82" s="132"/>
      <c r="AQ82" s="132">
        <v>44610</v>
      </c>
      <c r="AR82" s="188">
        <v>45077</v>
      </c>
      <c r="AS82" s="132">
        <v>45071</v>
      </c>
      <c r="AT82" s="132">
        <v>45075</v>
      </c>
      <c r="AU82" s="150"/>
      <c r="AV82" s="151"/>
      <c r="AW82" s="151"/>
      <c r="AX82" s="151"/>
      <c r="AY82" s="151"/>
    </row>
    <row r="83" spans="1:51" ht="21" customHeight="1">
      <c r="A83" s="40">
        <v>812396</v>
      </c>
      <c r="B83" s="41"/>
      <c r="C83" s="42"/>
      <c r="D83" s="42"/>
      <c r="E83" s="42"/>
      <c r="F83" s="43" t="s">
        <v>48</v>
      </c>
      <c r="G83" s="59"/>
      <c r="H83" s="59"/>
      <c r="I83" s="44"/>
      <c r="J83" s="52"/>
      <c r="K83" s="53"/>
      <c r="L83" s="537"/>
      <c r="M83" s="42"/>
      <c r="N83" s="42"/>
      <c r="O83" s="42"/>
      <c r="P83" s="42"/>
      <c r="Q83" s="42"/>
      <c r="R83" s="42"/>
      <c r="S83" s="42"/>
      <c r="T83" s="41"/>
      <c r="U83" s="42"/>
      <c r="V83" s="46">
        <v>44008</v>
      </c>
      <c r="W83" s="46">
        <v>44664</v>
      </c>
      <c r="X83" s="46">
        <v>44645</v>
      </c>
      <c r="Y83" s="46">
        <v>45026</v>
      </c>
      <c r="Z83" s="189"/>
      <c r="AA83" s="114"/>
      <c r="AB83" s="114"/>
      <c r="AC83" s="115"/>
      <c r="AD83" s="114"/>
      <c r="AE83" s="116">
        <v>45055</v>
      </c>
      <c r="AF83" s="116">
        <v>45065</v>
      </c>
      <c r="AG83" s="116">
        <v>45058</v>
      </c>
      <c r="AH83" s="129">
        <v>45062</v>
      </c>
      <c r="AI83" s="116">
        <v>45071</v>
      </c>
      <c r="AJ83" s="116">
        <v>44642</v>
      </c>
      <c r="AK83" s="116">
        <v>44701</v>
      </c>
      <c r="AL83" s="116">
        <v>45071</v>
      </c>
      <c r="AM83" s="116">
        <v>45076</v>
      </c>
      <c r="AN83" s="116">
        <v>44706</v>
      </c>
      <c r="AO83" s="170">
        <v>44975</v>
      </c>
      <c r="AP83" s="170"/>
      <c r="AQ83" s="170">
        <v>44975</v>
      </c>
      <c r="AR83" s="116">
        <v>45075</v>
      </c>
      <c r="AS83" s="116">
        <v>45068</v>
      </c>
      <c r="AT83" s="116">
        <v>45068</v>
      </c>
      <c r="AU83" s="150"/>
      <c r="AV83" s="151"/>
      <c r="AW83" s="151"/>
      <c r="AX83" s="151"/>
      <c r="AY83" s="151"/>
    </row>
    <row r="84" spans="1:51" ht="18" customHeight="1">
      <c r="A84" s="149">
        <v>812729</v>
      </c>
      <c r="B84" s="29">
        <v>812729</v>
      </c>
      <c r="C84" s="30" t="s">
        <v>42</v>
      </c>
      <c r="D84" s="30"/>
      <c r="E84" s="30"/>
      <c r="F84" s="31" t="s">
        <v>43</v>
      </c>
      <c r="G84" s="33">
        <v>400</v>
      </c>
      <c r="H84" s="33">
        <v>220</v>
      </c>
      <c r="I84" s="34">
        <v>1</v>
      </c>
      <c r="J84" s="424" t="s">
        <v>200</v>
      </c>
      <c r="K84" s="81" t="s">
        <v>154</v>
      </c>
      <c r="L84" s="538"/>
      <c r="M84" s="30"/>
      <c r="N84" s="30"/>
      <c r="O84" s="30"/>
      <c r="P84" s="30"/>
      <c r="Q84" s="30"/>
      <c r="R84" s="30"/>
      <c r="S84" s="30"/>
      <c r="T84" s="29"/>
      <c r="U84" s="30"/>
      <c r="V84" s="36" t="s">
        <v>201</v>
      </c>
      <c r="W84" s="36" t="s">
        <v>202</v>
      </c>
      <c r="X84" s="36">
        <v>44987</v>
      </c>
      <c r="Y84" s="36">
        <v>45015</v>
      </c>
      <c r="Z84" s="161"/>
      <c r="AA84" s="31"/>
      <c r="AB84" s="31"/>
      <c r="AC84" s="37"/>
      <c r="AD84" s="31" t="s">
        <v>72</v>
      </c>
      <c r="AE84" s="132">
        <v>45061</v>
      </c>
      <c r="AF84" s="190">
        <v>45079</v>
      </c>
      <c r="AG84" s="132">
        <v>45068</v>
      </c>
      <c r="AH84" s="132">
        <v>45071</v>
      </c>
      <c r="AI84" s="132">
        <v>45075</v>
      </c>
      <c r="AJ84" s="132">
        <v>45043</v>
      </c>
      <c r="AK84" s="132">
        <v>45043</v>
      </c>
      <c r="AL84" s="132">
        <v>45075</v>
      </c>
      <c r="AM84" s="132">
        <v>45075</v>
      </c>
      <c r="AN84" s="132">
        <v>45043</v>
      </c>
      <c r="AO84" s="132">
        <v>44993</v>
      </c>
      <c r="AP84" s="132"/>
      <c r="AQ84" s="132">
        <v>44993</v>
      </c>
      <c r="AR84" s="132">
        <v>45076</v>
      </c>
      <c r="AS84" s="132">
        <v>45075</v>
      </c>
      <c r="AT84" s="132">
        <v>45077</v>
      </c>
      <c r="AU84" s="47" t="s">
        <v>203</v>
      </c>
      <c r="AV84" s="39"/>
      <c r="AW84" s="39"/>
      <c r="AX84" s="39"/>
      <c r="AY84" s="39"/>
    </row>
    <row r="85" spans="1:51" ht="19.5" customHeight="1">
      <c r="A85" s="40">
        <v>812729</v>
      </c>
      <c r="B85" s="41"/>
      <c r="C85" s="42"/>
      <c r="D85" s="42"/>
      <c r="E85" s="42"/>
      <c r="F85" s="43" t="s">
        <v>48</v>
      </c>
      <c r="G85" s="59"/>
      <c r="H85" s="59"/>
      <c r="I85" s="44"/>
      <c r="J85" s="52"/>
      <c r="K85" s="53"/>
      <c r="L85" s="537"/>
      <c r="M85" s="42"/>
      <c r="N85" s="42"/>
      <c r="O85" s="42"/>
      <c r="P85" s="42"/>
      <c r="Q85" s="42"/>
      <c r="R85" s="42"/>
      <c r="S85" s="42"/>
      <c r="T85" s="41"/>
      <c r="U85" s="42"/>
      <c r="V85" s="46" t="s">
        <v>201</v>
      </c>
      <c r="W85" s="46">
        <v>45001</v>
      </c>
      <c r="X85" s="46">
        <v>44974</v>
      </c>
      <c r="Y85" s="46">
        <v>45015</v>
      </c>
      <c r="Z85" s="158"/>
      <c r="AA85" s="43"/>
      <c r="AB85" s="43"/>
      <c r="AC85" s="54"/>
      <c r="AD85" s="43"/>
      <c r="AE85" s="116">
        <v>45063</v>
      </c>
      <c r="AF85" s="116">
        <v>45079</v>
      </c>
      <c r="AG85" s="116">
        <v>45068</v>
      </c>
      <c r="AH85" s="116">
        <v>45071</v>
      </c>
      <c r="AI85" s="116">
        <v>45075</v>
      </c>
      <c r="AJ85" s="116">
        <v>44994</v>
      </c>
      <c r="AK85" s="116">
        <v>44994</v>
      </c>
      <c r="AL85" s="116">
        <v>45056</v>
      </c>
      <c r="AM85" s="116">
        <v>45075</v>
      </c>
      <c r="AN85" s="116">
        <v>45043</v>
      </c>
      <c r="AO85" s="117" t="s">
        <v>204</v>
      </c>
      <c r="AP85" s="117"/>
      <c r="AQ85" s="117" t="s">
        <v>204</v>
      </c>
      <c r="AR85" s="116">
        <v>45075</v>
      </c>
      <c r="AS85" s="116">
        <v>45075</v>
      </c>
      <c r="AT85" s="129">
        <v>45096</v>
      </c>
      <c r="AU85" s="150"/>
      <c r="AV85" s="151"/>
      <c r="AW85" s="151"/>
      <c r="AX85" s="151"/>
      <c r="AY85" s="151"/>
    </row>
    <row r="86" spans="1:51" ht="22.5" customHeight="1">
      <c r="A86" s="191">
        <v>812698</v>
      </c>
      <c r="B86" s="29">
        <v>812698</v>
      </c>
      <c r="C86" s="30" t="s">
        <v>42</v>
      </c>
      <c r="D86" s="30"/>
      <c r="E86" s="30"/>
      <c r="F86" s="31" t="s">
        <v>43</v>
      </c>
      <c r="G86" s="50">
        <v>400</v>
      </c>
      <c r="H86" s="50">
        <v>400</v>
      </c>
      <c r="I86" s="34">
        <v>1</v>
      </c>
      <c r="J86" s="430" t="s">
        <v>205</v>
      </c>
      <c r="K86" s="81" t="s">
        <v>97</v>
      </c>
      <c r="L86" s="538"/>
      <c r="M86" s="30"/>
      <c r="N86" s="30"/>
      <c r="O86" s="30"/>
      <c r="P86" s="30"/>
      <c r="Q86" s="30"/>
      <c r="R86" s="30"/>
      <c r="S86" s="30"/>
      <c r="T86" s="29"/>
      <c r="U86" s="30"/>
      <c r="V86" s="36" t="s">
        <v>206</v>
      </c>
      <c r="W86" s="36">
        <v>45061</v>
      </c>
      <c r="X86" s="36" t="s">
        <v>207</v>
      </c>
      <c r="Y86" s="36">
        <v>45061</v>
      </c>
      <c r="Z86" s="31"/>
      <c r="AA86" s="31"/>
      <c r="AB86" s="31"/>
      <c r="AC86" s="37"/>
      <c r="AD86" s="31"/>
      <c r="AE86" s="132">
        <v>45082</v>
      </c>
      <c r="AF86" s="190">
        <v>45090</v>
      </c>
      <c r="AG86" s="190">
        <v>45077</v>
      </c>
      <c r="AH86" s="190">
        <v>45086</v>
      </c>
      <c r="AI86" s="190">
        <v>45092</v>
      </c>
      <c r="AJ86" s="132">
        <v>45058</v>
      </c>
      <c r="AK86" s="192" t="s">
        <v>208</v>
      </c>
      <c r="AL86" s="132">
        <v>45077</v>
      </c>
      <c r="AM86" s="132">
        <v>45077</v>
      </c>
      <c r="AN86" s="132">
        <v>45058</v>
      </c>
      <c r="AO86" s="132">
        <v>45077</v>
      </c>
      <c r="AP86" s="132"/>
      <c r="AQ86" s="132">
        <v>45077</v>
      </c>
      <c r="AR86" s="190">
        <v>45083</v>
      </c>
      <c r="AS86" s="190">
        <v>45086</v>
      </c>
      <c r="AT86" s="190">
        <v>45089</v>
      </c>
      <c r="AU86" s="150"/>
      <c r="AV86" s="151"/>
      <c r="AW86" s="151"/>
      <c r="AX86" s="151"/>
      <c r="AY86" s="151"/>
    </row>
    <row r="87" spans="1:51" ht="18" customHeight="1" thickBot="1">
      <c r="A87" s="134">
        <v>812698</v>
      </c>
      <c r="B87" s="135"/>
      <c r="C87" s="136"/>
      <c r="D87" s="136"/>
      <c r="E87" s="136"/>
      <c r="F87" s="137" t="s">
        <v>48</v>
      </c>
      <c r="G87" s="138"/>
      <c r="H87" s="138"/>
      <c r="I87" s="138"/>
      <c r="J87" s="138"/>
      <c r="K87" s="141"/>
      <c r="L87" s="540"/>
      <c r="M87" s="136"/>
      <c r="N87" s="136"/>
      <c r="O87" s="136"/>
      <c r="P87" s="136"/>
      <c r="Q87" s="136"/>
      <c r="R87" s="136"/>
      <c r="S87" s="136"/>
      <c r="T87" s="135"/>
      <c r="U87" s="136"/>
      <c r="V87" s="61">
        <v>44888</v>
      </c>
      <c r="W87" s="61">
        <v>45061</v>
      </c>
      <c r="X87" s="61">
        <v>44896</v>
      </c>
      <c r="Y87" s="61">
        <v>45061</v>
      </c>
      <c r="Z87" s="137"/>
      <c r="AA87" s="137"/>
      <c r="AB87" s="137"/>
      <c r="AC87" s="193"/>
      <c r="AD87" s="137"/>
      <c r="AE87" s="116">
        <v>45082</v>
      </c>
      <c r="AF87" s="116">
        <v>45090</v>
      </c>
      <c r="AG87" s="116">
        <v>45077</v>
      </c>
      <c r="AH87" s="129">
        <v>45094</v>
      </c>
      <c r="AI87" s="129">
        <v>45098</v>
      </c>
      <c r="AJ87" s="116">
        <v>45035</v>
      </c>
      <c r="AK87" s="116">
        <v>44972</v>
      </c>
      <c r="AL87" s="116">
        <v>45077</v>
      </c>
      <c r="AM87" s="116">
        <v>45077</v>
      </c>
      <c r="AN87" s="116">
        <v>45058</v>
      </c>
      <c r="AO87" s="116">
        <v>45077</v>
      </c>
      <c r="AP87" s="116"/>
      <c r="AQ87" s="116">
        <v>45077</v>
      </c>
      <c r="AR87" s="116">
        <v>45083</v>
      </c>
      <c r="AS87" s="116">
        <v>45083</v>
      </c>
      <c r="AT87" s="129">
        <v>45096</v>
      </c>
      <c r="AU87" s="194"/>
      <c r="AV87" s="151"/>
      <c r="AW87" s="151"/>
      <c r="AX87" s="151"/>
      <c r="AY87" s="151"/>
    </row>
    <row r="88" spans="1:51" ht="16.5" customHeight="1" thickBot="1">
      <c r="A88" s="100"/>
      <c r="B88" s="24"/>
      <c r="C88" s="24"/>
      <c r="D88" s="24"/>
      <c r="E88" s="24"/>
      <c r="F88" s="101"/>
      <c r="G88" s="24"/>
      <c r="H88" s="24"/>
      <c r="I88" s="24"/>
      <c r="J88" s="422"/>
      <c r="K88" s="101"/>
      <c r="L88" s="101"/>
      <c r="M88" s="24"/>
      <c r="N88" s="24"/>
      <c r="O88" s="24"/>
      <c r="P88" s="24"/>
      <c r="Q88" s="24"/>
      <c r="R88" s="24"/>
      <c r="S88" s="24"/>
      <c r="T88" s="24"/>
      <c r="U88" s="24"/>
      <c r="V88" s="101"/>
      <c r="W88" s="101"/>
      <c r="X88" s="101"/>
      <c r="Y88" s="101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6"/>
      <c r="AV88" s="27"/>
      <c r="AW88" s="27"/>
      <c r="AX88" s="27"/>
      <c r="AY88" s="27"/>
    </row>
    <row r="89" spans="1:51" ht="18.75" customHeight="1">
      <c r="A89" s="149">
        <v>812643</v>
      </c>
      <c r="B89" s="29">
        <v>812643</v>
      </c>
      <c r="C89" s="30" t="s">
        <v>42</v>
      </c>
      <c r="D89" s="30"/>
      <c r="E89" s="30"/>
      <c r="F89" s="31" t="s">
        <v>43</v>
      </c>
      <c r="G89" s="50">
        <v>300</v>
      </c>
      <c r="H89" s="50">
        <v>220</v>
      </c>
      <c r="I89" s="34">
        <v>1</v>
      </c>
      <c r="J89" s="420" t="s">
        <v>209</v>
      </c>
      <c r="K89" s="31" t="s">
        <v>66</v>
      </c>
      <c r="L89" s="161"/>
      <c r="M89" s="30"/>
      <c r="N89" s="30"/>
      <c r="O89" s="30"/>
      <c r="P89" s="30"/>
      <c r="Q89" s="30"/>
      <c r="R89" s="30"/>
      <c r="S89" s="30"/>
      <c r="T89" s="29"/>
      <c r="U89" s="30"/>
      <c r="V89" s="36">
        <v>44762</v>
      </c>
      <c r="W89" s="36">
        <v>45076</v>
      </c>
      <c r="X89" s="36">
        <v>44755</v>
      </c>
      <c r="Y89" s="36">
        <v>45076</v>
      </c>
      <c r="Z89" s="161"/>
      <c r="AA89" s="31"/>
      <c r="AB89" s="31"/>
      <c r="AC89" s="37">
        <v>3</v>
      </c>
      <c r="AD89" s="31"/>
      <c r="AE89" s="132">
        <v>45072</v>
      </c>
      <c r="AF89" s="132">
        <v>45082</v>
      </c>
      <c r="AG89" s="132">
        <v>45086</v>
      </c>
      <c r="AH89" s="132">
        <v>45086</v>
      </c>
      <c r="AI89" s="132">
        <v>45083</v>
      </c>
      <c r="AJ89" s="132">
        <v>45054</v>
      </c>
      <c r="AK89" s="132">
        <v>45056</v>
      </c>
      <c r="AL89" s="132">
        <v>45083</v>
      </c>
      <c r="AM89" s="132">
        <v>45083</v>
      </c>
      <c r="AN89" s="132">
        <v>45061</v>
      </c>
      <c r="AO89" s="132">
        <v>45083</v>
      </c>
      <c r="AP89" s="132"/>
      <c r="AQ89" s="132">
        <v>45083</v>
      </c>
      <c r="AR89" s="190">
        <v>45089</v>
      </c>
      <c r="AS89" s="190">
        <v>45089</v>
      </c>
      <c r="AT89" s="190">
        <v>45092</v>
      </c>
      <c r="AU89" s="195"/>
      <c r="AV89" s="151"/>
      <c r="AW89" s="151"/>
      <c r="AX89" s="151"/>
      <c r="AY89" s="151"/>
    </row>
    <row r="90" spans="1:51" ht="18" customHeight="1">
      <c r="A90" s="40">
        <v>812643</v>
      </c>
      <c r="B90" s="41"/>
      <c r="C90" s="42"/>
      <c r="D90" s="42"/>
      <c r="E90" s="42"/>
      <c r="F90" s="43" t="s">
        <v>48</v>
      </c>
      <c r="G90" s="44"/>
      <c r="H90" s="44"/>
      <c r="I90" s="44"/>
      <c r="J90" s="52"/>
      <c r="K90" s="53"/>
      <c r="L90" s="537"/>
      <c r="M90" s="42"/>
      <c r="N90" s="42"/>
      <c r="O90" s="42"/>
      <c r="P90" s="42"/>
      <c r="Q90" s="42"/>
      <c r="R90" s="42"/>
      <c r="S90" s="42"/>
      <c r="T90" s="41"/>
      <c r="U90" s="42"/>
      <c r="V90" s="46">
        <v>44762</v>
      </c>
      <c r="W90" s="46">
        <v>45076</v>
      </c>
      <c r="X90" s="46">
        <v>44755</v>
      </c>
      <c r="Y90" s="46">
        <v>45076</v>
      </c>
      <c r="Z90" s="158"/>
      <c r="AA90" s="43"/>
      <c r="AB90" s="43"/>
      <c r="AC90" s="54"/>
      <c r="AD90" s="43"/>
      <c r="AE90" s="116">
        <v>45064</v>
      </c>
      <c r="AF90" s="116">
        <v>45082</v>
      </c>
      <c r="AG90" s="116">
        <v>45086</v>
      </c>
      <c r="AH90" s="116">
        <v>45086</v>
      </c>
      <c r="AI90" s="116">
        <v>45083</v>
      </c>
      <c r="AJ90" s="116">
        <v>45054</v>
      </c>
      <c r="AK90" s="116">
        <v>45056</v>
      </c>
      <c r="AL90" s="116">
        <v>45068</v>
      </c>
      <c r="AM90" s="116">
        <v>45083</v>
      </c>
      <c r="AN90" s="116">
        <v>45061</v>
      </c>
      <c r="AO90" s="116">
        <v>45070</v>
      </c>
      <c r="AP90" s="116"/>
      <c r="AQ90" s="116">
        <v>45070</v>
      </c>
      <c r="AR90" s="116">
        <v>45089</v>
      </c>
      <c r="AS90" s="116">
        <v>45089</v>
      </c>
      <c r="AT90" s="129">
        <v>45105</v>
      </c>
      <c r="AU90" s="150"/>
      <c r="AV90" s="151"/>
      <c r="AW90" s="151"/>
      <c r="AX90" s="151"/>
      <c r="AY90" s="151"/>
    </row>
    <row r="91" spans="1:51" ht="18.75" customHeight="1">
      <c r="A91" s="149">
        <v>812730</v>
      </c>
      <c r="B91" s="29">
        <v>812730</v>
      </c>
      <c r="C91" s="30" t="s">
        <v>42</v>
      </c>
      <c r="D91" s="30"/>
      <c r="E91" s="30"/>
      <c r="F91" s="31" t="s">
        <v>43</v>
      </c>
      <c r="G91" s="33">
        <v>200</v>
      </c>
      <c r="H91" s="33">
        <v>220</v>
      </c>
      <c r="I91" s="34">
        <v>1</v>
      </c>
      <c r="J91" s="424" t="s">
        <v>200</v>
      </c>
      <c r="K91" s="81" t="s">
        <v>154</v>
      </c>
      <c r="L91" s="538"/>
      <c r="M91" s="30"/>
      <c r="N91" s="30"/>
      <c r="O91" s="30"/>
      <c r="P91" s="30"/>
      <c r="Q91" s="30"/>
      <c r="R91" s="30"/>
      <c r="S91" s="30"/>
      <c r="T91" s="29"/>
      <c r="U91" s="30"/>
      <c r="V91" s="36" t="s">
        <v>201</v>
      </c>
      <c r="W91" s="36">
        <v>45015</v>
      </c>
      <c r="X91" s="36">
        <v>44987</v>
      </c>
      <c r="Y91" s="36">
        <v>45015</v>
      </c>
      <c r="Z91" s="161"/>
      <c r="AA91" s="31"/>
      <c r="AB91" s="31"/>
      <c r="AC91" s="37"/>
      <c r="AD91" s="31" t="s">
        <v>72</v>
      </c>
      <c r="AE91" s="132">
        <v>45085</v>
      </c>
      <c r="AF91" s="132">
        <v>45090</v>
      </c>
      <c r="AG91" s="132">
        <v>45090</v>
      </c>
      <c r="AH91" s="132">
        <v>45091</v>
      </c>
      <c r="AI91" s="132">
        <v>45097</v>
      </c>
      <c r="AJ91" s="132">
        <v>45061</v>
      </c>
      <c r="AK91" s="132">
        <v>45061</v>
      </c>
      <c r="AL91" s="132">
        <v>45097</v>
      </c>
      <c r="AM91" s="132">
        <v>45097</v>
      </c>
      <c r="AN91" s="132">
        <v>45061</v>
      </c>
      <c r="AO91" s="132">
        <v>45097</v>
      </c>
      <c r="AP91" s="132"/>
      <c r="AQ91" s="132">
        <v>45097</v>
      </c>
      <c r="AR91" s="132">
        <v>45097</v>
      </c>
      <c r="AS91" s="132">
        <v>45097</v>
      </c>
      <c r="AT91" s="132">
        <v>45103</v>
      </c>
      <c r="AU91" s="150"/>
      <c r="AV91" s="151"/>
      <c r="AW91" s="151"/>
      <c r="AX91" s="151"/>
      <c r="AY91" s="151"/>
    </row>
    <row r="92" spans="1:51" ht="18" customHeight="1">
      <c r="A92" s="40">
        <v>812730</v>
      </c>
      <c r="B92" s="41"/>
      <c r="C92" s="42"/>
      <c r="D92" s="42"/>
      <c r="E92" s="42"/>
      <c r="F92" s="43" t="s">
        <v>48</v>
      </c>
      <c r="G92" s="59"/>
      <c r="H92" s="59"/>
      <c r="I92" s="44"/>
      <c r="J92" s="52"/>
      <c r="K92" s="53"/>
      <c r="L92" s="537"/>
      <c r="M92" s="42"/>
      <c r="N92" s="42"/>
      <c r="O92" s="42"/>
      <c r="P92" s="42"/>
      <c r="Q92" s="42"/>
      <c r="R92" s="42"/>
      <c r="S92" s="42"/>
      <c r="T92" s="41"/>
      <c r="U92" s="42"/>
      <c r="V92" s="46" t="s">
        <v>201</v>
      </c>
      <c r="W92" s="46">
        <v>45001</v>
      </c>
      <c r="X92" s="46">
        <v>44970</v>
      </c>
      <c r="Y92" s="46">
        <v>45015</v>
      </c>
      <c r="Z92" s="158"/>
      <c r="AA92" s="43"/>
      <c r="AB92" s="43"/>
      <c r="AC92" s="54"/>
      <c r="AD92" s="43"/>
      <c r="AE92" s="116">
        <v>45085</v>
      </c>
      <c r="AF92" s="116">
        <v>45090</v>
      </c>
      <c r="AG92" s="116">
        <v>45090</v>
      </c>
      <c r="AH92" s="116">
        <v>45091</v>
      </c>
      <c r="AI92" s="116">
        <v>45097</v>
      </c>
      <c r="AJ92" s="116">
        <v>45061</v>
      </c>
      <c r="AK92" s="116">
        <v>45061</v>
      </c>
      <c r="AL92" s="116">
        <v>45065</v>
      </c>
      <c r="AM92" s="116">
        <v>45097</v>
      </c>
      <c r="AN92" s="116">
        <v>45061</v>
      </c>
      <c r="AO92" s="116">
        <v>45092</v>
      </c>
      <c r="AP92" s="116"/>
      <c r="AQ92" s="116">
        <v>45092</v>
      </c>
      <c r="AR92" s="116">
        <v>45097</v>
      </c>
      <c r="AS92" s="116">
        <v>45097</v>
      </c>
      <c r="AT92" s="116">
        <v>45103</v>
      </c>
      <c r="AU92" s="150"/>
      <c r="AV92" s="151"/>
      <c r="AW92" s="151"/>
      <c r="AX92" s="151"/>
      <c r="AY92" s="151"/>
    </row>
    <row r="93" spans="1:51" ht="18.75" customHeight="1">
      <c r="A93" s="149">
        <v>812519</v>
      </c>
      <c r="B93" s="29">
        <v>812519</v>
      </c>
      <c r="C93" s="30" t="s">
        <v>42</v>
      </c>
      <c r="D93" s="30"/>
      <c r="E93" s="30"/>
      <c r="F93" s="31" t="s">
        <v>43</v>
      </c>
      <c r="G93" s="33">
        <v>334</v>
      </c>
      <c r="H93" s="33">
        <v>500</v>
      </c>
      <c r="I93" s="34">
        <v>1</v>
      </c>
      <c r="J93" s="431" t="s">
        <v>210</v>
      </c>
      <c r="K93" s="31" t="s">
        <v>197</v>
      </c>
      <c r="L93" s="161"/>
      <c r="M93" s="30"/>
      <c r="N93" s="30"/>
      <c r="O93" s="30"/>
      <c r="P93" s="30"/>
      <c r="Q93" s="30"/>
      <c r="R93" s="30"/>
      <c r="S93" s="30"/>
      <c r="T93" s="29"/>
      <c r="U93" s="30"/>
      <c r="V93" s="89">
        <v>45056</v>
      </c>
      <c r="W93" s="89">
        <v>45063</v>
      </c>
      <c r="X93" s="89">
        <v>45092</v>
      </c>
      <c r="Y93" s="89">
        <v>45137</v>
      </c>
      <c r="Z93" s="161"/>
      <c r="AA93" s="31"/>
      <c r="AB93" s="31"/>
      <c r="AC93" s="37"/>
      <c r="AD93" s="31"/>
      <c r="AE93" s="132">
        <v>45089</v>
      </c>
      <c r="AF93" s="132">
        <v>45093</v>
      </c>
      <c r="AG93" s="132">
        <v>45093</v>
      </c>
      <c r="AH93" s="132">
        <v>45096</v>
      </c>
      <c r="AI93" s="162">
        <v>45103</v>
      </c>
      <c r="AJ93" s="162">
        <v>45086</v>
      </c>
      <c r="AK93" s="162">
        <v>45086</v>
      </c>
      <c r="AL93" s="162">
        <v>45103</v>
      </c>
      <c r="AM93" s="162">
        <v>45103</v>
      </c>
      <c r="AN93" s="162">
        <v>45086</v>
      </c>
      <c r="AO93" s="162">
        <v>45103</v>
      </c>
      <c r="AP93" s="162"/>
      <c r="AQ93" s="162">
        <v>45103</v>
      </c>
      <c r="AR93" s="162">
        <v>45103</v>
      </c>
      <c r="AS93" s="162">
        <v>45103</v>
      </c>
      <c r="AT93" s="162">
        <v>45107</v>
      </c>
      <c r="AU93" s="47" t="s">
        <v>211</v>
      </c>
      <c r="AV93" s="39"/>
      <c r="AW93" s="39"/>
      <c r="AX93" s="39"/>
      <c r="AY93" s="39"/>
    </row>
    <row r="94" spans="1:51" ht="18" customHeight="1">
      <c r="A94" s="40">
        <f>IF(A93="","",A93)</f>
        <v>812519</v>
      </c>
      <c r="B94" s="41"/>
      <c r="C94" s="42"/>
      <c r="D94" s="42"/>
      <c r="E94" s="42"/>
      <c r="F94" s="43" t="s">
        <v>48</v>
      </c>
      <c r="G94" s="59"/>
      <c r="H94" s="59"/>
      <c r="I94" s="44"/>
      <c r="J94" s="52"/>
      <c r="K94" s="53"/>
      <c r="L94" s="537"/>
      <c r="M94" s="42"/>
      <c r="N94" s="42"/>
      <c r="O94" s="42"/>
      <c r="P94" s="42"/>
      <c r="Q94" s="42"/>
      <c r="R94" s="42"/>
      <c r="S94" s="42"/>
      <c r="T94" s="41"/>
      <c r="U94" s="42"/>
      <c r="V94" s="46">
        <v>45056</v>
      </c>
      <c r="W94" s="46">
        <v>45063</v>
      </c>
      <c r="X94" s="46">
        <v>45092</v>
      </c>
      <c r="Y94" s="46">
        <v>45137</v>
      </c>
      <c r="Z94" s="158"/>
      <c r="AA94" s="43"/>
      <c r="AB94" s="43"/>
      <c r="AC94" s="54"/>
      <c r="AD94" s="43"/>
      <c r="AE94" s="116">
        <v>45089</v>
      </c>
      <c r="AF94" s="129">
        <v>45096</v>
      </c>
      <c r="AG94" s="129">
        <v>45097</v>
      </c>
      <c r="AH94" s="129">
        <v>45103</v>
      </c>
      <c r="AI94" s="129">
        <v>45105</v>
      </c>
      <c r="AJ94" s="116">
        <v>45086</v>
      </c>
      <c r="AK94" s="116">
        <v>45086</v>
      </c>
      <c r="AL94" s="117" t="s">
        <v>212</v>
      </c>
      <c r="AM94" s="116">
        <v>45103</v>
      </c>
      <c r="AN94" s="116">
        <v>45086</v>
      </c>
      <c r="AO94" s="116">
        <v>45086</v>
      </c>
      <c r="AP94" s="116"/>
      <c r="AQ94" s="116">
        <v>45086</v>
      </c>
      <c r="AR94" s="129">
        <v>45107</v>
      </c>
      <c r="AS94" s="129">
        <v>45104</v>
      </c>
      <c r="AT94" s="129">
        <v>45110</v>
      </c>
      <c r="AU94" s="150"/>
      <c r="AV94" s="151"/>
      <c r="AW94" s="151"/>
      <c r="AX94" s="151"/>
      <c r="AY94" s="151"/>
    </row>
    <row r="95" spans="1:51" ht="18.75" customHeight="1">
      <c r="A95" s="196">
        <v>812738</v>
      </c>
      <c r="B95" s="96" t="s">
        <v>213</v>
      </c>
      <c r="C95" s="167" t="s">
        <v>55</v>
      </c>
      <c r="D95" s="153">
        <v>0.3</v>
      </c>
      <c r="E95" s="350">
        <v>0.2</v>
      </c>
      <c r="F95" s="66" t="s">
        <v>43</v>
      </c>
      <c r="G95" s="76">
        <v>240</v>
      </c>
      <c r="H95" s="76">
        <v>220</v>
      </c>
      <c r="I95" s="76">
        <v>4</v>
      </c>
      <c r="J95" s="417" t="s">
        <v>214</v>
      </c>
      <c r="K95" s="88" t="s">
        <v>165</v>
      </c>
      <c r="L95" s="88"/>
      <c r="M95" s="97"/>
      <c r="N95" s="97"/>
      <c r="O95" s="97"/>
      <c r="P95" s="97"/>
      <c r="Q95" s="97"/>
      <c r="R95" s="97"/>
      <c r="S95" s="97"/>
      <c r="T95" s="96"/>
      <c r="U95" s="97"/>
      <c r="V95" s="36">
        <v>44980</v>
      </c>
      <c r="W95" s="36">
        <v>45046</v>
      </c>
      <c r="X95" s="36">
        <v>44985</v>
      </c>
      <c r="Y95" s="36">
        <v>45107</v>
      </c>
      <c r="Z95" s="197" t="s">
        <v>215</v>
      </c>
      <c r="AA95" s="198" t="s">
        <v>215</v>
      </c>
      <c r="AB95" s="66" t="s">
        <v>216</v>
      </c>
      <c r="AC95" s="68">
        <v>1</v>
      </c>
      <c r="AD95" s="66"/>
      <c r="AE95" s="132">
        <v>45098</v>
      </c>
      <c r="AF95" s="132">
        <v>45106</v>
      </c>
      <c r="AG95" s="121">
        <v>45110</v>
      </c>
      <c r="AH95" s="132">
        <v>45107</v>
      </c>
      <c r="AI95" s="132">
        <v>45111</v>
      </c>
      <c r="AJ95" s="132">
        <v>45086</v>
      </c>
      <c r="AK95" s="132">
        <v>45086</v>
      </c>
      <c r="AL95" s="132">
        <v>45111</v>
      </c>
      <c r="AM95" s="132">
        <v>45111</v>
      </c>
      <c r="AN95" s="132">
        <v>45086</v>
      </c>
      <c r="AO95" s="132">
        <v>45111</v>
      </c>
      <c r="AP95" s="132"/>
      <c r="AQ95" s="132">
        <v>45111</v>
      </c>
      <c r="AR95" s="121">
        <v>45112</v>
      </c>
      <c r="AS95" s="121">
        <v>45114</v>
      </c>
      <c r="AT95" s="132">
        <v>45117</v>
      </c>
      <c r="AU95" s="150"/>
      <c r="AV95" s="151"/>
      <c r="AW95" s="151"/>
      <c r="AX95" s="151"/>
      <c r="AY95" s="151"/>
    </row>
    <row r="96" spans="1:51" ht="18" customHeight="1">
      <c r="A96" s="40">
        <v>812738</v>
      </c>
      <c r="B96" s="41"/>
      <c r="C96" s="42"/>
      <c r="D96" s="42"/>
      <c r="E96" s="42"/>
      <c r="F96" s="43" t="s">
        <v>48</v>
      </c>
      <c r="G96" s="53"/>
      <c r="H96" s="53"/>
      <c r="I96" s="53"/>
      <c r="J96" s="53"/>
      <c r="K96" s="53"/>
      <c r="L96" s="537"/>
      <c r="M96" s="42"/>
      <c r="N96" s="42"/>
      <c r="O96" s="42"/>
      <c r="P96" s="42"/>
      <c r="Q96" s="42"/>
      <c r="R96" s="42"/>
      <c r="S96" s="42"/>
      <c r="T96" s="41"/>
      <c r="U96" s="42"/>
      <c r="V96" s="46">
        <v>44980</v>
      </c>
      <c r="W96" s="46">
        <v>45046</v>
      </c>
      <c r="X96" s="46">
        <v>44985</v>
      </c>
      <c r="Y96" s="46">
        <v>45107</v>
      </c>
      <c r="Z96" s="158"/>
      <c r="AA96" s="43"/>
      <c r="AB96" s="43"/>
      <c r="AC96" s="54"/>
      <c r="AD96" s="43"/>
      <c r="AE96" s="116">
        <v>45098</v>
      </c>
      <c r="AF96" s="116">
        <v>45106</v>
      </c>
      <c r="AG96" s="116">
        <v>45107</v>
      </c>
      <c r="AH96" s="116">
        <v>45107</v>
      </c>
      <c r="AI96" s="116">
        <v>45111</v>
      </c>
      <c r="AJ96" s="116">
        <v>45068</v>
      </c>
      <c r="AK96" s="116">
        <v>45068</v>
      </c>
      <c r="AL96" s="116">
        <v>45096</v>
      </c>
      <c r="AM96" s="116">
        <v>45111</v>
      </c>
      <c r="AN96" s="116">
        <v>45086</v>
      </c>
      <c r="AO96" s="116">
        <v>45110</v>
      </c>
      <c r="AP96" s="116"/>
      <c r="AQ96" s="116">
        <v>45110</v>
      </c>
      <c r="AR96" s="116">
        <v>45112</v>
      </c>
      <c r="AS96" s="116">
        <v>45107</v>
      </c>
      <c r="AT96" s="116">
        <v>45117</v>
      </c>
      <c r="AU96" s="171"/>
      <c r="AV96" s="151"/>
      <c r="AW96" s="151"/>
      <c r="AX96" s="151"/>
      <c r="AY96" s="151"/>
    </row>
    <row r="97" spans="1:53" ht="16.5" customHeight="1" thickBot="1">
      <c r="A97" s="100"/>
      <c r="B97" s="24"/>
      <c r="C97" s="24"/>
      <c r="D97" s="24"/>
      <c r="E97" s="24"/>
      <c r="F97" s="101"/>
      <c r="G97" s="24"/>
      <c r="H97" s="24"/>
      <c r="I97" s="24"/>
      <c r="J97" s="422"/>
      <c r="K97" s="101"/>
      <c r="L97" s="101"/>
      <c r="M97" s="24"/>
      <c r="N97" s="24"/>
      <c r="O97" s="24"/>
      <c r="P97" s="24"/>
      <c r="Q97" s="24"/>
      <c r="R97" s="24"/>
      <c r="S97" s="24"/>
      <c r="T97" s="24"/>
      <c r="U97" s="24"/>
      <c r="V97" s="101"/>
      <c r="W97" s="101"/>
      <c r="X97" s="101"/>
      <c r="Y97" s="101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6"/>
      <c r="AV97" s="27"/>
      <c r="AW97" s="27"/>
      <c r="AX97" s="27"/>
      <c r="AY97" s="27"/>
    </row>
    <row r="98" spans="1:53" ht="18.75" customHeight="1">
      <c r="A98" s="160">
        <v>890002</v>
      </c>
      <c r="B98" s="29">
        <v>1773844</v>
      </c>
      <c r="C98" s="30" t="s">
        <v>42</v>
      </c>
      <c r="D98" s="30"/>
      <c r="E98" s="30"/>
      <c r="F98" s="31" t="s">
        <v>43</v>
      </c>
      <c r="G98" s="199">
        <v>200</v>
      </c>
      <c r="H98" s="199">
        <v>220</v>
      </c>
      <c r="I98" s="34">
        <v>1</v>
      </c>
      <c r="J98" s="432" t="s">
        <v>217</v>
      </c>
      <c r="K98" s="31" t="s">
        <v>45</v>
      </c>
      <c r="L98" s="161"/>
      <c r="M98" s="30"/>
      <c r="N98" s="30"/>
      <c r="O98" s="30"/>
      <c r="P98" s="30"/>
      <c r="Q98" s="30"/>
      <c r="R98" s="30"/>
      <c r="S98" s="30"/>
      <c r="T98" s="29"/>
      <c r="U98" s="30"/>
      <c r="V98" s="35" t="s">
        <v>61</v>
      </c>
      <c r="W98" s="35" t="s">
        <v>61</v>
      </c>
      <c r="X98" s="35" t="s">
        <v>61</v>
      </c>
      <c r="Y98" s="35" t="s">
        <v>61</v>
      </c>
      <c r="Z98" s="200"/>
      <c r="AA98" s="200"/>
      <c r="AB98" s="200"/>
      <c r="AC98" s="200">
        <v>7</v>
      </c>
      <c r="AD98" s="200"/>
      <c r="AE98" s="162">
        <v>45102</v>
      </c>
      <c r="AF98" s="201">
        <v>45115</v>
      </c>
      <c r="AG98" s="202">
        <v>45116</v>
      </c>
      <c r="AH98" s="202">
        <v>45117</v>
      </c>
      <c r="AI98" s="202">
        <v>45131</v>
      </c>
      <c r="AJ98" s="162">
        <v>45104</v>
      </c>
      <c r="AK98" s="162">
        <v>45105</v>
      </c>
      <c r="AL98" s="162">
        <v>45110</v>
      </c>
      <c r="AM98" s="203">
        <v>45112</v>
      </c>
      <c r="AN98" s="162">
        <v>45105</v>
      </c>
      <c r="AO98" s="203">
        <v>45110</v>
      </c>
      <c r="AP98" s="203"/>
      <c r="AQ98" s="203">
        <v>45110</v>
      </c>
      <c r="AR98" s="203">
        <v>45112</v>
      </c>
      <c r="AS98" s="203">
        <v>45114</v>
      </c>
      <c r="AT98" s="203">
        <v>45117</v>
      </c>
      <c r="AU98" s="150"/>
      <c r="AV98" s="151"/>
      <c r="AW98" s="151"/>
      <c r="AX98" s="151"/>
      <c r="AY98" s="151"/>
    </row>
    <row r="99" spans="1:53" ht="18" customHeight="1">
      <c r="A99" s="40">
        <v>1773844</v>
      </c>
      <c r="B99" s="41"/>
      <c r="C99" s="42"/>
      <c r="D99" s="42"/>
      <c r="E99" s="42"/>
      <c r="F99" s="43" t="s">
        <v>48</v>
      </c>
      <c r="G99" s="59"/>
      <c r="H99" s="59"/>
      <c r="I99" s="44"/>
      <c r="J99" s="52"/>
      <c r="K99" s="53"/>
      <c r="L99" s="537"/>
      <c r="M99" s="42"/>
      <c r="N99" s="42"/>
      <c r="O99" s="42"/>
      <c r="P99" s="42"/>
      <c r="Q99" s="42"/>
      <c r="R99" s="42"/>
      <c r="S99" s="42"/>
      <c r="T99" s="41"/>
      <c r="U99" s="42"/>
      <c r="V99" s="53"/>
      <c r="W99" s="53"/>
      <c r="X99" s="53"/>
      <c r="Y99" s="53"/>
      <c r="Z99" s="128"/>
      <c r="AA99" s="128"/>
      <c r="AB99" s="128"/>
      <c r="AC99" s="128"/>
      <c r="AD99" s="128"/>
      <c r="AE99" s="204">
        <v>45104</v>
      </c>
      <c r="AF99" s="116">
        <v>45115</v>
      </c>
      <c r="AG99" s="116">
        <v>45116</v>
      </c>
      <c r="AH99" s="116">
        <v>45117</v>
      </c>
      <c r="AI99" s="116">
        <v>45131</v>
      </c>
      <c r="AJ99" s="116">
        <v>45104</v>
      </c>
      <c r="AK99" s="116">
        <v>45105</v>
      </c>
      <c r="AL99" s="116">
        <v>45110</v>
      </c>
      <c r="AM99" s="116">
        <v>45112</v>
      </c>
      <c r="AN99" s="116">
        <v>45105</v>
      </c>
      <c r="AO99" s="116">
        <v>45110</v>
      </c>
      <c r="AP99" s="116"/>
      <c r="AQ99" s="116">
        <v>45110</v>
      </c>
      <c r="AR99" s="116">
        <v>45112</v>
      </c>
      <c r="AS99" s="116">
        <v>45114</v>
      </c>
      <c r="AT99" s="116">
        <v>45117</v>
      </c>
      <c r="AU99" s="150"/>
      <c r="AV99" s="151"/>
      <c r="AW99" s="151"/>
      <c r="AX99" s="151"/>
      <c r="AY99" s="151"/>
    </row>
    <row r="100" spans="1:53" ht="18.75" customHeight="1">
      <c r="A100" s="149">
        <v>812742</v>
      </c>
      <c r="B100" s="29">
        <v>812742</v>
      </c>
      <c r="C100" s="30" t="s">
        <v>42</v>
      </c>
      <c r="D100" s="30"/>
      <c r="E100" s="30"/>
      <c r="F100" s="31" t="s">
        <v>43</v>
      </c>
      <c r="G100" s="33">
        <v>180</v>
      </c>
      <c r="H100" s="33">
        <v>400</v>
      </c>
      <c r="I100" s="34">
        <v>1</v>
      </c>
      <c r="J100" s="417" t="s">
        <v>218</v>
      </c>
      <c r="K100" s="81" t="s">
        <v>97</v>
      </c>
      <c r="L100" s="538"/>
      <c r="M100" s="30"/>
      <c r="N100" s="30"/>
      <c r="O100" s="30"/>
      <c r="P100" s="30"/>
      <c r="Q100" s="30"/>
      <c r="R100" s="30"/>
      <c r="S100" s="30"/>
      <c r="T100" s="29"/>
      <c r="U100" s="30"/>
      <c r="V100" s="36">
        <v>45057</v>
      </c>
      <c r="W100" s="36">
        <v>45088</v>
      </c>
      <c r="X100" s="36">
        <v>45057</v>
      </c>
      <c r="Y100" s="36">
        <v>45088</v>
      </c>
      <c r="Z100" s="205"/>
      <c r="AA100" s="200" t="s">
        <v>72</v>
      </c>
      <c r="AB100" s="200" t="s">
        <v>219</v>
      </c>
      <c r="AC100" s="200">
        <v>3</v>
      </c>
      <c r="AD100" s="200"/>
      <c r="AE100" s="162">
        <v>45107</v>
      </c>
      <c r="AF100" s="121">
        <v>45115</v>
      </c>
      <c r="AG100" s="201">
        <v>45124</v>
      </c>
      <c r="AH100" s="206">
        <v>45121</v>
      </c>
      <c r="AI100" s="206">
        <v>45127</v>
      </c>
      <c r="AJ100" s="132">
        <v>45107</v>
      </c>
      <c r="AK100" s="132">
        <v>45107</v>
      </c>
      <c r="AL100" s="132">
        <v>45121</v>
      </c>
      <c r="AM100" s="132">
        <v>45121</v>
      </c>
      <c r="AN100" s="132">
        <v>45107</v>
      </c>
      <c r="AO100" s="132">
        <v>45121</v>
      </c>
      <c r="AP100" s="132"/>
      <c r="AQ100" s="132">
        <v>45121</v>
      </c>
      <c r="AR100" s="190">
        <v>45121</v>
      </c>
      <c r="AS100" s="190">
        <v>45124</v>
      </c>
      <c r="AT100" s="190">
        <v>45126</v>
      </c>
      <c r="AU100" s="150"/>
      <c r="AV100" s="151"/>
      <c r="AW100" s="151"/>
      <c r="AX100" s="151"/>
      <c r="AY100" s="151"/>
    </row>
    <row r="101" spans="1:53" ht="18" customHeight="1">
      <c r="A101" s="40">
        <v>812742</v>
      </c>
      <c r="B101" s="41"/>
      <c r="C101" s="42"/>
      <c r="D101" s="42"/>
      <c r="E101" s="42"/>
      <c r="F101" s="43" t="s">
        <v>48</v>
      </c>
      <c r="G101" s="44"/>
      <c r="H101" s="44"/>
      <c r="I101" s="44"/>
      <c r="J101" s="44"/>
      <c r="K101" s="44"/>
      <c r="L101" s="58"/>
      <c r="M101" s="42"/>
      <c r="N101" s="42"/>
      <c r="O101" s="42"/>
      <c r="P101" s="42"/>
      <c r="Q101" s="42"/>
      <c r="R101" s="42"/>
      <c r="S101" s="42"/>
      <c r="T101" s="41"/>
      <c r="U101" s="42"/>
      <c r="V101" s="46">
        <v>45057</v>
      </c>
      <c r="W101" s="46">
        <v>45089</v>
      </c>
      <c r="X101" s="46">
        <v>45057</v>
      </c>
      <c r="Y101" s="46">
        <v>45091</v>
      </c>
      <c r="Z101" s="207"/>
      <c r="AA101" s="207"/>
      <c r="AB101" s="207"/>
      <c r="AC101" s="207"/>
      <c r="AD101" s="207"/>
      <c r="AE101" s="116">
        <v>45107</v>
      </c>
      <c r="AF101" s="116">
        <v>45115</v>
      </c>
      <c r="AG101" s="208">
        <v>45124</v>
      </c>
      <c r="AH101" s="116">
        <v>45121</v>
      </c>
      <c r="AI101" s="116">
        <v>45127</v>
      </c>
      <c r="AJ101" s="116">
        <v>45091</v>
      </c>
      <c r="AK101" s="116">
        <v>45091</v>
      </c>
      <c r="AL101" s="116">
        <v>45110</v>
      </c>
      <c r="AM101" s="116">
        <v>45120</v>
      </c>
      <c r="AN101" s="116">
        <v>45107</v>
      </c>
      <c r="AO101" s="116">
        <v>45110</v>
      </c>
      <c r="AP101" s="116"/>
      <c r="AQ101" s="116">
        <v>45110</v>
      </c>
      <c r="AR101" s="116">
        <v>45121</v>
      </c>
      <c r="AS101" s="116">
        <v>45124</v>
      </c>
      <c r="AT101" s="116">
        <v>45125</v>
      </c>
      <c r="AU101" s="150"/>
      <c r="AV101" s="151"/>
      <c r="AW101" s="151"/>
      <c r="AX101" s="151"/>
      <c r="AY101" s="151"/>
    </row>
    <row r="102" spans="1:53" ht="18.75" customHeight="1">
      <c r="A102" s="149">
        <v>812775</v>
      </c>
      <c r="B102" s="29" t="s">
        <v>220</v>
      </c>
      <c r="C102" s="30" t="s">
        <v>42</v>
      </c>
      <c r="D102" s="30"/>
      <c r="E102" s="30"/>
      <c r="F102" s="31" t="s">
        <v>43</v>
      </c>
      <c r="G102" s="33">
        <v>230</v>
      </c>
      <c r="H102" s="33">
        <v>300</v>
      </c>
      <c r="I102" s="34">
        <v>4</v>
      </c>
      <c r="J102" s="329" t="s">
        <v>218</v>
      </c>
      <c r="K102" s="31" t="s">
        <v>108</v>
      </c>
      <c r="L102" s="161"/>
      <c r="M102" s="30"/>
      <c r="N102" s="30"/>
      <c r="O102" s="30"/>
      <c r="P102" s="30"/>
      <c r="Q102" s="30"/>
      <c r="R102" s="30"/>
      <c r="S102" s="30"/>
      <c r="T102" s="29"/>
      <c r="U102" s="30"/>
      <c r="V102" s="89">
        <v>45061</v>
      </c>
      <c r="W102" s="89">
        <f>V102+31</f>
        <v>45092</v>
      </c>
      <c r="X102" s="89">
        <v>45061</v>
      </c>
      <c r="Y102" s="89">
        <v>45122</v>
      </c>
      <c r="Z102" s="200"/>
      <c r="AA102" s="200"/>
      <c r="AB102" s="200"/>
      <c r="AC102" s="200">
        <v>1</v>
      </c>
      <c r="AD102" s="200"/>
      <c r="AE102" s="162">
        <v>45113</v>
      </c>
      <c r="AF102" s="162">
        <v>45134</v>
      </c>
      <c r="AG102" s="201">
        <v>45132</v>
      </c>
      <c r="AH102" s="201">
        <v>45132</v>
      </c>
      <c r="AI102" s="201">
        <v>45135</v>
      </c>
      <c r="AJ102" s="132">
        <v>45110</v>
      </c>
      <c r="AK102" s="132">
        <v>45110</v>
      </c>
      <c r="AL102" s="132">
        <v>45127</v>
      </c>
      <c r="AM102" s="132">
        <v>45127</v>
      </c>
      <c r="AN102" s="132">
        <v>45110</v>
      </c>
      <c r="AO102" s="132">
        <v>45127</v>
      </c>
      <c r="AP102" s="132"/>
      <c r="AQ102" s="132">
        <v>45127</v>
      </c>
      <c r="AR102" s="190">
        <v>45128</v>
      </c>
      <c r="AS102" s="190">
        <v>45132</v>
      </c>
      <c r="AT102" s="190">
        <v>45135</v>
      </c>
      <c r="AU102" s="47" t="s">
        <v>221</v>
      </c>
      <c r="AV102" s="39"/>
      <c r="AW102" s="39"/>
      <c r="AX102" s="39"/>
      <c r="AY102" s="39"/>
    </row>
    <row r="103" spans="1:53" ht="18" customHeight="1">
      <c r="A103" s="40">
        <v>812775</v>
      </c>
      <c r="B103" s="41"/>
      <c r="C103" s="42"/>
      <c r="D103" s="42"/>
      <c r="E103" s="42"/>
      <c r="F103" s="43" t="s">
        <v>48</v>
      </c>
      <c r="G103" s="59"/>
      <c r="H103" s="59"/>
      <c r="I103" s="44"/>
      <c r="J103" s="52"/>
      <c r="K103" s="53"/>
      <c r="L103" s="537"/>
      <c r="M103" s="42"/>
      <c r="N103" s="42"/>
      <c r="O103" s="42"/>
      <c r="P103" s="42"/>
      <c r="Q103" s="42"/>
      <c r="R103" s="42"/>
      <c r="S103" s="42"/>
      <c r="T103" s="41"/>
      <c r="U103" s="42"/>
      <c r="V103" s="46">
        <v>45061</v>
      </c>
      <c r="W103" s="46">
        <v>45092</v>
      </c>
      <c r="X103" s="46">
        <v>45061</v>
      </c>
      <c r="Y103" s="46">
        <v>45146</v>
      </c>
      <c r="Z103" s="128"/>
      <c r="AA103" s="128"/>
      <c r="AB103" s="128"/>
      <c r="AC103" s="128"/>
      <c r="AD103" s="128"/>
      <c r="AE103" s="116">
        <v>45113</v>
      </c>
      <c r="AF103" s="116">
        <v>45134</v>
      </c>
      <c r="AG103" s="116">
        <v>45132</v>
      </c>
      <c r="AH103" s="116">
        <v>45133</v>
      </c>
      <c r="AI103" s="116">
        <v>45135</v>
      </c>
      <c r="AJ103" s="116">
        <v>45110</v>
      </c>
      <c r="AK103" s="116">
        <v>45096</v>
      </c>
      <c r="AL103" s="116">
        <v>45117</v>
      </c>
      <c r="AM103" s="116">
        <v>45127</v>
      </c>
      <c r="AN103" s="116">
        <v>45110</v>
      </c>
      <c r="AO103" s="116">
        <v>45117</v>
      </c>
      <c r="AP103" s="116"/>
      <c r="AQ103" s="116">
        <v>45117</v>
      </c>
      <c r="AR103" s="116">
        <v>45128</v>
      </c>
      <c r="AS103" s="116">
        <v>45131</v>
      </c>
      <c r="AT103" s="116">
        <v>45132</v>
      </c>
      <c r="AU103" s="150"/>
      <c r="AV103" s="151"/>
      <c r="AW103" s="151"/>
      <c r="AX103" s="151"/>
      <c r="AY103" s="151"/>
    </row>
    <row r="104" spans="1:53" ht="18.75" customHeight="1">
      <c r="A104" s="209">
        <v>812795</v>
      </c>
      <c r="B104" s="177">
        <v>812795</v>
      </c>
      <c r="C104" s="30" t="s">
        <v>42</v>
      </c>
      <c r="D104" s="153"/>
      <c r="E104" s="153"/>
      <c r="F104" s="31" t="s">
        <v>43</v>
      </c>
      <c r="G104" s="50">
        <v>400</v>
      </c>
      <c r="H104" s="50">
        <v>500</v>
      </c>
      <c r="I104" s="34">
        <v>1</v>
      </c>
      <c r="J104" s="290" t="s">
        <v>222</v>
      </c>
      <c r="K104" s="81" t="s">
        <v>66</v>
      </c>
      <c r="L104" s="538"/>
      <c r="M104" s="178"/>
      <c r="N104" s="178"/>
      <c r="O104" s="178"/>
      <c r="P104" s="178"/>
      <c r="Q104" s="178"/>
      <c r="R104" s="178"/>
      <c r="S104" s="178"/>
      <c r="T104" s="177"/>
      <c r="U104" s="178"/>
      <c r="V104" s="89">
        <v>45083</v>
      </c>
      <c r="W104" s="89">
        <v>45112</v>
      </c>
      <c r="X104" s="89">
        <v>45083</v>
      </c>
      <c r="Y104" s="89">
        <v>45122</v>
      </c>
      <c r="Z104" s="205"/>
      <c r="AA104" s="200"/>
      <c r="AB104" s="200"/>
      <c r="AC104" s="200">
        <v>1</v>
      </c>
      <c r="AD104" s="200"/>
      <c r="AE104" s="162">
        <v>45125</v>
      </c>
      <c r="AF104" s="121">
        <v>45135</v>
      </c>
      <c r="AG104" s="173">
        <v>45139</v>
      </c>
      <c r="AH104" s="173">
        <v>45139</v>
      </c>
      <c r="AI104" s="173">
        <v>45137</v>
      </c>
      <c r="AJ104" s="132">
        <v>45127</v>
      </c>
      <c r="AK104" s="132">
        <v>45127</v>
      </c>
      <c r="AL104" s="132">
        <v>45137</v>
      </c>
      <c r="AM104" s="132">
        <v>45137</v>
      </c>
      <c r="AN104" s="132">
        <v>45127</v>
      </c>
      <c r="AO104" s="190">
        <v>45132</v>
      </c>
      <c r="AP104" s="190"/>
      <c r="AQ104" s="190">
        <v>45132</v>
      </c>
      <c r="AR104" s="190">
        <v>45134</v>
      </c>
      <c r="AS104" s="190">
        <v>45137</v>
      </c>
      <c r="AT104" s="190">
        <v>45141</v>
      </c>
      <c r="AU104" s="150"/>
      <c r="AV104" s="151"/>
      <c r="AW104" s="151"/>
      <c r="AX104" s="151"/>
      <c r="AY104" s="151"/>
    </row>
    <row r="105" spans="1:53" ht="18" customHeight="1">
      <c r="A105" s="180">
        <v>812795</v>
      </c>
      <c r="B105" s="181"/>
      <c r="C105" s="182"/>
      <c r="D105" s="182"/>
      <c r="E105" s="182"/>
      <c r="F105" s="43" t="s">
        <v>48</v>
      </c>
      <c r="G105" s="183"/>
      <c r="H105" s="183"/>
      <c r="I105" s="184"/>
      <c r="J105" s="429"/>
      <c r="K105" s="53"/>
      <c r="L105" s="537"/>
      <c r="M105" s="185"/>
      <c r="N105" s="185"/>
      <c r="O105" s="185"/>
      <c r="P105" s="185"/>
      <c r="Q105" s="185"/>
      <c r="R105" s="185"/>
      <c r="S105" s="185"/>
      <c r="T105" s="181"/>
      <c r="U105" s="185"/>
      <c r="V105" s="46">
        <v>45083</v>
      </c>
      <c r="W105" s="46">
        <v>45163</v>
      </c>
      <c r="X105" s="46">
        <v>45083</v>
      </c>
      <c r="Y105" s="46">
        <v>45195</v>
      </c>
      <c r="Z105" s="210"/>
      <c r="AA105" s="128"/>
      <c r="AB105" s="128"/>
      <c r="AC105" s="128"/>
      <c r="AD105" s="128"/>
      <c r="AE105" s="116">
        <v>45119</v>
      </c>
      <c r="AF105" s="116">
        <v>45135</v>
      </c>
      <c r="AG105" s="116">
        <v>45139</v>
      </c>
      <c r="AH105" s="116">
        <v>45139</v>
      </c>
      <c r="AI105" s="116">
        <v>45137</v>
      </c>
      <c r="AJ105" s="116">
        <v>45124</v>
      </c>
      <c r="AK105" s="116">
        <v>45125</v>
      </c>
      <c r="AL105" s="116">
        <v>45137</v>
      </c>
      <c r="AM105" s="170">
        <v>45168</v>
      </c>
      <c r="AN105" s="116">
        <v>45126</v>
      </c>
      <c r="AO105" s="116">
        <v>45127</v>
      </c>
      <c r="AP105" s="116"/>
      <c r="AQ105" s="116">
        <v>45127</v>
      </c>
      <c r="AR105" s="116">
        <v>45134</v>
      </c>
      <c r="AS105" s="116">
        <v>45137</v>
      </c>
      <c r="AT105" s="116">
        <v>45141</v>
      </c>
      <c r="AU105" s="150"/>
      <c r="AV105" s="151"/>
      <c r="AW105" s="151"/>
      <c r="AX105" s="151"/>
      <c r="AY105" s="151"/>
    </row>
    <row r="106" spans="1:53" ht="18.75" customHeight="1">
      <c r="A106" s="149">
        <v>812748</v>
      </c>
      <c r="B106" s="29" t="s">
        <v>223</v>
      </c>
      <c r="C106" s="30" t="s">
        <v>173</v>
      </c>
      <c r="D106" s="153">
        <v>1</v>
      </c>
      <c r="E106" s="153">
        <v>0.8</v>
      </c>
      <c r="F106" s="31" t="s">
        <v>43</v>
      </c>
      <c r="G106" s="33">
        <v>170</v>
      </c>
      <c r="H106" s="33">
        <v>220</v>
      </c>
      <c r="I106" s="34">
        <v>2</v>
      </c>
      <c r="J106" s="329" t="s">
        <v>224</v>
      </c>
      <c r="K106" s="81" t="s">
        <v>66</v>
      </c>
      <c r="L106" s="538"/>
      <c r="M106" s="30"/>
      <c r="N106" s="30"/>
      <c r="O106" s="30"/>
      <c r="P106" s="30"/>
      <c r="Q106" s="30"/>
      <c r="R106" s="30"/>
      <c r="S106" s="30"/>
      <c r="T106" s="29"/>
      <c r="U106" s="30"/>
      <c r="V106" s="89">
        <v>45061</v>
      </c>
      <c r="W106" s="89">
        <v>45122</v>
      </c>
      <c r="X106" s="89">
        <v>45061</v>
      </c>
      <c r="Y106" s="89">
        <v>45122</v>
      </c>
      <c r="Z106" s="205"/>
      <c r="AA106" s="200"/>
      <c r="AB106" s="200"/>
      <c r="AC106" s="200">
        <v>1</v>
      </c>
      <c r="AD106" s="200"/>
      <c r="AE106" s="162">
        <v>45131</v>
      </c>
      <c r="AF106" s="132">
        <v>45135</v>
      </c>
      <c r="AG106" s="132">
        <v>45135</v>
      </c>
      <c r="AH106" s="132">
        <v>45135</v>
      </c>
      <c r="AI106" s="132">
        <v>45148</v>
      </c>
      <c r="AJ106" s="132">
        <v>45132</v>
      </c>
      <c r="AK106" s="132">
        <v>45132</v>
      </c>
      <c r="AL106" s="132">
        <v>45143</v>
      </c>
      <c r="AM106" s="132">
        <v>45148</v>
      </c>
      <c r="AN106" s="132">
        <v>45132</v>
      </c>
      <c r="AO106" s="121">
        <v>45137</v>
      </c>
      <c r="AP106" s="121"/>
      <c r="AQ106" s="121">
        <v>45137</v>
      </c>
      <c r="AR106" s="121">
        <v>45189</v>
      </c>
      <c r="AS106" s="121">
        <v>45189</v>
      </c>
      <c r="AT106" s="121">
        <v>45189</v>
      </c>
      <c r="AU106" s="150"/>
      <c r="AV106" s="151"/>
      <c r="AW106" s="151"/>
      <c r="AX106" s="151"/>
      <c r="AY106" s="151"/>
    </row>
    <row r="107" spans="1:53" ht="18" customHeight="1">
      <c r="A107" s="40">
        <v>812748</v>
      </c>
      <c r="B107" s="41"/>
      <c r="C107" s="42" t="s">
        <v>225</v>
      </c>
      <c r="D107" s="42"/>
      <c r="E107" s="42"/>
      <c r="F107" s="43" t="s">
        <v>48</v>
      </c>
      <c r="G107" s="59"/>
      <c r="H107" s="59"/>
      <c r="I107" s="44"/>
      <c r="J107" s="52"/>
      <c r="K107" s="53"/>
      <c r="L107" s="537"/>
      <c r="M107" s="42"/>
      <c r="N107" s="42"/>
      <c r="O107" s="42"/>
      <c r="P107" s="42"/>
      <c r="Q107" s="42"/>
      <c r="R107" s="42"/>
      <c r="S107" s="42"/>
      <c r="T107" s="41"/>
      <c r="U107" s="42"/>
      <c r="V107" s="46">
        <v>45061</v>
      </c>
      <c r="W107" s="46">
        <v>45092</v>
      </c>
      <c r="X107" s="46">
        <v>45061</v>
      </c>
      <c r="Y107" s="46">
        <v>45092</v>
      </c>
      <c r="Z107" s="210"/>
      <c r="AA107" s="128"/>
      <c r="AB107" s="128"/>
      <c r="AC107" s="128"/>
      <c r="AD107" s="128"/>
      <c r="AE107" s="118" t="s">
        <v>226</v>
      </c>
      <c r="AF107" s="118" t="s">
        <v>226</v>
      </c>
      <c r="AG107" s="118" t="s">
        <v>226</v>
      </c>
      <c r="AH107" s="118" t="s">
        <v>226</v>
      </c>
      <c r="AI107" s="118" t="s">
        <v>226</v>
      </c>
      <c r="AJ107" s="116">
        <v>45126</v>
      </c>
      <c r="AK107" s="116">
        <v>45128</v>
      </c>
      <c r="AL107" s="116">
        <v>45131</v>
      </c>
      <c r="AM107" s="116">
        <v>45148</v>
      </c>
      <c r="AN107" s="116">
        <v>45131</v>
      </c>
      <c r="AO107" s="116">
        <v>45111</v>
      </c>
      <c r="AP107" s="116"/>
      <c r="AQ107" s="116">
        <v>45111</v>
      </c>
      <c r="AR107" s="116">
        <v>45189</v>
      </c>
      <c r="AS107" s="116">
        <v>45189</v>
      </c>
      <c r="AT107" s="116">
        <v>45189</v>
      </c>
      <c r="AU107" s="150"/>
      <c r="AV107" s="151"/>
      <c r="AW107" s="151"/>
      <c r="AX107" s="151"/>
      <c r="AY107" s="151"/>
    </row>
    <row r="108" spans="1:53" ht="16.5" customHeight="1" thickBot="1">
      <c r="A108" s="100"/>
      <c r="B108" s="24"/>
      <c r="C108" s="24"/>
      <c r="D108" s="24"/>
      <c r="E108" s="24"/>
      <c r="F108" s="101"/>
      <c r="G108" s="24"/>
      <c r="H108" s="24"/>
      <c r="I108" s="24"/>
      <c r="J108" s="422"/>
      <c r="K108" s="101"/>
      <c r="L108" s="101"/>
      <c r="M108" s="24"/>
      <c r="N108" s="24"/>
      <c r="O108" s="24"/>
      <c r="P108" s="24"/>
      <c r="Q108" s="24"/>
      <c r="R108" s="24"/>
      <c r="S108" s="24"/>
      <c r="T108" s="24"/>
      <c r="U108" s="24"/>
      <c r="V108" s="101"/>
      <c r="W108" s="101"/>
      <c r="X108" s="101"/>
      <c r="Y108" s="101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6"/>
      <c r="AV108" s="27"/>
      <c r="AW108" s="27"/>
      <c r="AX108" s="27"/>
      <c r="AY108" s="27"/>
    </row>
    <row r="109" spans="1:53" ht="18.75" customHeight="1">
      <c r="A109" s="102">
        <v>812765</v>
      </c>
      <c r="B109" s="211">
        <v>812765</v>
      </c>
      <c r="C109" s="212" t="s">
        <v>42</v>
      </c>
      <c r="D109" s="212"/>
      <c r="E109" s="212"/>
      <c r="F109" s="213" t="s">
        <v>43</v>
      </c>
      <c r="G109" s="215">
        <v>150</v>
      </c>
      <c r="H109" s="215">
        <v>132</v>
      </c>
      <c r="I109" s="216">
        <v>1</v>
      </c>
      <c r="J109" s="433" t="s">
        <v>227</v>
      </c>
      <c r="K109" s="213" t="s">
        <v>108</v>
      </c>
      <c r="L109" s="541"/>
      <c r="M109" s="212"/>
      <c r="N109" s="212"/>
      <c r="O109" s="212"/>
      <c r="P109" s="212"/>
      <c r="Q109" s="212"/>
      <c r="R109" s="212"/>
      <c r="S109" s="212"/>
      <c r="T109" s="211"/>
      <c r="U109" s="212"/>
      <c r="V109" s="217">
        <v>45103</v>
      </c>
      <c r="W109" s="217">
        <v>45122</v>
      </c>
      <c r="X109" s="217">
        <v>45099</v>
      </c>
      <c r="Y109" s="89">
        <v>45137</v>
      </c>
      <c r="Z109" s="218"/>
      <c r="AA109" s="218"/>
      <c r="AB109" s="218"/>
      <c r="AC109" s="218"/>
      <c r="AD109" s="218"/>
      <c r="AE109" s="219">
        <v>45138</v>
      </c>
      <c r="AF109" s="219">
        <v>45142</v>
      </c>
      <c r="AG109" s="219">
        <v>45142</v>
      </c>
      <c r="AH109" s="219">
        <v>45142</v>
      </c>
      <c r="AI109" s="219">
        <v>45153</v>
      </c>
      <c r="AJ109" s="219">
        <v>45140</v>
      </c>
      <c r="AK109" s="219">
        <v>45140</v>
      </c>
      <c r="AL109" s="219">
        <v>45153</v>
      </c>
      <c r="AM109" s="219">
        <v>45148</v>
      </c>
      <c r="AN109" s="219">
        <v>45140</v>
      </c>
      <c r="AO109" s="219">
        <v>45153</v>
      </c>
      <c r="AP109" s="219"/>
      <c r="AQ109" s="219">
        <v>45153</v>
      </c>
      <c r="AR109" s="219">
        <v>45153</v>
      </c>
      <c r="AS109" s="219">
        <v>45153</v>
      </c>
      <c r="AT109" s="219">
        <v>45156</v>
      </c>
      <c r="AU109" s="220"/>
      <c r="AV109" s="39"/>
      <c r="AW109" s="39"/>
      <c r="AX109" s="39"/>
      <c r="AY109" s="39"/>
      <c r="AZ109" s="221" t="s">
        <v>228</v>
      </c>
      <c r="BA109" s="222" t="s">
        <v>229</v>
      </c>
    </row>
    <row r="110" spans="1:53" ht="18" customHeight="1">
      <c r="A110" s="40">
        <v>812765</v>
      </c>
      <c r="B110" s="41"/>
      <c r="C110" s="42"/>
      <c r="D110" s="42"/>
      <c r="E110" s="42"/>
      <c r="F110" s="43" t="s">
        <v>48</v>
      </c>
      <c r="G110" s="59"/>
      <c r="H110" s="59"/>
      <c r="I110" s="44"/>
      <c r="J110" s="52"/>
      <c r="K110" s="53"/>
      <c r="L110" s="537"/>
      <c r="M110" s="42"/>
      <c r="N110" s="42"/>
      <c r="O110" s="42"/>
      <c r="P110" s="42"/>
      <c r="Q110" s="42"/>
      <c r="R110" s="42"/>
      <c r="S110" s="42"/>
      <c r="T110" s="41"/>
      <c r="U110" s="42"/>
      <c r="V110" s="116">
        <v>45103</v>
      </c>
      <c r="W110" s="129">
        <v>45134</v>
      </c>
      <c r="X110" s="116">
        <v>45099</v>
      </c>
      <c r="Y110" s="116">
        <v>45139</v>
      </c>
      <c r="Z110" s="128"/>
      <c r="AA110" s="128"/>
      <c r="AB110" s="128"/>
      <c r="AC110" s="128"/>
      <c r="AD110" s="128"/>
      <c r="AE110" s="223">
        <v>45138</v>
      </c>
      <c r="AF110" s="223">
        <v>45146</v>
      </c>
      <c r="AG110" s="223">
        <v>45146</v>
      </c>
      <c r="AH110" s="223">
        <v>45142</v>
      </c>
      <c r="AI110" s="223">
        <v>45152</v>
      </c>
      <c r="AJ110" s="116">
        <v>45140</v>
      </c>
      <c r="AK110" s="116">
        <v>45140</v>
      </c>
      <c r="AL110" s="116">
        <v>45140</v>
      </c>
      <c r="AM110" s="116">
        <v>45143</v>
      </c>
      <c r="AN110" s="116">
        <v>45135</v>
      </c>
      <c r="AO110" s="116">
        <v>45148</v>
      </c>
      <c r="AP110" s="116"/>
      <c r="AQ110" s="116">
        <v>45148</v>
      </c>
      <c r="AR110" s="116">
        <v>45148</v>
      </c>
      <c r="AS110" s="116">
        <v>45148</v>
      </c>
      <c r="AT110" s="116">
        <v>45152</v>
      </c>
      <c r="AU110" s="150"/>
      <c r="AV110" s="151"/>
      <c r="AW110" s="151"/>
      <c r="AX110" s="151"/>
      <c r="AY110" s="151"/>
    </row>
    <row r="111" spans="1:53" ht="18.75" customHeight="1">
      <c r="A111" s="224">
        <v>850539</v>
      </c>
      <c r="B111" s="29">
        <v>850539</v>
      </c>
      <c r="C111" s="30" t="s">
        <v>42</v>
      </c>
      <c r="D111" s="30"/>
      <c r="E111" s="30"/>
      <c r="F111" s="31" t="s">
        <v>43</v>
      </c>
      <c r="G111" s="33">
        <v>150</v>
      </c>
      <c r="H111" s="33">
        <v>220</v>
      </c>
      <c r="I111" s="34">
        <v>1</v>
      </c>
      <c r="J111" s="290" t="s">
        <v>230</v>
      </c>
      <c r="K111" s="31" t="s">
        <v>231</v>
      </c>
      <c r="L111" s="161"/>
      <c r="M111" s="30"/>
      <c r="N111" s="30"/>
      <c r="O111" s="30"/>
      <c r="P111" s="30"/>
      <c r="Q111" s="30"/>
      <c r="R111" s="30"/>
      <c r="S111" s="30"/>
      <c r="T111" s="29"/>
      <c r="U111" s="30"/>
      <c r="V111" s="225"/>
      <c r="W111" s="225"/>
      <c r="X111" s="225"/>
      <c r="Y111" s="225"/>
      <c r="Z111" s="226"/>
      <c r="AA111" s="226"/>
      <c r="AB111" s="226"/>
      <c r="AC111" s="226"/>
      <c r="AD111" s="226"/>
      <c r="AE111" s="132">
        <v>45141</v>
      </c>
      <c r="AF111" s="132">
        <v>45149</v>
      </c>
      <c r="AG111" s="132">
        <v>45149</v>
      </c>
      <c r="AH111" s="132">
        <v>45149</v>
      </c>
      <c r="AI111" s="132">
        <v>45156</v>
      </c>
      <c r="AJ111" s="124" t="s">
        <v>62</v>
      </c>
      <c r="AK111" s="132">
        <v>45142</v>
      </c>
      <c r="AL111" s="132">
        <v>45156</v>
      </c>
      <c r="AM111" s="132">
        <v>45156</v>
      </c>
      <c r="AN111" s="132">
        <v>45145</v>
      </c>
      <c r="AO111" s="132">
        <v>45156</v>
      </c>
      <c r="AP111" s="132"/>
      <c r="AQ111" s="132">
        <v>45156</v>
      </c>
      <c r="AR111" s="132">
        <v>45156</v>
      </c>
      <c r="AS111" s="132">
        <v>45156</v>
      </c>
      <c r="AT111" s="132">
        <v>45160</v>
      </c>
      <c r="AU111" s="150"/>
      <c r="AV111" s="151"/>
      <c r="AW111" s="151"/>
      <c r="AX111" s="151"/>
      <c r="AY111" s="151"/>
    </row>
    <row r="112" spans="1:53" ht="18" customHeight="1">
      <c r="A112" s="227">
        <f>IF(A111="","",A111)</f>
        <v>850539</v>
      </c>
      <c r="B112" s="41"/>
      <c r="C112" s="41"/>
      <c r="D112" s="42"/>
      <c r="E112" s="42"/>
      <c r="F112" s="43" t="s">
        <v>48</v>
      </c>
      <c r="G112" s="59"/>
      <c r="H112" s="59"/>
      <c r="I112" s="44"/>
      <c r="J112" s="52"/>
      <c r="K112" s="53"/>
      <c r="L112" s="537"/>
      <c r="M112" s="42"/>
      <c r="N112" s="42"/>
      <c r="O112" s="42"/>
      <c r="P112" s="42"/>
      <c r="Q112" s="42"/>
      <c r="R112" s="42"/>
      <c r="S112" s="42"/>
      <c r="T112" s="41"/>
      <c r="U112" s="42"/>
      <c r="V112" s="118"/>
      <c r="W112" s="118"/>
      <c r="X112" s="118"/>
      <c r="Y112" s="118"/>
      <c r="Z112" s="118"/>
      <c r="AA112" s="118"/>
      <c r="AB112" s="118"/>
      <c r="AC112" s="118"/>
      <c r="AD112" s="118"/>
      <c r="AE112" s="223">
        <v>45141</v>
      </c>
      <c r="AF112" s="223">
        <v>45147</v>
      </c>
      <c r="AG112" s="223">
        <v>45146</v>
      </c>
      <c r="AH112" s="223">
        <v>45146</v>
      </c>
      <c r="AI112" s="116">
        <v>45152</v>
      </c>
      <c r="AJ112" s="117" t="s">
        <v>81</v>
      </c>
      <c r="AK112" s="116">
        <v>45142</v>
      </c>
      <c r="AL112" s="116">
        <v>45156</v>
      </c>
      <c r="AM112" s="116">
        <v>45156</v>
      </c>
      <c r="AN112" s="116">
        <v>45145</v>
      </c>
      <c r="AO112" s="116">
        <v>45145</v>
      </c>
      <c r="AP112" s="116"/>
      <c r="AQ112" s="116">
        <v>45145</v>
      </c>
      <c r="AR112" s="116">
        <v>45149</v>
      </c>
      <c r="AS112" s="116">
        <v>45156</v>
      </c>
      <c r="AT112" s="116">
        <v>45159</v>
      </c>
      <c r="AU112" s="228"/>
    </row>
    <row r="113" spans="1:56" ht="18.75" customHeight="1">
      <c r="A113" s="224">
        <v>812809</v>
      </c>
      <c r="B113" s="29" t="s">
        <v>232</v>
      </c>
      <c r="C113" s="167" t="s">
        <v>55</v>
      </c>
      <c r="D113" s="153">
        <v>0.95</v>
      </c>
      <c r="E113" s="153">
        <v>0.65</v>
      </c>
      <c r="F113" s="31" t="s">
        <v>43</v>
      </c>
      <c r="G113" s="33">
        <v>700</v>
      </c>
      <c r="H113" s="33">
        <v>750</v>
      </c>
      <c r="I113" s="34">
        <v>3</v>
      </c>
      <c r="J113" s="434" t="s">
        <v>233</v>
      </c>
      <c r="K113" s="31" t="s">
        <v>45</v>
      </c>
      <c r="L113" s="161"/>
      <c r="M113" s="30"/>
      <c r="N113" s="30"/>
      <c r="O113" s="30"/>
      <c r="P113" s="30"/>
      <c r="Q113" s="30"/>
      <c r="R113" s="30"/>
      <c r="S113" s="30"/>
      <c r="T113" s="29"/>
      <c r="U113" s="30"/>
      <c r="V113" s="225">
        <v>45152</v>
      </c>
      <c r="W113" s="225">
        <v>45159</v>
      </c>
      <c r="X113" s="225">
        <v>45152</v>
      </c>
      <c r="Y113" s="225">
        <v>45159</v>
      </c>
      <c r="Z113" s="229"/>
      <c r="AA113" s="229"/>
      <c r="AB113" s="200"/>
      <c r="AC113" s="200"/>
      <c r="AD113" s="200"/>
      <c r="AE113" s="132">
        <v>45159</v>
      </c>
      <c r="AF113" s="132">
        <v>45156</v>
      </c>
      <c r="AG113" s="132">
        <v>45156</v>
      </c>
      <c r="AH113" s="132">
        <v>45156</v>
      </c>
      <c r="AI113" s="132">
        <v>45169</v>
      </c>
      <c r="AJ113" s="132">
        <v>45153</v>
      </c>
      <c r="AK113" s="132">
        <v>45153</v>
      </c>
      <c r="AL113" s="132">
        <v>45166</v>
      </c>
      <c r="AM113" s="132">
        <v>45166</v>
      </c>
      <c r="AN113" s="132">
        <v>45153</v>
      </c>
      <c r="AO113" s="132" t="s">
        <v>234</v>
      </c>
      <c r="AP113" s="132"/>
      <c r="AQ113" s="132" t="s">
        <v>234</v>
      </c>
      <c r="AR113" s="132">
        <v>45169</v>
      </c>
      <c r="AS113" s="132">
        <v>45169</v>
      </c>
      <c r="AT113" s="132">
        <v>45170</v>
      </c>
      <c r="AU113" s="47" t="s">
        <v>235</v>
      </c>
      <c r="AV113" s="39"/>
      <c r="AW113" s="39"/>
      <c r="AX113" s="39"/>
      <c r="AY113" s="39"/>
    </row>
    <row r="114" spans="1:56" ht="18" customHeight="1">
      <c r="A114" s="227">
        <f>IF(A113="","",A113)</f>
        <v>812809</v>
      </c>
      <c r="B114" s="41"/>
      <c r="C114" s="42"/>
      <c r="D114" s="42"/>
      <c r="E114" s="42"/>
      <c r="F114" s="43" t="s">
        <v>48</v>
      </c>
      <c r="G114" s="59"/>
      <c r="H114" s="59"/>
      <c r="I114" s="44"/>
      <c r="J114" s="52"/>
      <c r="K114" s="53"/>
      <c r="L114" s="537"/>
      <c r="M114" s="42"/>
      <c r="N114" s="42"/>
      <c r="O114" s="42"/>
      <c r="P114" s="42"/>
      <c r="Q114" s="42"/>
      <c r="R114" s="42"/>
      <c r="S114" s="42"/>
      <c r="T114" s="41"/>
      <c r="U114" s="42"/>
      <c r="V114" s="118">
        <v>45152</v>
      </c>
      <c r="W114" s="118">
        <v>45166</v>
      </c>
      <c r="X114" s="118">
        <v>45152</v>
      </c>
      <c r="Y114" s="118">
        <v>45184</v>
      </c>
      <c r="Z114" s="230"/>
      <c r="AA114" s="230"/>
      <c r="AB114" s="128"/>
      <c r="AC114" s="128"/>
      <c r="AD114" s="128"/>
      <c r="AE114" s="116">
        <v>45153</v>
      </c>
      <c r="AF114" s="116">
        <v>45153</v>
      </c>
      <c r="AG114" s="116">
        <v>45153</v>
      </c>
      <c r="AH114" s="116">
        <v>45153</v>
      </c>
      <c r="AI114" s="116">
        <v>45169</v>
      </c>
      <c r="AJ114" s="116">
        <v>45153</v>
      </c>
      <c r="AK114" s="116">
        <v>45153</v>
      </c>
      <c r="AL114" s="116">
        <v>45168</v>
      </c>
      <c r="AM114" s="116">
        <v>45168</v>
      </c>
      <c r="AN114" s="116">
        <v>45153</v>
      </c>
      <c r="AO114" s="116">
        <v>45153</v>
      </c>
      <c r="AP114" s="116"/>
      <c r="AQ114" s="116">
        <v>45153</v>
      </c>
      <c r="AR114" s="116">
        <v>45168</v>
      </c>
      <c r="AS114" s="116">
        <v>45169</v>
      </c>
      <c r="AT114" s="116">
        <v>45170</v>
      </c>
      <c r="AU114" s="150"/>
      <c r="AV114" s="151"/>
      <c r="AW114" s="151"/>
      <c r="AX114" s="151"/>
      <c r="AY114" s="151"/>
    </row>
    <row r="115" spans="1:56" ht="18.75" customHeight="1">
      <c r="A115" s="209">
        <v>812796</v>
      </c>
      <c r="B115" s="177" t="s">
        <v>236</v>
      </c>
      <c r="C115" s="30" t="s">
        <v>237</v>
      </c>
      <c r="D115" s="153">
        <v>0.95</v>
      </c>
      <c r="E115" s="153">
        <v>0.9</v>
      </c>
      <c r="F115" s="31" t="s">
        <v>43</v>
      </c>
      <c r="G115" s="50">
        <v>400</v>
      </c>
      <c r="H115" s="50">
        <v>500</v>
      </c>
      <c r="I115" s="34">
        <v>6</v>
      </c>
      <c r="J115" s="290" t="s">
        <v>222</v>
      </c>
      <c r="K115" s="81" t="s">
        <v>66</v>
      </c>
      <c r="L115" s="538"/>
      <c r="M115" s="178"/>
      <c r="N115" s="178"/>
      <c r="O115" s="178"/>
      <c r="P115" s="178"/>
      <c r="Q115" s="178"/>
      <c r="R115" s="178"/>
      <c r="S115" s="178"/>
      <c r="T115" s="177"/>
      <c r="U115" s="178"/>
      <c r="V115" s="225">
        <v>45083</v>
      </c>
      <c r="W115" s="225">
        <v>45122</v>
      </c>
      <c r="X115" s="225">
        <v>45083</v>
      </c>
      <c r="Y115" s="225"/>
      <c r="Z115" s="226"/>
      <c r="AA115" s="226"/>
      <c r="AB115" s="226"/>
      <c r="AC115" s="200">
        <v>1</v>
      </c>
      <c r="AD115" s="226"/>
      <c r="AE115" s="132">
        <v>45159</v>
      </c>
      <c r="AF115" s="132">
        <v>45159</v>
      </c>
      <c r="AG115" s="132">
        <v>45159</v>
      </c>
      <c r="AH115" s="132">
        <v>45159</v>
      </c>
      <c r="AI115" s="132">
        <v>45169</v>
      </c>
      <c r="AJ115" s="132">
        <v>45156</v>
      </c>
      <c r="AK115" s="132">
        <v>45156</v>
      </c>
      <c r="AL115" s="132">
        <v>45169</v>
      </c>
      <c r="AM115" s="132">
        <v>45169</v>
      </c>
      <c r="AN115" s="132">
        <v>45156</v>
      </c>
      <c r="AO115" s="132">
        <v>45169</v>
      </c>
      <c r="AP115" s="132"/>
      <c r="AQ115" s="132">
        <v>45169</v>
      </c>
      <c r="AR115" s="132">
        <v>45169</v>
      </c>
      <c r="AS115" s="132">
        <v>45169</v>
      </c>
      <c r="AT115" s="132">
        <v>45173</v>
      </c>
      <c r="AU115" s="150"/>
      <c r="AV115" s="151"/>
      <c r="AW115" s="151"/>
      <c r="AX115" s="151"/>
      <c r="AY115" s="151"/>
    </row>
    <row r="116" spans="1:56" ht="18" customHeight="1">
      <c r="A116" s="180">
        <v>812796</v>
      </c>
      <c r="B116" s="181"/>
      <c r="C116" s="182"/>
      <c r="D116" s="182"/>
      <c r="E116" s="182"/>
      <c r="F116" s="43" t="s">
        <v>48</v>
      </c>
      <c r="G116" s="183"/>
      <c r="H116" s="183"/>
      <c r="I116" s="184"/>
      <c r="J116" s="429"/>
      <c r="K116" s="53"/>
      <c r="L116" s="537"/>
      <c r="M116" s="185"/>
      <c r="N116" s="185"/>
      <c r="O116" s="185"/>
      <c r="P116" s="185"/>
      <c r="Q116" s="185"/>
      <c r="R116" s="185"/>
      <c r="S116" s="185"/>
      <c r="T116" s="181"/>
      <c r="U116" s="185"/>
      <c r="V116" s="118">
        <v>45083</v>
      </c>
      <c r="W116" s="118">
        <v>45161</v>
      </c>
      <c r="X116" s="118">
        <v>45083</v>
      </c>
      <c r="Y116" s="118"/>
      <c r="Z116" s="118"/>
      <c r="AA116" s="118"/>
      <c r="AB116" s="118"/>
      <c r="AC116" s="118"/>
      <c r="AD116" s="118"/>
      <c r="AE116" s="116">
        <v>45159</v>
      </c>
      <c r="AF116" s="116">
        <v>45159</v>
      </c>
      <c r="AG116" s="116">
        <v>45159</v>
      </c>
      <c r="AH116" s="116">
        <v>45159</v>
      </c>
      <c r="AI116" s="116">
        <v>45169</v>
      </c>
      <c r="AJ116" s="116">
        <v>45156</v>
      </c>
      <c r="AK116" s="116">
        <v>45156</v>
      </c>
      <c r="AL116" s="116">
        <v>45137</v>
      </c>
      <c r="AM116" s="116">
        <v>45169</v>
      </c>
      <c r="AN116" s="116">
        <v>45156</v>
      </c>
      <c r="AO116" s="116">
        <v>45156</v>
      </c>
      <c r="AP116" s="116"/>
      <c r="AQ116" s="116">
        <v>45156</v>
      </c>
      <c r="AR116" s="116">
        <v>45156</v>
      </c>
      <c r="AS116" s="116">
        <v>45156</v>
      </c>
      <c r="AT116" s="116">
        <v>45156</v>
      </c>
      <c r="AU116" s="150"/>
      <c r="AV116" s="151"/>
      <c r="AW116" s="151"/>
      <c r="AX116" s="151"/>
      <c r="AY116" s="151"/>
    </row>
    <row r="117" spans="1:56" ht="18.75" customHeight="1">
      <c r="A117" s="149">
        <v>812692</v>
      </c>
      <c r="B117" s="29">
        <v>812692</v>
      </c>
      <c r="C117" s="30" t="s">
        <v>162</v>
      </c>
      <c r="D117" s="153">
        <v>1</v>
      </c>
      <c r="E117" s="153">
        <v>0.8</v>
      </c>
      <c r="F117" s="31" t="s">
        <v>43</v>
      </c>
      <c r="G117" s="50">
        <v>240</v>
      </c>
      <c r="H117" s="50">
        <v>220</v>
      </c>
      <c r="I117" s="34">
        <v>1</v>
      </c>
      <c r="J117" s="435" t="s">
        <v>238</v>
      </c>
      <c r="K117" s="31" t="s">
        <v>108</v>
      </c>
      <c r="L117" s="161"/>
      <c r="M117" s="30"/>
      <c r="N117" s="30"/>
      <c r="O117" s="30"/>
      <c r="P117" s="30"/>
      <c r="Q117" s="30"/>
      <c r="R117" s="30"/>
      <c r="S117" s="30"/>
      <c r="T117" s="29"/>
      <c r="U117" s="30"/>
      <c r="V117" s="225" t="s">
        <v>239</v>
      </c>
      <c r="W117" s="225" t="s">
        <v>240</v>
      </c>
      <c r="X117" s="225" t="s">
        <v>241</v>
      </c>
      <c r="Y117" s="225" t="s">
        <v>240</v>
      </c>
      <c r="Z117" s="205"/>
      <c r="AA117" s="200"/>
      <c r="AB117" s="200"/>
      <c r="AC117" s="200"/>
      <c r="AD117" s="200"/>
      <c r="AE117" s="132">
        <v>45169</v>
      </c>
      <c r="AF117" s="132">
        <v>45169</v>
      </c>
      <c r="AG117" s="132">
        <v>45169</v>
      </c>
      <c r="AH117" s="132">
        <v>45169</v>
      </c>
      <c r="AI117" s="132">
        <v>45169</v>
      </c>
      <c r="AJ117" s="132">
        <v>45169</v>
      </c>
      <c r="AK117" s="132">
        <v>45169</v>
      </c>
      <c r="AL117" s="132">
        <v>45169</v>
      </c>
      <c r="AM117" s="231">
        <v>45169</v>
      </c>
      <c r="AN117" s="132">
        <v>45169</v>
      </c>
      <c r="AO117" s="132">
        <v>45169</v>
      </c>
      <c r="AP117" s="132"/>
      <c r="AQ117" s="132">
        <v>45169</v>
      </c>
      <c r="AR117" s="132">
        <v>45169</v>
      </c>
      <c r="AS117" s="132">
        <v>45169</v>
      </c>
      <c r="AT117" s="132">
        <v>45169</v>
      </c>
      <c r="AU117" s="150"/>
      <c r="AV117" s="151"/>
      <c r="AW117" s="151"/>
      <c r="AX117" s="151"/>
      <c r="AY117" s="151"/>
    </row>
    <row r="118" spans="1:56" ht="18" customHeight="1" thickBot="1">
      <c r="A118" s="40">
        <v>812692</v>
      </c>
      <c r="B118" s="41"/>
      <c r="C118" s="42"/>
      <c r="D118" s="42"/>
      <c r="E118" s="42"/>
      <c r="F118" s="43" t="s">
        <v>48</v>
      </c>
      <c r="G118" s="44"/>
      <c r="H118" s="44"/>
      <c r="I118" s="44"/>
      <c r="J118" s="52"/>
      <c r="K118" s="53"/>
      <c r="L118" s="537"/>
      <c r="M118" s="42"/>
      <c r="N118" s="42"/>
      <c r="O118" s="42"/>
      <c r="P118" s="42"/>
      <c r="Q118" s="42"/>
      <c r="R118" s="42"/>
      <c r="S118" s="42"/>
      <c r="T118" s="41"/>
      <c r="U118" s="42"/>
      <c r="V118" s="118" t="s">
        <v>239</v>
      </c>
      <c r="W118" s="118" t="s">
        <v>240</v>
      </c>
      <c r="X118" s="118" t="s">
        <v>241</v>
      </c>
      <c r="Y118" s="118" t="s">
        <v>240</v>
      </c>
      <c r="Z118" s="210"/>
      <c r="AA118" s="128"/>
      <c r="AB118" s="128"/>
      <c r="AC118" s="128"/>
      <c r="AD118" s="128"/>
      <c r="AE118" s="232">
        <v>45161</v>
      </c>
      <c r="AF118" s="232">
        <v>45161</v>
      </c>
      <c r="AG118" s="232">
        <v>45161</v>
      </c>
      <c r="AH118" s="232">
        <v>45161</v>
      </c>
      <c r="AI118" s="232">
        <v>45161</v>
      </c>
      <c r="AJ118" s="232">
        <v>45161</v>
      </c>
      <c r="AK118" s="232">
        <v>45161</v>
      </c>
      <c r="AL118" s="232">
        <v>45161</v>
      </c>
      <c r="AM118" s="232" t="s">
        <v>242</v>
      </c>
      <c r="AN118" s="232">
        <v>45169</v>
      </c>
      <c r="AO118" s="232">
        <v>45161</v>
      </c>
      <c r="AP118" s="232"/>
      <c r="AQ118" s="232">
        <v>45161</v>
      </c>
      <c r="AR118" s="232">
        <v>45161</v>
      </c>
      <c r="AS118" s="232">
        <v>45161</v>
      </c>
      <c r="AT118" s="232">
        <v>45161</v>
      </c>
      <c r="AU118" s="194"/>
      <c r="AV118" s="151"/>
      <c r="AW118" s="151"/>
      <c r="AX118" s="151"/>
      <c r="AY118" s="151"/>
    </row>
    <row r="119" spans="1:56" ht="16.5" customHeight="1" thickBot="1">
      <c r="A119" s="100"/>
      <c r="B119" s="24"/>
      <c r="C119" s="24"/>
      <c r="D119" s="24"/>
      <c r="E119" s="24"/>
      <c r="F119" s="101"/>
      <c r="G119" s="24"/>
      <c r="H119" s="24"/>
      <c r="I119" s="24"/>
      <c r="J119" s="422"/>
      <c r="K119" s="101"/>
      <c r="L119" s="101"/>
      <c r="M119" s="24"/>
      <c r="N119" s="24"/>
      <c r="O119" s="24"/>
      <c r="P119" s="24"/>
      <c r="Q119" s="24"/>
      <c r="R119" s="24"/>
      <c r="S119" s="24"/>
      <c r="T119" s="24"/>
      <c r="U119" s="24"/>
      <c r="V119" s="101"/>
      <c r="W119" s="101"/>
      <c r="X119" s="101"/>
      <c r="Y119" s="101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6"/>
      <c r="AV119" s="27"/>
      <c r="AW119" s="27"/>
      <c r="AX119" s="27"/>
      <c r="AY119" s="27"/>
    </row>
    <row r="120" spans="1:56" ht="18.75" customHeight="1">
      <c r="A120" s="233">
        <v>812782</v>
      </c>
      <c r="B120" s="234" t="s">
        <v>243</v>
      </c>
      <c r="C120" s="235" t="s">
        <v>42</v>
      </c>
      <c r="D120" s="235"/>
      <c r="E120" s="235"/>
      <c r="F120" s="236" t="s">
        <v>43</v>
      </c>
      <c r="G120" s="237">
        <v>300</v>
      </c>
      <c r="H120" s="237">
        <v>220</v>
      </c>
      <c r="I120" s="238">
        <v>2</v>
      </c>
      <c r="J120" s="436" t="s">
        <v>244</v>
      </c>
      <c r="K120" s="239" t="s">
        <v>108</v>
      </c>
      <c r="L120" s="542"/>
      <c r="M120" s="240"/>
      <c r="N120" s="240"/>
      <c r="O120" s="240"/>
      <c r="P120" s="240"/>
      <c r="Q120" s="240"/>
      <c r="R120" s="240"/>
      <c r="S120" s="240"/>
      <c r="T120" s="234"/>
      <c r="U120" s="240"/>
      <c r="V120" s="217">
        <v>45122</v>
      </c>
      <c r="W120" s="217">
        <v>45153</v>
      </c>
      <c r="X120" s="217">
        <v>45128</v>
      </c>
      <c r="Y120" s="217">
        <v>45159</v>
      </c>
      <c r="Z120" s="241"/>
      <c r="AA120" s="241"/>
      <c r="AB120" s="236"/>
      <c r="AC120" s="236"/>
      <c r="AD120" s="236"/>
      <c r="AE120" s="132">
        <v>45170</v>
      </c>
      <c r="AF120" s="132">
        <v>45174</v>
      </c>
      <c r="AG120" s="132">
        <v>45174</v>
      </c>
      <c r="AH120" s="132">
        <v>45174</v>
      </c>
      <c r="AI120" s="132">
        <v>45180</v>
      </c>
      <c r="AJ120" s="132">
        <v>45170</v>
      </c>
      <c r="AK120" s="132">
        <v>45170</v>
      </c>
      <c r="AL120" s="132">
        <v>45180</v>
      </c>
      <c r="AM120" s="132">
        <v>45180</v>
      </c>
      <c r="AN120" s="132">
        <v>45170</v>
      </c>
      <c r="AO120" s="132">
        <v>45180</v>
      </c>
      <c r="AP120" s="132"/>
      <c r="AQ120" s="132">
        <v>45180</v>
      </c>
      <c r="AR120" s="242">
        <v>45180</v>
      </c>
      <c r="AS120" s="242">
        <v>45180</v>
      </c>
      <c r="AT120" s="242">
        <v>45184</v>
      </c>
      <c r="AU120" s="637" t="s">
        <v>245</v>
      </c>
      <c r="AV120" s="39"/>
      <c r="AW120" s="39"/>
      <c r="AX120" s="39"/>
      <c r="AY120" s="39"/>
    </row>
    <row r="121" spans="1:56" ht="18" customHeight="1">
      <c r="A121" s="243">
        <v>812782</v>
      </c>
      <c r="B121" s="244"/>
      <c r="C121" s="245"/>
      <c r="D121" s="245"/>
      <c r="E121" s="245"/>
      <c r="F121" s="128" t="s">
        <v>48</v>
      </c>
      <c r="G121" s="246"/>
      <c r="H121" s="246"/>
      <c r="I121" s="247"/>
      <c r="J121" s="437"/>
      <c r="K121" s="230"/>
      <c r="L121" s="543"/>
      <c r="M121" s="248"/>
      <c r="N121" s="248"/>
      <c r="O121" s="248"/>
      <c r="P121" s="248"/>
      <c r="Q121" s="248"/>
      <c r="R121" s="248"/>
      <c r="S121" s="248"/>
      <c r="T121" s="244"/>
      <c r="U121" s="248"/>
      <c r="V121" s="129">
        <v>45123</v>
      </c>
      <c r="W121" s="129">
        <v>45155</v>
      </c>
      <c r="X121" s="116">
        <v>45128</v>
      </c>
      <c r="Y121" s="116">
        <v>45155</v>
      </c>
      <c r="Z121" s="230"/>
      <c r="AA121" s="230"/>
      <c r="AB121" s="128"/>
      <c r="AC121" s="128"/>
      <c r="AD121" s="128"/>
      <c r="AE121" s="232">
        <v>45170</v>
      </c>
      <c r="AF121" s="232">
        <v>45163</v>
      </c>
      <c r="AG121" s="232">
        <v>45161</v>
      </c>
      <c r="AH121" s="232">
        <v>45161</v>
      </c>
      <c r="AI121" s="232">
        <v>45165</v>
      </c>
      <c r="AJ121" s="232">
        <v>45162</v>
      </c>
      <c r="AK121" s="232">
        <v>45162</v>
      </c>
      <c r="AL121" s="232">
        <v>45162</v>
      </c>
      <c r="AM121" s="232">
        <v>45177</v>
      </c>
      <c r="AN121" s="232">
        <v>45170</v>
      </c>
      <c r="AO121" s="232">
        <v>45162</v>
      </c>
      <c r="AP121" s="232"/>
      <c r="AQ121" s="232">
        <v>45162</v>
      </c>
      <c r="AR121" s="232">
        <v>45163</v>
      </c>
      <c r="AS121" s="232">
        <v>45163</v>
      </c>
      <c r="AT121" s="232">
        <v>45166</v>
      </c>
      <c r="AU121" s="638"/>
      <c r="AV121" s="39"/>
      <c r="AW121" s="39"/>
      <c r="AX121" s="39"/>
      <c r="AY121" s="39"/>
      <c r="BB121" s="249" t="s">
        <v>246</v>
      </c>
      <c r="BC121" s="250"/>
      <c r="BD121" s="250"/>
    </row>
    <row r="122" spans="1:56" ht="18.75" customHeight="1">
      <c r="A122" s="209">
        <v>850568</v>
      </c>
      <c r="B122" s="251">
        <v>850568</v>
      </c>
      <c r="C122" s="252" t="s">
        <v>42</v>
      </c>
      <c r="D122" s="252"/>
      <c r="E122" s="252"/>
      <c r="F122" s="200" t="s">
        <v>43</v>
      </c>
      <c r="G122" s="253">
        <v>180</v>
      </c>
      <c r="H122" s="253">
        <v>220</v>
      </c>
      <c r="I122" s="254">
        <v>1</v>
      </c>
      <c r="J122" s="290" t="s">
        <v>247</v>
      </c>
      <c r="K122" s="255" t="s">
        <v>231</v>
      </c>
      <c r="L122" s="544"/>
      <c r="M122" s="256"/>
      <c r="N122" s="256"/>
      <c r="O122" s="256"/>
      <c r="P122" s="256"/>
      <c r="Q122" s="256"/>
      <c r="R122" s="256"/>
      <c r="S122" s="256"/>
      <c r="T122" s="257"/>
      <c r="U122" s="256"/>
      <c r="V122" s="229"/>
      <c r="W122" s="229"/>
      <c r="X122" s="229"/>
      <c r="Y122" s="229"/>
      <c r="Z122" s="229"/>
      <c r="AA122" s="229"/>
      <c r="AB122" s="200"/>
      <c r="AC122" s="200"/>
      <c r="AD122" s="200"/>
      <c r="AE122" s="258" t="s">
        <v>81</v>
      </c>
      <c r="AF122" s="258" t="s">
        <v>81</v>
      </c>
      <c r="AG122" s="132">
        <v>45180</v>
      </c>
      <c r="AH122" s="132">
        <v>45181</v>
      </c>
      <c r="AI122" s="132">
        <v>45187</v>
      </c>
      <c r="AJ122" s="259" t="s">
        <v>81</v>
      </c>
      <c r="AK122" s="259" t="s">
        <v>81</v>
      </c>
      <c r="AL122" s="259" t="s">
        <v>81</v>
      </c>
      <c r="AM122" s="132">
        <v>45187</v>
      </c>
      <c r="AN122" s="132">
        <v>45175</v>
      </c>
      <c r="AO122" s="259" t="s">
        <v>81</v>
      </c>
      <c r="AP122" s="259"/>
      <c r="AQ122" s="259" t="s">
        <v>81</v>
      </c>
      <c r="AR122" s="132">
        <v>45194</v>
      </c>
      <c r="AS122" s="132">
        <v>45194</v>
      </c>
      <c r="AT122" s="132">
        <v>45194</v>
      </c>
      <c r="AU122" s="638"/>
      <c r="AV122" s="39"/>
      <c r="AW122" s="39"/>
      <c r="AX122" s="39"/>
      <c r="AY122" s="39"/>
      <c r="BB122" s="249" t="s">
        <v>248</v>
      </c>
      <c r="BC122" s="249">
        <v>58</v>
      </c>
      <c r="BD122" s="250"/>
    </row>
    <row r="123" spans="1:56" ht="18" customHeight="1">
      <c r="A123" s="243">
        <v>850568</v>
      </c>
      <c r="B123" s="244"/>
      <c r="C123" s="245"/>
      <c r="D123" s="245"/>
      <c r="E123" s="245"/>
      <c r="F123" s="128" t="s">
        <v>48</v>
      </c>
      <c r="G123" s="246"/>
      <c r="H123" s="246"/>
      <c r="I123" s="247"/>
      <c r="J123" s="437"/>
      <c r="K123" s="230"/>
      <c r="L123" s="543"/>
      <c r="M123" s="248"/>
      <c r="N123" s="248"/>
      <c r="O123" s="248"/>
      <c r="P123" s="248"/>
      <c r="Q123" s="248"/>
      <c r="R123" s="248"/>
      <c r="S123" s="248"/>
      <c r="T123" s="244"/>
      <c r="U123" s="248"/>
      <c r="V123" s="118"/>
      <c r="W123" s="118"/>
      <c r="X123" s="118"/>
      <c r="Y123" s="118"/>
      <c r="Z123" s="230"/>
      <c r="AA123" s="230"/>
      <c r="AB123" s="128"/>
      <c r="AC123" s="128"/>
      <c r="AD123" s="128"/>
      <c r="AE123" s="260"/>
      <c r="AF123" s="260"/>
      <c r="AG123" s="232">
        <v>45180</v>
      </c>
      <c r="AH123" s="232">
        <v>45180</v>
      </c>
      <c r="AI123" s="129">
        <v>45187</v>
      </c>
      <c r="AJ123" s="118"/>
      <c r="AK123" s="118"/>
      <c r="AL123" s="118"/>
      <c r="AM123" s="232">
        <v>45187</v>
      </c>
      <c r="AN123" s="232">
        <v>45175</v>
      </c>
      <c r="AO123" s="118"/>
      <c r="AP123" s="118"/>
      <c r="AQ123" s="118"/>
      <c r="AR123" s="116">
        <v>45194</v>
      </c>
      <c r="AS123" s="116">
        <v>45194</v>
      </c>
      <c r="AT123" s="116">
        <v>45188</v>
      </c>
      <c r="AU123" s="638"/>
      <c r="AV123" s="39"/>
      <c r="AW123" s="39"/>
      <c r="AX123" s="39"/>
      <c r="AY123" s="39"/>
      <c r="BB123" s="249" t="s">
        <v>249</v>
      </c>
      <c r="BC123" s="249">
        <v>19</v>
      </c>
      <c r="BD123" s="250"/>
    </row>
    <row r="124" spans="1:56" ht="18.75" customHeight="1">
      <c r="A124" s="209">
        <v>812788</v>
      </c>
      <c r="B124" s="251">
        <v>812788</v>
      </c>
      <c r="C124" s="252" t="s">
        <v>42</v>
      </c>
      <c r="D124" s="252"/>
      <c r="E124" s="252"/>
      <c r="F124" s="200" t="s">
        <v>43</v>
      </c>
      <c r="G124" s="253">
        <v>315</v>
      </c>
      <c r="H124" s="253">
        <v>275</v>
      </c>
      <c r="I124" s="254">
        <v>1</v>
      </c>
      <c r="J124" s="261" t="s">
        <v>250</v>
      </c>
      <c r="K124" s="255" t="s">
        <v>45</v>
      </c>
      <c r="L124" s="544"/>
      <c r="M124" s="256"/>
      <c r="N124" s="256"/>
      <c r="O124" s="256"/>
      <c r="P124" s="256"/>
      <c r="Q124" s="256"/>
      <c r="R124" s="256"/>
      <c r="S124" s="256"/>
      <c r="T124" s="257"/>
      <c r="U124" s="256"/>
      <c r="V124" s="225">
        <v>45079</v>
      </c>
      <c r="W124" s="225">
        <v>45109</v>
      </c>
      <c r="X124" s="225">
        <v>45093</v>
      </c>
      <c r="Y124" s="225">
        <v>45123</v>
      </c>
      <c r="Z124" s="229"/>
      <c r="AA124" s="229"/>
      <c r="AB124" s="200"/>
      <c r="AC124" s="200"/>
      <c r="AD124" s="200" t="s">
        <v>72</v>
      </c>
      <c r="AE124" s="132">
        <v>45181</v>
      </c>
      <c r="AF124" s="132">
        <v>45184</v>
      </c>
      <c r="AG124" s="132">
        <v>45184</v>
      </c>
      <c r="AH124" s="132">
        <v>45184</v>
      </c>
      <c r="AI124" s="132">
        <v>45194</v>
      </c>
      <c r="AJ124" s="132">
        <v>45177</v>
      </c>
      <c r="AK124" s="132">
        <v>45177</v>
      </c>
      <c r="AL124" s="132">
        <v>45194</v>
      </c>
      <c r="AM124" s="132">
        <v>45194</v>
      </c>
      <c r="AN124" s="132">
        <v>45177</v>
      </c>
      <c r="AO124" s="132">
        <v>45194</v>
      </c>
      <c r="AP124" s="132"/>
      <c r="AQ124" s="132">
        <v>45194</v>
      </c>
      <c r="AR124" s="132">
        <v>45194</v>
      </c>
      <c r="AS124" s="132">
        <v>45194</v>
      </c>
      <c r="AT124" s="132">
        <v>45196</v>
      </c>
      <c r="AU124" s="638"/>
      <c r="AV124" s="39"/>
      <c r="AW124" s="39"/>
      <c r="AX124" s="39"/>
      <c r="AY124" s="39"/>
      <c r="BB124" s="249" t="s">
        <v>251</v>
      </c>
      <c r="BC124" s="249">
        <f>BC122-BC123</f>
        <v>39</v>
      </c>
      <c r="BD124" s="250"/>
    </row>
    <row r="125" spans="1:56" ht="18" customHeight="1">
      <c r="A125" s="243">
        <v>812788</v>
      </c>
      <c r="B125" s="244"/>
      <c r="C125" s="245"/>
      <c r="D125" s="245"/>
      <c r="E125" s="245"/>
      <c r="F125" s="128" t="s">
        <v>48</v>
      </c>
      <c r="G125" s="246"/>
      <c r="H125" s="246"/>
      <c r="I125" s="247"/>
      <c r="J125" s="437"/>
      <c r="K125" s="230"/>
      <c r="L125" s="543"/>
      <c r="M125" s="248"/>
      <c r="N125" s="248"/>
      <c r="O125" s="248"/>
      <c r="P125" s="248"/>
      <c r="Q125" s="248"/>
      <c r="R125" s="248"/>
      <c r="S125" s="248"/>
      <c r="T125" s="244"/>
      <c r="U125" s="248"/>
      <c r="V125" s="116">
        <v>45079</v>
      </c>
      <c r="W125" s="116">
        <v>45106</v>
      </c>
      <c r="X125" s="116">
        <v>45093</v>
      </c>
      <c r="Y125" s="116">
        <v>45106</v>
      </c>
      <c r="Z125" s="230"/>
      <c r="AA125" s="230"/>
      <c r="AB125" s="128"/>
      <c r="AC125" s="128"/>
      <c r="AD125" s="128"/>
      <c r="AE125" s="232">
        <v>45168</v>
      </c>
      <c r="AF125" s="232">
        <v>45174</v>
      </c>
      <c r="AG125" s="232">
        <v>45167</v>
      </c>
      <c r="AH125" s="232">
        <v>45167</v>
      </c>
      <c r="AI125" s="232">
        <v>45174</v>
      </c>
      <c r="AJ125" s="232">
        <v>45174</v>
      </c>
      <c r="AK125" s="232">
        <v>45174</v>
      </c>
      <c r="AL125" s="232">
        <v>45175</v>
      </c>
      <c r="AM125" s="232">
        <v>45194</v>
      </c>
      <c r="AN125" s="232">
        <v>45177</v>
      </c>
      <c r="AO125" s="232">
        <v>45177</v>
      </c>
      <c r="AP125" s="232"/>
      <c r="AQ125" s="232">
        <v>45177</v>
      </c>
      <c r="AR125" s="232">
        <v>45177</v>
      </c>
      <c r="AS125" s="116">
        <v>45194</v>
      </c>
      <c r="AT125" s="116">
        <v>45194</v>
      </c>
      <c r="AU125" s="638"/>
      <c r="AV125" s="39"/>
      <c r="AW125" s="39"/>
      <c r="AX125" s="39"/>
      <c r="AY125" s="39"/>
      <c r="BB125" s="249" t="s">
        <v>252</v>
      </c>
      <c r="BC125" s="262">
        <f>BC123/BC122</f>
        <v>0.32758620689655171</v>
      </c>
      <c r="BD125" s="250"/>
    </row>
    <row r="126" spans="1:56" ht="18" customHeight="1">
      <c r="A126" s="209">
        <v>812798</v>
      </c>
      <c r="B126" s="177" t="s">
        <v>253</v>
      </c>
      <c r="C126" s="252" t="s">
        <v>237</v>
      </c>
      <c r="D126" s="263">
        <v>0.8</v>
      </c>
      <c r="E126" s="263">
        <v>0.9</v>
      </c>
      <c r="F126" s="200" t="s">
        <v>43</v>
      </c>
      <c r="G126" s="253">
        <v>400</v>
      </c>
      <c r="H126" s="253">
        <v>500</v>
      </c>
      <c r="I126" s="254">
        <v>6</v>
      </c>
      <c r="J126" s="290" t="s">
        <v>222</v>
      </c>
      <c r="K126" s="255" t="s">
        <v>66</v>
      </c>
      <c r="L126" s="545"/>
      <c r="M126" s="178"/>
      <c r="N126" s="178"/>
      <c r="O126" s="178"/>
      <c r="P126" s="178"/>
      <c r="Q126" s="178"/>
      <c r="R126" s="178"/>
      <c r="S126" s="178"/>
      <c r="T126" s="177"/>
      <c r="U126" s="178"/>
      <c r="V126" s="225">
        <v>45083</v>
      </c>
      <c r="W126" s="264"/>
      <c r="X126" s="225">
        <v>45083</v>
      </c>
      <c r="Y126" s="225"/>
      <c r="Z126" s="226"/>
      <c r="AA126" s="226"/>
      <c r="AB126" s="226"/>
      <c r="AC126" s="226"/>
      <c r="AD126" s="226"/>
      <c r="AE126" s="132">
        <v>45187</v>
      </c>
      <c r="AF126" s="132">
        <v>45191</v>
      </c>
      <c r="AG126" s="132">
        <v>45191</v>
      </c>
      <c r="AH126" s="132">
        <v>45191</v>
      </c>
      <c r="AI126" s="132">
        <v>45196</v>
      </c>
      <c r="AJ126" s="132">
        <v>45180</v>
      </c>
      <c r="AK126" s="132">
        <v>45180</v>
      </c>
      <c r="AL126" s="132">
        <v>45196</v>
      </c>
      <c r="AM126" s="132">
        <v>45196</v>
      </c>
      <c r="AN126" s="132">
        <v>45180</v>
      </c>
      <c r="AO126" s="132">
        <v>45196</v>
      </c>
      <c r="AP126" s="132"/>
      <c r="AQ126" s="132">
        <v>45196</v>
      </c>
      <c r="AR126" s="132">
        <v>45196</v>
      </c>
      <c r="AS126" s="132">
        <v>45196</v>
      </c>
      <c r="AT126" s="132">
        <v>45197</v>
      </c>
      <c r="AU126" s="638"/>
      <c r="AV126" s="39"/>
      <c r="AW126" s="39"/>
      <c r="AX126" s="39"/>
      <c r="AY126" s="39"/>
      <c r="BB126" s="249"/>
      <c r="BC126" s="262"/>
      <c r="BD126" s="250"/>
    </row>
    <row r="127" spans="1:56" ht="18" customHeight="1">
      <c r="A127" s="243">
        <v>812798</v>
      </c>
      <c r="B127" s="244"/>
      <c r="C127" s="245"/>
      <c r="D127" s="245"/>
      <c r="E127" s="245"/>
      <c r="F127" s="128" t="s">
        <v>48</v>
      </c>
      <c r="G127" s="246"/>
      <c r="H127" s="246"/>
      <c r="I127" s="247"/>
      <c r="J127" s="437"/>
      <c r="K127" s="230"/>
      <c r="L127" s="543"/>
      <c r="M127" s="248"/>
      <c r="N127" s="248"/>
      <c r="O127" s="248"/>
      <c r="P127" s="248"/>
      <c r="Q127" s="248"/>
      <c r="R127" s="248"/>
      <c r="S127" s="248"/>
      <c r="T127" s="244"/>
      <c r="U127" s="248"/>
      <c r="V127" s="116">
        <v>45083</v>
      </c>
      <c r="W127" s="129">
        <v>45163</v>
      </c>
      <c r="X127" s="116">
        <v>45083</v>
      </c>
      <c r="Y127" s="116"/>
      <c r="Z127" s="118"/>
      <c r="AA127" s="118"/>
      <c r="AB127" s="118"/>
      <c r="AC127" s="118"/>
      <c r="AD127" s="118"/>
      <c r="AE127" s="232">
        <v>45186</v>
      </c>
      <c r="AF127" s="232">
        <v>45187</v>
      </c>
      <c r="AG127" s="232">
        <v>45191</v>
      </c>
      <c r="AH127" s="232">
        <v>45191</v>
      </c>
      <c r="AI127" s="116">
        <v>45196</v>
      </c>
      <c r="AJ127" s="116">
        <v>45180</v>
      </c>
      <c r="AK127" s="116">
        <v>45180</v>
      </c>
      <c r="AL127" s="116">
        <v>45196</v>
      </c>
      <c r="AM127" s="117" t="s">
        <v>254</v>
      </c>
      <c r="AN127" s="116">
        <v>45156</v>
      </c>
      <c r="AO127" s="116">
        <v>45196</v>
      </c>
      <c r="AP127" s="116"/>
      <c r="AQ127" s="116">
        <v>45196</v>
      </c>
      <c r="AR127" s="116">
        <v>45196</v>
      </c>
      <c r="AS127" s="116">
        <v>45196</v>
      </c>
      <c r="AT127" s="116">
        <v>45196</v>
      </c>
      <c r="AU127" s="638"/>
      <c r="AV127" s="39"/>
      <c r="AW127" s="39"/>
      <c r="AX127" s="39"/>
      <c r="AY127" s="39"/>
      <c r="BC127" s="265"/>
    </row>
    <row r="128" spans="1:56" ht="18" customHeight="1">
      <c r="A128" s="266">
        <v>812743</v>
      </c>
      <c r="B128" s="267" t="s">
        <v>255</v>
      </c>
      <c r="C128" s="268" t="s">
        <v>42</v>
      </c>
      <c r="D128" s="268"/>
      <c r="E128" s="268"/>
      <c r="F128" s="269" t="s">
        <v>43</v>
      </c>
      <c r="G128" s="270">
        <v>120</v>
      </c>
      <c r="H128" s="270">
        <v>275</v>
      </c>
      <c r="I128" s="271">
        <v>3</v>
      </c>
      <c r="J128" s="282" t="s">
        <v>227</v>
      </c>
      <c r="K128" s="269" t="s">
        <v>108</v>
      </c>
      <c r="L128" s="546"/>
      <c r="M128" s="268"/>
      <c r="N128" s="268"/>
      <c r="O128" s="268"/>
      <c r="P128" s="268"/>
      <c r="Q128" s="268"/>
      <c r="R128" s="268"/>
      <c r="S128" s="268"/>
      <c r="T128" s="267"/>
      <c r="U128" s="268"/>
      <c r="V128" s="272">
        <v>45092</v>
      </c>
      <c r="W128" s="272">
        <v>45122</v>
      </c>
      <c r="X128" s="272">
        <v>45092</v>
      </c>
      <c r="Y128" s="272">
        <v>45137</v>
      </c>
      <c r="Z128" s="269"/>
      <c r="AA128" s="269"/>
      <c r="AB128" s="269"/>
      <c r="AC128" s="269"/>
      <c r="AD128" s="269"/>
      <c r="AE128" s="132">
        <v>45191</v>
      </c>
      <c r="AF128" s="132">
        <v>45194</v>
      </c>
      <c r="AG128" s="132">
        <v>45194</v>
      </c>
      <c r="AH128" s="132">
        <v>45194</v>
      </c>
      <c r="AI128" s="132">
        <v>45197</v>
      </c>
      <c r="AJ128" s="132">
        <v>45180</v>
      </c>
      <c r="AK128" s="132">
        <v>45180</v>
      </c>
      <c r="AL128" s="132">
        <v>45197</v>
      </c>
      <c r="AM128" s="132">
        <v>45197</v>
      </c>
      <c r="AN128" s="132">
        <v>45182</v>
      </c>
      <c r="AO128" s="132">
        <v>45197</v>
      </c>
      <c r="AP128" s="132"/>
      <c r="AQ128" s="132">
        <v>45197</v>
      </c>
      <c r="AR128" s="132">
        <v>45197</v>
      </c>
      <c r="AS128" s="132">
        <v>45197</v>
      </c>
      <c r="AT128" s="132">
        <v>45197</v>
      </c>
      <c r="AU128" s="638"/>
      <c r="AV128" s="39"/>
      <c r="AW128" s="39"/>
      <c r="AX128" s="39"/>
      <c r="AY128" s="39"/>
      <c r="BC128" s="265"/>
    </row>
    <row r="129" spans="1:56" ht="18" customHeight="1" thickBot="1">
      <c r="A129" s="273">
        <v>812743</v>
      </c>
      <c r="B129" s="274"/>
      <c r="C129" s="275"/>
      <c r="D129" s="275"/>
      <c r="E129" s="275"/>
      <c r="F129" s="128" t="s">
        <v>48</v>
      </c>
      <c r="G129" s="276"/>
      <c r="H129" s="276"/>
      <c r="I129" s="207"/>
      <c r="J129" s="277"/>
      <c r="K129" s="230"/>
      <c r="L129" s="543"/>
      <c r="M129" s="275"/>
      <c r="N129" s="275"/>
      <c r="O129" s="275"/>
      <c r="P129" s="275"/>
      <c r="Q129" s="275"/>
      <c r="R129" s="275"/>
      <c r="S129" s="275"/>
      <c r="T129" s="274"/>
      <c r="U129" s="275"/>
      <c r="V129" s="116">
        <v>45092</v>
      </c>
      <c r="W129" s="129">
        <v>45168</v>
      </c>
      <c r="X129" s="116">
        <v>45083</v>
      </c>
      <c r="Y129" s="129">
        <v>45168</v>
      </c>
      <c r="Z129" s="128"/>
      <c r="AA129" s="128"/>
      <c r="AB129" s="128"/>
      <c r="AC129" s="128"/>
      <c r="AD129" s="128"/>
      <c r="AE129" s="232">
        <v>45191</v>
      </c>
      <c r="AF129" s="232">
        <v>45182</v>
      </c>
      <c r="AG129" s="232">
        <v>45194</v>
      </c>
      <c r="AH129" s="232">
        <v>45189</v>
      </c>
      <c r="AI129" s="116">
        <v>45197</v>
      </c>
      <c r="AJ129" s="116">
        <v>45180</v>
      </c>
      <c r="AK129" s="116">
        <v>45180</v>
      </c>
      <c r="AL129" s="117" t="s">
        <v>254</v>
      </c>
      <c r="AM129" s="116">
        <v>45197</v>
      </c>
      <c r="AN129" s="116">
        <v>45180</v>
      </c>
      <c r="AO129" s="278">
        <v>45194</v>
      </c>
      <c r="AP129" s="278"/>
      <c r="AQ129" s="278">
        <v>45194</v>
      </c>
      <c r="AR129" s="278">
        <v>45197</v>
      </c>
      <c r="AS129" s="278">
        <v>45197</v>
      </c>
      <c r="AT129" s="147">
        <v>45197</v>
      </c>
      <c r="AU129" s="638"/>
      <c r="AV129" s="39"/>
      <c r="AW129" s="39"/>
      <c r="AX129" s="39"/>
      <c r="AY129" s="39"/>
      <c r="BC129" s="265"/>
    </row>
    <row r="130" spans="1:56" ht="16.5" customHeight="1">
      <c r="A130" s="152">
        <v>812772</v>
      </c>
      <c r="B130" s="279">
        <v>812772</v>
      </c>
      <c r="C130" s="252" t="s">
        <v>162</v>
      </c>
      <c r="D130" s="263">
        <v>0.7</v>
      </c>
      <c r="E130" s="263">
        <v>0.8</v>
      </c>
      <c r="F130" s="200" t="s">
        <v>43</v>
      </c>
      <c r="G130" s="270">
        <v>450</v>
      </c>
      <c r="H130" s="270">
        <v>400</v>
      </c>
      <c r="I130" s="254">
        <v>1</v>
      </c>
      <c r="J130" s="282" t="s">
        <v>256</v>
      </c>
      <c r="K130" s="255" t="s">
        <v>66</v>
      </c>
      <c r="L130" s="545"/>
      <c r="M130" s="252"/>
      <c r="N130" s="252"/>
      <c r="O130" s="252"/>
      <c r="P130" s="252"/>
      <c r="Q130" s="252"/>
      <c r="R130" s="252"/>
      <c r="S130" s="252"/>
      <c r="T130" s="279"/>
      <c r="U130" s="252"/>
      <c r="V130" s="225">
        <v>45041</v>
      </c>
      <c r="W130" s="225">
        <v>45122</v>
      </c>
      <c r="X130" s="225">
        <v>45041</v>
      </c>
      <c r="Y130" s="225">
        <v>45122</v>
      </c>
      <c r="Z130" s="200"/>
      <c r="AA130" s="200"/>
      <c r="AB130" s="200"/>
      <c r="AC130" s="200"/>
      <c r="AD130" s="200"/>
      <c r="AE130" s="132">
        <v>45195</v>
      </c>
      <c r="AF130" s="132">
        <v>45197</v>
      </c>
      <c r="AG130" s="132">
        <v>45197</v>
      </c>
      <c r="AH130" s="132">
        <v>45197</v>
      </c>
      <c r="AI130" s="132">
        <v>45197</v>
      </c>
      <c r="AJ130" s="132">
        <v>45189</v>
      </c>
      <c r="AK130" s="124" t="s">
        <v>257</v>
      </c>
      <c r="AL130" s="132">
        <v>45197</v>
      </c>
      <c r="AM130" s="132">
        <v>45197</v>
      </c>
      <c r="AN130" s="132">
        <v>45182</v>
      </c>
      <c r="AO130" s="132">
        <v>45197</v>
      </c>
      <c r="AP130" s="132"/>
      <c r="AQ130" s="132">
        <v>45197</v>
      </c>
      <c r="AR130" s="132">
        <v>45197</v>
      </c>
      <c r="AS130" s="132">
        <v>45197</v>
      </c>
      <c r="AT130" s="132">
        <v>45210</v>
      </c>
      <c r="AU130" s="150"/>
      <c r="AV130" s="151"/>
      <c r="AW130" s="151"/>
      <c r="AX130" s="151"/>
      <c r="AY130" s="151"/>
    </row>
    <row r="131" spans="1:56" ht="13.5" customHeight="1" thickBot="1">
      <c r="A131" s="273">
        <v>812772</v>
      </c>
      <c r="B131" s="274"/>
      <c r="C131" s="275">
        <v>812495</v>
      </c>
      <c r="D131" s="275"/>
      <c r="E131" s="275"/>
      <c r="F131" s="128" t="s">
        <v>48</v>
      </c>
      <c r="G131" s="276"/>
      <c r="H131" s="276"/>
      <c r="I131" s="207"/>
      <c r="J131" s="277"/>
      <c r="K131" s="230"/>
      <c r="L131" s="543"/>
      <c r="M131" s="275"/>
      <c r="N131" s="275"/>
      <c r="O131" s="275"/>
      <c r="P131" s="275"/>
      <c r="Q131" s="275"/>
      <c r="R131" s="275"/>
      <c r="S131" s="275"/>
      <c r="T131" s="274"/>
      <c r="U131" s="275"/>
      <c r="V131" s="116">
        <v>45041</v>
      </c>
      <c r="W131" s="129">
        <v>45125</v>
      </c>
      <c r="X131" s="116">
        <v>45041</v>
      </c>
      <c r="Y131" s="116">
        <v>45106</v>
      </c>
      <c r="Z131" s="128"/>
      <c r="AA131" s="128"/>
      <c r="AB131" s="128"/>
      <c r="AC131" s="128"/>
      <c r="AD131" s="128"/>
      <c r="AE131" s="280">
        <v>45194</v>
      </c>
      <c r="AF131" s="281">
        <v>45194</v>
      </c>
      <c r="AG131" s="147">
        <v>45197</v>
      </c>
      <c r="AH131" s="147">
        <v>45197</v>
      </c>
      <c r="AI131" s="147">
        <v>45197</v>
      </c>
      <c r="AJ131" s="281">
        <v>45163</v>
      </c>
      <c r="AK131" s="281">
        <v>45054</v>
      </c>
      <c r="AL131" s="147">
        <v>45191</v>
      </c>
      <c r="AM131" s="147">
        <v>45189</v>
      </c>
      <c r="AN131" s="147">
        <v>45177</v>
      </c>
      <c r="AO131" s="147">
        <v>45197</v>
      </c>
      <c r="AP131" s="147"/>
      <c r="AQ131" s="147">
        <v>45197</v>
      </c>
      <c r="AR131" s="147">
        <v>45197</v>
      </c>
      <c r="AS131" s="147">
        <v>45197</v>
      </c>
      <c r="AT131" s="147">
        <v>45210</v>
      </c>
      <c r="AU131" s="194"/>
      <c r="AV131" s="151"/>
      <c r="AW131" s="151"/>
      <c r="AX131" s="151"/>
      <c r="AY131" s="151"/>
    </row>
    <row r="132" spans="1:56" ht="16.5" customHeight="1" thickBot="1">
      <c r="A132" s="100"/>
      <c r="B132" s="24"/>
      <c r="C132" s="24"/>
      <c r="D132" s="24"/>
      <c r="E132" s="24"/>
      <c r="F132" s="101"/>
      <c r="G132" s="24"/>
      <c r="H132" s="24"/>
      <c r="I132" s="24"/>
      <c r="J132" s="422"/>
      <c r="K132" s="101"/>
      <c r="L132" s="101"/>
      <c r="M132" s="24"/>
      <c r="N132" s="24"/>
      <c r="O132" s="24"/>
      <c r="P132" s="24"/>
      <c r="Q132" s="24"/>
      <c r="R132" s="24"/>
      <c r="S132" s="24"/>
      <c r="T132" s="24"/>
      <c r="U132" s="24"/>
      <c r="V132" s="101"/>
      <c r="W132" s="101"/>
      <c r="X132" s="101"/>
      <c r="Y132" s="101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6"/>
      <c r="AV132" s="27"/>
      <c r="AW132" s="27"/>
      <c r="AX132" s="27"/>
      <c r="AY132" s="27"/>
    </row>
    <row r="133" spans="1:56" ht="18.75" customHeight="1">
      <c r="A133" s="266">
        <v>812828</v>
      </c>
      <c r="B133" s="279" t="s">
        <v>258</v>
      </c>
      <c r="C133" s="252" t="s">
        <v>42</v>
      </c>
      <c r="D133" s="252"/>
      <c r="E133" s="252"/>
      <c r="F133" s="200" t="s">
        <v>43</v>
      </c>
      <c r="G133" s="270">
        <v>265</v>
      </c>
      <c r="H133" s="270">
        <v>150</v>
      </c>
      <c r="I133" s="254">
        <v>3</v>
      </c>
      <c r="J133" s="282" t="s">
        <v>259</v>
      </c>
      <c r="K133" s="200" t="s">
        <v>66</v>
      </c>
      <c r="L133" s="205"/>
      <c r="M133" s="252"/>
      <c r="N133" s="252"/>
      <c r="O133" s="252"/>
      <c r="P133" s="252"/>
      <c r="Q133" s="252"/>
      <c r="R133" s="252"/>
      <c r="S133" s="252"/>
      <c r="T133" s="279"/>
      <c r="U133" s="252"/>
      <c r="V133" s="272">
        <v>45173</v>
      </c>
      <c r="W133" s="272">
        <v>45187</v>
      </c>
      <c r="X133" s="272">
        <v>45173</v>
      </c>
      <c r="Y133" s="272">
        <v>45187</v>
      </c>
      <c r="Z133" s="200"/>
      <c r="AA133" s="200" t="s">
        <v>72</v>
      </c>
      <c r="AB133" s="200" t="s">
        <v>260</v>
      </c>
      <c r="AC133" s="200">
        <v>1</v>
      </c>
      <c r="AD133" s="200"/>
      <c r="AE133" s="132">
        <v>45208</v>
      </c>
      <c r="AF133" s="132">
        <v>45210</v>
      </c>
      <c r="AG133" s="132">
        <v>45210</v>
      </c>
      <c r="AH133" s="132">
        <v>45210</v>
      </c>
      <c r="AI133" s="132">
        <v>45217</v>
      </c>
      <c r="AJ133" s="132">
        <v>45184</v>
      </c>
      <c r="AK133" s="132">
        <v>45194</v>
      </c>
      <c r="AL133" s="132">
        <v>45217</v>
      </c>
      <c r="AM133" s="132">
        <v>45217</v>
      </c>
      <c r="AN133" s="132">
        <v>45197</v>
      </c>
      <c r="AO133" s="132">
        <v>45217</v>
      </c>
      <c r="AP133" s="132"/>
      <c r="AQ133" s="132">
        <v>45217</v>
      </c>
      <c r="AR133" s="132">
        <v>45217</v>
      </c>
      <c r="AS133" s="132">
        <v>45219</v>
      </c>
      <c r="AT133" s="132">
        <v>45223</v>
      </c>
      <c r="AU133" s="283"/>
      <c r="AV133" s="284"/>
      <c r="AW133" s="284"/>
      <c r="AX133" s="284"/>
      <c r="AY133" s="284"/>
      <c r="AZ133" s="285"/>
      <c r="BA133" s="286"/>
      <c r="BB133" s="286"/>
      <c r="BC133" s="285"/>
      <c r="BD133" s="285"/>
    </row>
    <row r="134" spans="1:56" ht="16.5" customHeight="1">
      <c r="A134" s="273">
        <v>812828</v>
      </c>
      <c r="B134" s="274"/>
      <c r="C134" s="275"/>
      <c r="D134" s="275"/>
      <c r="E134" s="275"/>
      <c r="F134" s="128" t="s">
        <v>48</v>
      </c>
      <c r="G134" s="276"/>
      <c r="H134" s="276"/>
      <c r="I134" s="207"/>
      <c r="J134" s="277"/>
      <c r="K134" s="230"/>
      <c r="L134" s="543"/>
      <c r="M134" s="275"/>
      <c r="N134" s="275"/>
      <c r="O134" s="275"/>
      <c r="P134" s="275"/>
      <c r="Q134" s="275"/>
      <c r="R134" s="275"/>
      <c r="S134" s="275"/>
      <c r="T134" s="274"/>
      <c r="U134" s="275"/>
      <c r="V134" s="116">
        <v>45169</v>
      </c>
      <c r="W134" s="129">
        <v>45189</v>
      </c>
      <c r="X134" s="116">
        <v>45169</v>
      </c>
      <c r="Y134" s="129">
        <v>45189</v>
      </c>
      <c r="Z134" s="128"/>
      <c r="AA134" s="128"/>
      <c r="AB134" s="128"/>
      <c r="AC134" s="128"/>
      <c r="AD134" s="128"/>
      <c r="AE134" s="232">
        <v>45194</v>
      </c>
      <c r="AF134" s="232">
        <v>45210</v>
      </c>
      <c r="AG134" s="116">
        <v>45209</v>
      </c>
      <c r="AH134" s="116">
        <v>45209</v>
      </c>
      <c r="AI134" s="116">
        <v>45212</v>
      </c>
      <c r="AJ134" s="116">
        <v>45176</v>
      </c>
      <c r="AK134" s="116">
        <v>45194</v>
      </c>
      <c r="AL134" s="116">
        <v>45195</v>
      </c>
      <c r="AM134" s="116">
        <v>45217</v>
      </c>
      <c r="AN134" s="116">
        <v>45197</v>
      </c>
      <c r="AO134" s="116">
        <v>45196</v>
      </c>
      <c r="AP134" s="116"/>
      <c r="AQ134" s="116">
        <v>45196</v>
      </c>
      <c r="AR134" s="116">
        <v>45217</v>
      </c>
      <c r="AS134" s="116">
        <v>45219</v>
      </c>
      <c r="AT134" s="116">
        <v>45222</v>
      </c>
      <c r="AU134" s="283"/>
      <c r="AV134" s="284"/>
      <c r="AW134" s="284"/>
      <c r="AX134" s="284"/>
      <c r="AY134" s="284"/>
      <c r="AZ134" s="285"/>
      <c r="BA134" s="286"/>
      <c r="BB134" s="286"/>
      <c r="BC134" s="285"/>
      <c r="BD134" s="285"/>
    </row>
    <row r="135" spans="1:56" ht="21" customHeight="1">
      <c r="A135" s="152">
        <v>812812</v>
      </c>
      <c r="B135" s="29" t="s">
        <v>261</v>
      </c>
      <c r="C135" s="287" t="s">
        <v>262</v>
      </c>
      <c r="D135" s="153">
        <v>0.3</v>
      </c>
      <c r="E135" s="30" t="s">
        <v>42</v>
      </c>
      <c r="F135" s="200" t="s">
        <v>43</v>
      </c>
      <c r="G135" s="270">
        <v>180</v>
      </c>
      <c r="H135" s="270">
        <v>220</v>
      </c>
      <c r="I135" s="254">
        <v>2</v>
      </c>
      <c r="J135" s="288" t="s">
        <v>263</v>
      </c>
      <c r="K135" s="200" t="s">
        <v>77</v>
      </c>
      <c r="L135" s="205"/>
      <c r="M135" s="30"/>
      <c r="N135" s="30"/>
      <c r="O135" s="30"/>
      <c r="P135" s="30"/>
      <c r="Q135" s="30"/>
      <c r="R135" s="30"/>
      <c r="S135" s="30"/>
      <c r="T135" s="29"/>
      <c r="U135" s="30"/>
      <c r="V135" s="225">
        <v>45174</v>
      </c>
      <c r="W135" s="225">
        <v>45189</v>
      </c>
      <c r="X135" s="225">
        <v>45194</v>
      </c>
      <c r="Y135" s="225">
        <v>45184</v>
      </c>
      <c r="Z135" s="200"/>
      <c r="AA135" s="200"/>
      <c r="AB135" s="200"/>
      <c r="AC135" s="200">
        <v>1</v>
      </c>
      <c r="AD135" s="200"/>
      <c r="AE135" s="132">
        <v>45215</v>
      </c>
      <c r="AF135" s="132">
        <v>45215</v>
      </c>
      <c r="AG135" s="132">
        <v>45215</v>
      </c>
      <c r="AH135" s="132">
        <v>45215</v>
      </c>
      <c r="AI135" s="132">
        <v>45222</v>
      </c>
      <c r="AJ135" s="132">
        <v>45187</v>
      </c>
      <c r="AK135" s="132">
        <v>45187</v>
      </c>
      <c r="AL135" s="132">
        <v>45222</v>
      </c>
      <c r="AM135" s="132">
        <v>45222</v>
      </c>
      <c r="AN135" s="132">
        <v>45214</v>
      </c>
      <c r="AO135" s="132">
        <v>45222</v>
      </c>
      <c r="AP135" s="132"/>
      <c r="AQ135" s="132">
        <v>45222</v>
      </c>
      <c r="AR135" s="132">
        <v>45222</v>
      </c>
      <c r="AS135" s="132">
        <v>45221</v>
      </c>
      <c r="AT135" s="132">
        <v>45225</v>
      </c>
      <c r="AU135" s="150"/>
      <c r="AV135" s="151"/>
      <c r="AW135" s="151"/>
      <c r="AX135" s="151"/>
      <c r="AY135" s="151"/>
      <c r="AZ135" s="6" t="s">
        <v>264</v>
      </c>
      <c r="BA135" s="6">
        <v>2</v>
      </c>
    </row>
    <row r="136" spans="1:56" ht="18.75" customHeight="1">
      <c r="A136" s="40">
        <f>IF(A135="","",A135)</f>
        <v>812812</v>
      </c>
      <c r="B136" s="41"/>
      <c r="C136" s="41"/>
      <c r="D136" s="42"/>
      <c r="E136" s="42"/>
      <c r="F136" s="128" t="s">
        <v>48</v>
      </c>
      <c r="G136" s="276"/>
      <c r="H136" s="276"/>
      <c r="I136" s="207"/>
      <c r="J136" s="277"/>
      <c r="K136" s="230"/>
      <c r="L136" s="543"/>
      <c r="M136" s="42"/>
      <c r="N136" s="42"/>
      <c r="O136" s="42"/>
      <c r="P136" s="42"/>
      <c r="Q136" s="42"/>
      <c r="R136" s="42"/>
      <c r="S136" s="42"/>
      <c r="T136" s="41"/>
      <c r="U136" s="42"/>
      <c r="V136" s="116">
        <v>45174</v>
      </c>
      <c r="W136" s="116">
        <v>45212</v>
      </c>
      <c r="X136" s="116">
        <v>45194</v>
      </c>
      <c r="Y136" s="116">
        <v>45223</v>
      </c>
      <c r="Z136" s="128"/>
      <c r="AA136" s="128"/>
      <c r="AB136" s="128"/>
      <c r="AC136" s="128"/>
      <c r="AD136" s="128"/>
      <c r="AE136" s="232">
        <v>45207</v>
      </c>
      <c r="AF136" s="232">
        <v>45207</v>
      </c>
      <c r="AG136" s="232">
        <v>45215</v>
      </c>
      <c r="AH136" s="232">
        <v>45215</v>
      </c>
      <c r="AI136" s="116">
        <v>45215</v>
      </c>
      <c r="AJ136" s="116">
        <v>45187</v>
      </c>
      <c r="AK136" s="116">
        <v>45187</v>
      </c>
      <c r="AL136" s="116">
        <v>45194</v>
      </c>
      <c r="AM136" s="116">
        <v>45222</v>
      </c>
      <c r="AN136" s="116">
        <v>45214</v>
      </c>
      <c r="AO136" s="116">
        <v>45209</v>
      </c>
      <c r="AP136" s="116"/>
      <c r="AQ136" s="116">
        <v>45209</v>
      </c>
      <c r="AR136" s="116">
        <v>45219</v>
      </c>
      <c r="AS136" s="116">
        <v>45219</v>
      </c>
      <c r="AT136" s="116">
        <v>45219</v>
      </c>
      <c r="AU136" s="150"/>
      <c r="AV136" s="151"/>
      <c r="AW136" s="151"/>
      <c r="AX136" s="151"/>
      <c r="AY136" s="151"/>
      <c r="AZ136" s="6" t="s">
        <v>265</v>
      </c>
      <c r="BA136" s="6">
        <v>2</v>
      </c>
    </row>
    <row r="137" spans="1:56" ht="24.75" customHeight="1">
      <c r="A137" s="149">
        <v>812735</v>
      </c>
      <c r="B137" s="29">
        <v>812735</v>
      </c>
      <c r="C137" s="287" t="s">
        <v>55</v>
      </c>
      <c r="D137" s="153">
        <v>0.4</v>
      </c>
      <c r="E137" s="30"/>
      <c r="F137" s="200" t="s">
        <v>43</v>
      </c>
      <c r="G137" s="270">
        <v>240</v>
      </c>
      <c r="H137" s="270">
        <v>220</v>
      </c>
      <c r="I137" s="254">
        <v>1</v>
      </c>
      <c r="J137" s="289" t="s">
        <v>266</v>
      </c>
      <c r="K137" s="255" t="s">
        <v>50</v>
      </c>
      <c r="L137" s="545"/>
      <c r="M137" s="30"/>
      <c r="N137" s="30"/>
      <c r="O137" s="30"/>
      <c r="P137" s="30"/>
      <c r="Q137" s="30"/>
      <c r="R137" s="30"/>
      <c r="S137" s="30"/>
      <c r="T137" s="29"/>
      <c r="U137" s="30"/>
      <c r="V137" s="225">
        <v>45031</v>
      </c>
      <c r="W137" s="225">
        <v>45122</v>
      </c>
      <c r="X137" s="225">
        <v>45056</v>
      </c>
      <c r="Y137" s="272">
        <v>45122</v>
      </c>
      <c r="Z137" s="200" t="s">
        <v>72</v>
      </c>
      <c r="AA137" s="200"/>
      <c r="AB137" s="200"/>
      <c r="AC137" s="200">
        <v>1</v>
      </c>
      <c r="AD137" s="200"/>
      <c r="AE137" s="132">
        <v>45218</v>
      </c>
      <c r="AF137" s="132">
        <v>45222</v>
      </c>
      <c r="AG137" s="132">
        <v>45215</v>
      </c>
      <c r="AH137" s="132">
        <v>45222</v>
      </c>
      <c r="AI137" s="132">
        <v>45226</v>
      </c>
      <c r="AJ137" s="132">
        <v>45196</v>
      </c>
      <c r="AK137" s="132">
        <v>45196</v>
      </c>
      <c r="AL137" s="132">
        <v>45226</v>
      </c>
      <c r="AM137" s="132">
        <v>45226</v>
      </c>
      <c r="AN137" s="132">
        <v>45196</v>
      </c>
      <c r="AO137" s="132">
        <v>45226</v>
      </c>
      <c r="AP137" s="132"/>
      <c r="AQ137" s="132">
        <v>45226</v>
      </c>
      <c r="AR137" s="132">
        <v>45226</v>
      </c>
      <c r="AS137" s="132">
        <v>45226</v>
      </c>
      <c r="AT137" s="132">
        <v>45229</v>
      </c>
      <c r="AU137" s="47" t="s">
        <v>267</v>
      </c>
      <c r="AV137" s="39"/>
      <c r="AW137" s="39"/>
      <c r="AX137" s="39"/>
      <c r="AY137" s="39"/>
    </row>
    <row r="138" spans="1:56" ht="18.75" customHeight="1">
      <c r="A138" s="40">
        <v>812735</v>
      </c>
      <c r="B138" s="41"/>
      <c r="C138" s="42"/>
      <c r="D138" s="42"/>
      <c r="E138" s="42"/>
      <c r="F138" s="128" t="s">
        <v>48</v>
      </c>
      <c r="G138" s="276"/>
      <c r="H138" s="276"/>
      <c r="I138" s="207"/>
      <c r="J138" s="277"/>
      <c r="K138" s="230"/>
      <c r="L138" s="543"/>
      <c r="M138" s="42"/>
      <c r="N138" s="42"/>
      <c r="O138" s="42"/>
      <c r="P138" s="42"/>
      <c r="Q138" s="42"/>
      <c r="R138" s="42"/>
      <c r="S138" s="42"/>
      <c r="T138" s="41"/>
      <c r="U138" s="42"/>
      <c r="V138" s="116">
        <v>45031</v>
      </c>
      <c r="W138" s="129">
        <v>45139</v>
      </c>
      <c r="X138" s="116">
        <v>45056</v>
      </c>
      <c r="Y138" s="116">
        <v>45225</v>
      </c>
      <c r="Z138" s="210"/>
      <c r="AA138" s="128"/>
      <c r="AB138" s="128"/>
      <c r="AC138" s="128"/>
      <c r="AD138" s="128"/>
      <c r="AE138" s="232">
        <v>45210</v>
      </c>
      <c r="AF138" s="232">
        <v>45222</v>
      </c>
      <c r="AG138" s="232">
        <v>45215</v>
      </c>
      <c r="AH138" s="232">
        <v>45222</v>
      </c>
      <c r="AI138" s="232">
        <v>45222</v>
      </c>
      <c r="AJ138" s="116">
        <v>45194</v>
      </c>
      <c r="AK138" s="116">
        <v>45194</v>
      </c>
      <c r="AL138" s="116">
        <v>45210</v>
      </c>
      <c r="AM138" s="116">
        <v>45197</v>
      </c>
      <c r="AN138" s="116">
        <v>45194</v>
      </c>
      <c r="AO138" s="116">
        <v>45092</v>
      </c>
      <c r="AP138" s="116"/>
      <c r="AQ138" s="116">
        <v>45092</v>
      </c>
      <c r="AR138" s="116">
        <v>45226</v>
      </c>
      <c r="AS138" s="116">
        <v>45224</v>
      </c>
      <c r="AT138" s="116"/>
      <c r="AU138" s="150"/>
      <c r="AV138" s="151"/>
      <c r="AW138" s="151"/>
      <c r="AX138" s="151"/>
      <c r="AY138" s="151"/>
    </row>
    <row r="139" spans="1:56" ht="18" customHeight="1">
      <c r="A139" s="149">
        <v>812785</v>
      </c>
      <c r="B139" s="29" t="s">
        <v>268</v>
      </c>
      <c r="C139" s="97" t="s">
        <v>42</v>
      </c>
      <c r="D139" s="30"/>
      <c r="E139" s="30"/>
      <c r="F139" s="200" t="s">
        <v>43</v>
      </c>
      <c r="G139" s="270">
        <v>175</v>
      </c>
      <c r="H139" s="270">
        <v>380</v>
      </c>
      <c r="I139" s="254">
        <v>3</v>
      </c>
      <c r="J139" s="290" t="s">
        <v>269</v>
      </c>
      <c r="K139" s="200" t="s">
        <v>66</v>
      </c>
      <c r="L139" s="546"/>
      <c r="M139" s="97"/>
      <c r="N139" s="97"/>
      <c r="O139" s="97"/>
      <c r="P139" s="97"/>
      <c r="Q139" s="97"/>
      <c r="R139" s="97"/>
      <c r="S139" s="97"/>
      <c r="T139" s="96"/>
      <c r="U139" s="97"/>
      <c r="V139" s="225">
        <v>45086</v>
      </c>
      <c r="W139" s="225">
        <v>45170</v>
      </c>
      <c r="X139" s="225">
        <v>45086</v>
      </c>
      <c r="Y139" s="225">
        <v>45170</v>
      </c>
      <c r="Z139" s="200"/>
      <c r="AA139" s="200"/>
      <c r="AB139" s="200"/>
      <c r="AC139" s="200" t="s">
        <v>270</v>
      </c>
      <c r="AD139" s="200" t="s">
        <v>72</v>
      </c>
      <c r="AE139" s="132">
        <v>45222</v>
      </c>
      <c r="AF139" s="132">
        <v>45225</v>
      </c>
      <c r="AG139" s="132">
        <v>45225</v>
      </c>
      <c r="AH139" s="132">
        <v>45225</v>
      </c>
      <c r="AI139" s="132">
        <v>45229</v>
      </c>
      <c r="AJ139" s="132" t="s">
        <v>271</v>
      </c>
      <c r="AK139" s="132">
        <v>45210</v>
      </c>
      <c r="AL139" s="132">
        <v>45229</v>
      </c>
      <c r="AM139" s="132">
        <v>45229</v>
      </c>
      <c r="AN139" s="132">
        <v>45214</v>
      </c>
      <c r="AO139" s="132">
        <v>45229</v>
      </c>
      <c r="AP139" s="132"/>
      <c r="AQ139" s="132">
        <v>45229</v>
      </c>
      <c r="AR139" s="132">
        <v>45229</v>
      </c>
      <c r="AS139" s="132">
        <v>45230</v>
      </c>
      <c r="AT139" s="132">
        <v>45229</v>
      </c>
      <c r="AU139" s="228"/>
    </row>
    <row r="140" spans="1:56" ht="18" customHeight="1">
      <c r="A140" s="40">
        <v>812785</v>
      </c>
      <c r="B140" s="41"/>
      <c r="C140" s="42"/>
      <c r="D140" s="42"/>
      <c r="E140" s="42"/>
      <c r="F140" s="128" t="s">
        <v>48</v>
      </c>
      <c r="G140" s="276"/>
      <c r="H140" s="276"/>
      <c r="I140" s="207"/>
      <c r="J140" s="277"/>
      <c r="K140" s="230"/>
      <c r="L140" s="543"/>
      <c r="M140" s="42"/>
      <c r="N140" s="42"/>
      <c r="O140" s="42"/>
      <c r="P140" s="42"/>
      <c r="Q140" s="42"/>
      <c r="R140" s="42"/>
      <c r="S140" s="42"/>
      <c r="T140" s="41"/>
      <c r="U140" s="42"/>
      <c r="V140" s="116">
        <v>45086</v>
      </c>
      <c r="W140" s="116">
        <v>45189</v>
      </c>
      <c r="X140" s="116">
        <v>45086</v>
      </c>
      <c r="Y140" s="116">
        <v>45189</v>
      </c>
      <c r="Z140" s="128"/>
      <c r="AA140" s="128"/>
      <c r="AB140" s="128"/>
      <c r="AC140" s="128"/>
      <c r="AD140" s="128"/>
      <c r="AE140" s="232">
        <v>45222</v>
      </c>
      <c r="AF140" s="232">
        <v>45224</v>
      </c>
      <c r="AG140" s="232">
        <v>45225</v>
      </c>
      <c r="AH140" s="232">
        <v>45219</v>
      </c>
      <c r="AI140" s="232">
        <v>45229</v>
      </c>
      <c r="AJ140" s="232" t="s">
        <v>271</v>
      </c>
      <c r="AK140" s="232">
        <v>45210</v>
      </c>
      <c r="AL140" s="232">
        <v>45218</v>
      </c>
      <c r="AM140" s="232">
        <v>45229</v>
      </c>
      <c r="AN140" s="232">
        <v>45214</v>
      </c>
      <c r="AO140" s="232">
        <v>45223</v>
      </c>
      <c r="AP140" s="232"/>
      <c r="AQ140" s="232">
        <v>45223</v>
      </c>
      <c r="AR140" s="232">
        <v>45229</v>
      </c>
      <c r="AS140" s="232">
        <v>45230</v>
      </c>
      <c r="AT140" s="232">
        <v>45229</v>
      </c>
      <c r="AU140" s="171"/>
      <c r="AV140" s="151"/>
      <c r="AW140" s="151"/>
      <c r="AX140" s="151"/>
      <c r="AY140" s="151"/>
    </row>
    <row r="141" spans="1:56" ht="16.5" customHeight="1" thickBot="1">
      <c r="A141" s="100"/>
      <c r="B141" s="24"/>
      <c r="C141" s="24"/>
      <c r="D141" s="24"/>
      <c r="E141" s="24"/>
      <c r="F141" s="101"/>
      <c r="G141" s="24"/>
      <c r="H141" s="24"/>
      <c r="I141" s="24"/>
      <c r="J141" s="422"/>
      <c r="K141" s="101"/>
      <c r="L141" s="101"/>
      <c r="M141" s="24"/>
      <c r="N141" s="24"/>
      <c r="O141" s="24"/>
      <c r="P141" s="24"/>
      <c r="Q141" s="24"/>
      <c r="R141" s="24"/>
      <c r="S141" s="24"/>
      <c r="T141" s="24"/>
      <c r="U141" s="24"/>
      <c r="V141" s="101"/>
      <c r="W141" s="101"/>
      <c r="X141" s="101"/>
      <c r="Y141" s="101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6"/>
      <c r="AV141" s="27"/>
      <c r="AW141" s="27"/>
      <c r="AX141" s="27"/>
      <c r="AY141" s="27"/>
    </row>
    <row r="142" spans="1:56" ht="18.75" customHeight="1">
      <c r="A142" s="149">
        <v>812703</v>
      </c>
      <c r="B142" s="29">
        <v>812703</v>
      </c>
      <c r="C142" s="30" t="s">
        <v>42</v>
      </c>
      <c r="D142" s="30"/>
      <c r="E142" s="30"/>
      <c r="F142" s="200" t="s">
        <v>43</v>
      </c>
      <c r="G142" s="253">
        <v>200</v>
      </c>
      <c r="H142" s="253">
        <v>400</v>
      </c>
      <c r="I142" s="254">
        <v>1</v>
      </c>
      <c r="J142" s="438" t="s">
        <v>44</v>
      </c>
      <c r="K142" s="200" t="s">
        <v>45</v>
      </c>
      <c r="L142" s="205"/>
      <c r="M142" s="30"/>
      <c r="N142" s="30"/>
      <c r="O142" s="30"/>
      <c r="P142" s="30"/>
      <c r="Q142" s="30"/>
      <c r="R142" s="30"/>
      <c r="S142" s="30"/>
      <c r="T142" s="29"/>
      <c r="U142" s="30"/>
      <c r="V142" s="264" t="s">
        <v>272</v>
      </c>
      <c r="W142" s="225">
        <v>45122</v>
      </c>
      <c r="X142" s="264" t="s">
        <v>272</v>
      </c>
      <c r="Y142" s="225">
        <v>45122</v>
      </c>
      <c r="Z142" s="205"/>
      <c r="AA142" s="200"/>
      <c r="AB142" s="200"/>
      <c r="AC142" s="200" t="s">
        <v>270</v>
      </c>
      <c r="AD142" s="200"/>
      <c r="AE142" s="132">
        <v>45225</v>
      </c>
      <c r="AF142" s="132">
        <v>45232</v>
      </c>
      <c r="AG142" s="132">
        <v>45236</v>
      </c>
      <c r="AH142" s="132">
        <v>45233</v>
      </c>
      <c r="AI142" s="132">
        <v>45238</v>
      </c>
      <c r="AJ142" s="291">
        <v>45215</v>
      </c>
      <c r="AK142" s="292" t="s">
        <v>273</v>
      </c>
      <c r="AL142" s="132">
        <v>45236</v>
      </c>
      <c r="AM142" s="132">
        <v>45236</v>
      </c>
      <c r="AN142" s="132">
        <v>45236</v>
      </c>
      <c r="AO142" s="132">
        <v>45236</v>
      </c>
      <c r="AP142" s="132"/>
      <c r="AQ142" s="132">
        <v>45236</v>
      </c>
      <c r="AR142" s="132">
        <v>45240</v>
      </c>
      <c r="AS142" s="132">
        <v>45243</v>
      </c>
      <c r="AT142" s="132">
        <v>45243</v>
      </c>
      <c r="AU142" s="637" t="s">
        <v>274</v>
      </c>
      <c r="AV142" s="39"/>
      <c r="AW142" s="39"/>
      <c r="AX142" s="39"/>
      <c r="AY142" s="39"/>
    </row>
    <row r="143" spans="1:56" ht="18" customHeight="1">
      <c r="A143" s="40">
        <v>812703</v>
      </c>
      <c r="B143" s="41"/>
      <c r="C143" s="42"/>
      <c r="D143" s="42"/>
      <c r="E143" s="42"/>
      <c r="F143" s="128" t="s">
        <v>48</v>
      </c>
      <c r="G143" s="207"/>
      <c r="H143" s="207"/>
      <c r="I143" s="207"/>
      <c r="J143" s="277"/>
      <c r="K143" s="230"/>
      <c r="L143" s="543"/>
      <c r="M143" s="42"/>
      <c r="N143" s="42"/>
      <c r="O143" s="42"/>
      <c r="P143" s="42"/>
      <c r="Q143" s="42"/>
      <c r="R143" s="42"/>
      <c r="S143" s="42"/>
      <c r="T143" s="41"/>
      <c r="U143" s="42"/>
      <c r="V143" s="116">
        <v>45267</v>
      </c>
      <c r="W143" s="129">
        <v>45136</v>
      </c>
      <c r="X143" s="116">
        <v>44902</v>
      </c>
      <c r="Y143" s="129">
        <v>45136</v>
      </c>
      <c r="Z143" s="210"/>
      <c r="AA143" s="128"/>
      <c r="AB143" s="128"/>
      <c r="AC143" s="128"/>
      <c r="AD143" s="128"/>
      <c r="AE143" s="232">
        <v>45225</v>
      </c>
      <c r="AF143" s="232">
        <v>45232</v>
      </c>
      <c r="AG143" s="232">
        <v>45236</v>
      </c>
      <c r="AH143" s="232">
        <v>45230</v>
      </c>
      <c r="AI143" s="232">
        <v>45238</v>
      </c>
      <c r="AJ143" s="117" t="s">
        <v>275</v>
      </c>
      <c r="AK143" s="116">
        <v>45131</v>
      </c>
      <c r="AL143" s="116">
        <v>45236</v>
      </c>
      <c r="AM143" s="116">
        <v>45234</v>
      </c>
      <c r="AN143" s="116">
        <v>45226</v>
      </c>
      <c r="AO143" s="116">
        <v>45236</v>
      </c>
      <c r="AP143" s="116"/>
      <c r="AQ143" s="116">
        <v>45236</v>
      </c>
      <c r="AR143" s="116">
        <v>45244</v>
      </c>
      <c r="AS143" s="116">
        <v>45242</v>
      </c>
      <c r="AT143" s="116">
        <v>45244</v>
      </c>
      <c r="AU143" s="638"/>
      <c r="AV143" s="39"/>
      <c r="AW143" s="39"/>
      <c r="AX143" s="39"/>
      <c r="AY143" s="39"/>
    </row>
    <row r="144" spans="1:56" ht="18" customHeight="1">
      <c r="A144" s="160">
        <v>812817</v>
      </c>
      <c r="B144" s="279" t="s">
        <v>276</v>
      </c>
      <c r="C144" s="167" t="s">
        <v>42</v>
      </c>
      <c r="D144" s="263"/>
      <c r="E144" s="252"/>
      <c r="F144" s="200" t="s">
        <v>43</v>
      </c>
      <c r="G144" s="270">
        <v>400</v>
      </c>
      <c r="H144" s="270">
        <v>500</v>
      </c>
      <c r="I144" s="254">
        <v>6</v>
      </c>
      <c r="J144" s="288" t="s">
        <v>277</v>
      </c>
      <c r="K144" s="200" t="s">
        <v>77</v>
      </c>
      <c r="L144" s="205"/>
      <c r="M144" s="252"/>
      <c r="N144" s="252"/>
      <c r="O144" s="252"/>
      <c r="P144" s="252"/>
      <c r="Q144" s="252"/>
      <c r="R144" s="252"/>
      <c r="S144" s="252"/>
      <c r="T144" s="279"/>
      <c r="U144" s="252"/>
      <c r="V144" s="225">
        <v>45197</v>
      </c>
      <c r="W144" s="225">
        <v>45229</v>
      </c>
      <c r="X144" s="225">
        <v>45197</v>
      </c>
      <c r="Y144" s="225">
        <v>45229</v>
      </c>
      <c r="Z144" s="200"/>
      <c r="AA144" s="200"/>
      <c r="AB144" s="200"/>
      <c r="AC144" s="200">
        <v>1</v>
      </c>
      <c r="AD144" s="200"/>
      <c r="AE144" s="132">
        <v>45238</v>
      </c>
      <c r="AF144" s="132">
        <v>45247</v>
      </c>
      <c r="AG144" s="132">
        <v>45246</v>
      </c>
      <c r="AH144" s="293">
        <v>45260</v>
      </c>
      <c r="AI144" s="293">
        <v>45260</v>
      </c>
      <c r="AJ144" s="132">
        <v>45209</v>
      </c>
      <c r="AK144" s="132">
        <v>45215</v>
      </c>
      <c r="AL144" s="132">
        <v>45250</v>
      </c>
      <c r="AM144" s="132">
        <v>45245</v>
      </c>
      <c r="AN144" s="132">
        <v>45250</v>
      </c>
      <c r="AO144" s="132">
        <v>45250</v>
      </c>
      <c r="AP144" s="132"/>
      <c r="AQ144" s="132">
        <v>45250</v>
      </c>
      <c r="AR144" s="132">
        <v>45250</v>
      </c>
      <c r="AS144" s="132">
        <v>45250</v>
      </c>
      <c r="AT144" s="132">
        <v>45253</v>
      </c>
      <c r="AU144" s="638"/>
      <c r="AV144" s="39"/>
      <c r="AW144" s="39"/>
      <c r="AX144" s="39"/>
      <c r="AY144" s="39"/>
    </row>
    <row r="145" spans="1:53" ht="18" customHeight="1">
      <c r="A145" s="273">
        <v>812817</v>
      </c>
      <c r="B145" s="274"/>
      <c r="C145" s="275"/>
      <c r="D145" s="275"/>
      <c r="E145" s="275"/>
      <c r="F145" s="128" t="s">
        <v>48</v>
      </c>
      <c r="G145" s="276"/>
      <c r="H145" s="276"/>
      <c r="I145" s="207"/>
      <c r="J145" s="277"/>
      <c r="K145" s="230"/>
      <c r="L145" s="543"/>
      <c r="M145" s="275"/>
      <c r="N145" s="275"/>
      <c r="O145" s="275"/>
      <c r="P145" s="275"/>
      <c r="Q145" s="275"/>
      <c r="R145" s="275"/>
      <c r="S145" s="275"/>
      <c r="T145" s="274"/>
      <c r="U145" s="275"/>
      <c r="V145" s="116">
        <v>45197</v>
      </c>
      <c r="W145" s="116" t="s">
        <v>278</v>
      </c>
      <c r="X145" s="116">
        <v>45197</v>
      </c>
      <c r="Y145" s="116">
        <v>45222</v>
      </c>
      <c r="Z145" s="128"/>
      <c r="AA145" s="128"/>
      <c r="AB145" s="128"/>
      <c r="AC145" s="128"/>
      <c r="AD145" s="128"/>
      <c r="AE145" s="232">
        <v>45238</v>
      </c>
      <c r="AF145" s="232">
        <v>45247</v>
      </c>
      <c r="AG145" s="232">
        <v>45246</v>
      </c>
      <c r="AH145" s="232" t="s">
        <v>279</v>
      </c>
      <c r="AI145" s="232" t="s">
        <v>279</v>
      </c>
      <c r="AJ145" s="232">
        <v>45194</v>
      </c>
      <c r="AK145" s="232">
        <v>45215</v>
      </c>
      <c r="AL145" s="232">
        <v>45250</v>
      </c>
      <c r="AM145" s="232">
        <v>45227</v>
      </c>
      <c r="AN145" s="232">
        <v>45219</v>
      </c>
      <c r="AO145" s="232">
        <v>45250</v>
      </c>
      <c r="AP145" s="232"/>
      <c r="AQ145" s="232">
        <v>45250</v>
      </c>
      <c r="AR145" s="232">
        <v>45250</v>
      </c>
      <c r="AS145" s="232">
        <v>45250</v>
      </c>
      <c r="AT145" s="232">
        <v>45250</v>
      </c>
      <c r="AU145" s="638"/>
      <c r="AV145" s="39"/>
      <c r="AW145" s="39"/>
      <c r="AX145" s="39"/>
      <c r="AY145" s="39"/>
      <c r="AZ145" s="6" t="s">
        <v>264</v>
      </c>
      <c r="BA145" s="6">
        <v>3</v>
      </c>
    </row>
    <row r="146" spans="1:53" ht="19.5" customHeight="1">
      <c r="A146" s="294">
        <v>850522</v>
      </c>
      <c r="B146" s="29">
        <v>850522</v>
      </c>
      <c r="C146" s="167" t="s">
        <v>42</v>
      </c>
      <c r="D146" s="30"/>
      <c r="E146" s="30"/>
      <c r="F146" s="31" t="s">
        <v>43</v>
      </c>
      <c r="G146" s="33">
        <v>150</v>
      </c>
      <c r="H146" s="33">
        <v>220</v>
      </c>
      <c r="I146" s="34">
        <v>1</v>
      </c>
      <c r="J146" s="290" t="s">
        <v>280</v>
      </c>
      <c r="K146" s="31" t="s">
        <v>231</v>
      </c>
      <c r="L146" s="161"/>
      <c r="M146" s="30"/>
      <c r="N146" s="30"/>
      <c r="O146" s="30"/>
      <c r="P146" s="30"/>
      <c r="Q146" s="30"/>
      <c r="R146" s="30"/>
      <c r="S146" s="30"/>
      <c r="T146" s="29"/>
      <c r="U146" s="30"/>
      <c r="V146" s="35"/>
      <c r="W146" s="35"/>
      <c r="X146" s="35"/>
      <c r="Y146" s="35"/>
      <c r="Z146" s="35"/>
      <c r="AA146" s="35"/>
      <c r="AB146" s="31"/>
      <c r="AC146" s="37">
        <v>1</v>
      </c>
      <c r="AD146" s="31"/>
      <c r="AE146" s="132">
        <v>45237</v>
      </c>
      <c r="AF146" s="132">
        <v>45244</v>
      </c>
      <c r="AG146" s="132">
        <v>45252</v>
      </c>
      <c r="AH146" s="132">
        <v>45252</v>
      </c>
      <c r="AI146" s="132">
        <v>45245</v>
      </c>
      <c r="AJ146" s="132">
        <v>45239</v>
      </c>
      <c r="AK146" s="132">
        <v>45239</v>
      </c>
      <c r="AL146" s="132">
        <v>45236</v>
      </c>
      <c r="AM146" s="132">
        <v>45234</v>
      </c>
      <c r="AN146" s="132">
        <v>45226</v>
      </c>
      <c r="AO146" s="132">
        <v>45236</v>
      </c>
      <c r="AP146" s="132"/>
      <c r="AQ146" s="132">
        <v>45236</v>
      </c>
      <c r="AR146" s="132">
        <v>45244</v>
      </c>
      <c r="AS146" s="132">
        <v>45242</v>
      </c>
      <c r="AT146" s="132">
        <v>45244</v>
      </c>
      <c r="AU146" s="638"/>
      <c r="AV146" s="39"/>
      <c r="AW146" s="39"/>
      <c r="AX146" s="39"/>
      <c r="AY146" s="39"/>
      <c r="AZ146" s="6" t="s">
        <v>265</v>
      </c>
      <c r="BA146" s="6">
        <v>2</v>
      </c>
    </row>
    <row r="147" spans="1:53" ht="18" customHeight="1">
      <c r="A147" s="227">
        <f>IF(A146="","",A146)</f>
        <v>850522</v>
      </c>
      <c r="B147" s="41"/>
      <c r="C147" s="42"/>
      <c r="D147" s="42"/>
      <c r="E147" s="42"/>
      <c r="F147" s="43" t="s">
        <v>48</v>
      </c>
      <c r="G147" s="59"/>
      <c r="H147" s="59"/>
      <c r="I147" s="44"/>
      <c r="J147" s="52"/>
      <c r="K147" s="53"/>
      <c r="L147" s="537"/>
      <c r="M147" s="42"/>
      <c r="N147" s="42"/>
      <c r="O147" s="42"/>
      <c r="P147" s="42"/>
      <c r="Q147" s="42"/>
      <c r="R147" s="42"/>
      <c r="S147" s="42"/>
      <c r="T147" s="41"/>
      <c r="U147" s="42"/>
      <c r="V147" s="116"/>
      <c r="W147" s="116"/>
      <c r="X147" s="116"/>
      <c r="Y147" s="116"/>
      <c r="Z147" s="53"/>
      <c r="AA147" s="53"/>
      <c r="AB147" s="43"/>
      <c r="AC147" s="54"/>
      <c r="AD147" s="43"/>
      <c r="AE147" s="232">
        <v>45237</v>
      </c>
      <c r="AF147" s="232">
        <v>45244</v>
      </c>
      <c r="AG147" s="232">
        <v>45252</v>
      </c>
      <c r="AH147" s="232">
        <v>45252</v>
      </c>
      <c r="AI147" s="232">
        <v>45245</v>
      </c>
      <c r="AJ147" s="232"/>
      <c r="AK147" s="232"/>
      <c r="AL147" s="295">
        <v>45245</v>
      </c>
      <c r="AM147" s="295">
        <v>45245</v>
      </c>
      <c r="AN147" s="295">
        <v>45240</v>
      </c>
      <c r="AO147" s="295">
        <v>45245</v>
      </c>
      <c r="AP147" s="295"/>
      <c r="AQ147" s="295">
        <v>45245</v>
      </c>
      <c r="AR147" s="295">
        <v>45245</v>
      </c>
      <c r="AS147" s="295">
        <v>45245</v>
      </c>
      <c r="AT147" s="232">
        <v>45248</v>
      </c>
      <c r="AU147" s="638"/>
      <c r="AV147" s="39"/>
      <c r="AW147" s="39"/>
      <c r="AX147" s="39"/>
      <c r="AY147" s="39"/>
    </row>
    <row r="148" spans="1:53" ht="18.75" customHeight="1">
      <c r="A148" s="209">
        <v>812779</v>
      </c>
      <c r="B148" s="177" t="s">
        <v>281</v>
      </c>
      <c r="C148" s="30" t="s">
        <v>42</v>
      </c>
      <c r="D148" s="30"/>
      <c r="E148" s="30"/>
      <c r="F148" s="31" t="s">
        <v>43</v>
      </c>
      <c r="G148" s="50">
        <v>150</v>
      </c>
      <c r="H148" s="50">
        <v>220</v>
      </c>
      <c r="I148" s="34">
        <v>2</v>
      </c>
      <c r="J148" s="290" t="s">
        <v>282</v>
      </c>
      <c r="K148" s="81" t="s">
        <v>45</v>
      </c>
      <c r="L148" s="538"/>
      <c r="M148" s="178"/>
      <c r="N148" s="178"/>
      <c r="O148" s="178"/>
      <c r="P148" s="178"/>
      <c r="Q148" s="178"/>
      <c r="R148" s="178"/>
      <c r="S148" s="178"/>
      <c r="T148" s="177"/>
      <c r="U148" s="178"/>
      <c r="V148" s="225">
        <v>45092</v>
      </c>
      <c r="W148" s="225">
        <v>45122</v>
      </c>
      <c r="X148" s="225">
        <v>45092</v>
      </c>
      <c r="Y148" s="225">
        <v>45122</v>
      </c>
      <c r="Z148" s="161"/>
      <c r="AA148" s="31"/>
      <c r="AB148" s="31"/>
      <c r="AC148" s="296">
        <v>1</v>
      </c>
      <c r="AD148" s="31" t="s">
        <v>72</v>
      </c>
      <c r="AE148" s="132">
        <v>45240</v>
      </c>
      <c r="AF148" s="132">
        <v>45260</v>
      </c>
      <c r="AG148" s="132">
        <v>45252</v>
      </c>
      <c r="AH148" s="132">
        <v>45258</v>
      </c>
      <c r="AI148" s="132">
        <v>45259</v>
      </c>
      <c r="AJ148" s="132">
        <v>45226</v>
      </c>
      <c r="AK148" s="132">
        <v>45226</v>
      </c>
      <c r="AL148" s="132">
        <v>45255</v>
      </c>
      <c r="AM148" s="132">
        <v>45248</v>
      </c>
      <c r="AN148" s="132">
        <v>45232</v>
      </c>
      <c r="AO148" s="132">
        <v>45255</v>
      </c>
      <c r="AP148" s="132"/>
      <c r="AQ148" s="132">
        <v>45255</v>
      </c>
      <c r="AR148" s="132">
        <v>45259</v>
      </c>
      <c r="AS148" s="132">
        <v>45260</v>
      </c>
      <c r="AT148" s="132">
        <v>45263</v>
      </c>
      <c r="AU148" s="638"/>
      <c r="AV148" s="39"/>
      <c r="AW148" s="39"/>
      <c r="AX148" s="39"/>
      <c r="AY148" s="39"/>
    </row>
    <row r="149" spans="1:53" ht="18.75" customHeight="1">
      <c r="A149" s="180">
        <v>812779</v>
      </c>
      <c r="B149" s="181"/>
      <c r="C149" s="182"/>
      <c r="D149" s="182"/>
      <c r="E149" s="182"/>
      <c r="F149" s="43" t="s">
        <v>48</v>
      </c>
      <c r="G149" s="183"/>
      <c r="H149" s="183"/>
      <c r="I149" s="184"/>
      <c r="J149" s="429"/>
      <c r="K149" s="53"/>
      <c r="L149" s="537"/>
      <c r="M149" s="185"/>
      <c r="N149" s="185"/>
      <c r="O149" s="185"/>
      <c r="P149" s="185"/>
      <c r="Q149" s="185"/>
      <c r="R149" s="185"/>
      <c r="S149" s="185"/>
      <c r="T149" s="181"/>
      <c r="U149" s="185"/>
      <c r="V149" s="116">
        <v>45099</v>
      </c>
      <c r="W149" s="116">
        <v>45229</v>
      </c>
      <c r="X149" s="116">
        <v>45099</v>
      </c>
      <c r="Y149" s="116">
        <v>45229</v>
      </c>
      <c r="Z149" s="158"/>
      <c r="AA149" s="43"/>
      <c r="AB149" s="43"/>
      <c r="AC149" s="54"/>
      <c r="AD149" s="43"/>
      <c r="AE149" s="232">
        <v>45229</v>
      </c>
      <c r="AF149" s="232">
        <v>45260</v>
      </c>
      <c r="AG149" s="295">
        <v>45258</v>
      </c>
      <c r="AH149" s="232">
        <v>45258</v>
      </c>
      <c r="AI149" s="46">
        <v>45255</v>
      </c>
      <c r="AJ149" s="116">
        <v>45222</v>
      </c>
      <c r="AK149" s="116">
        <v>45222</v>
      </c>
      <c r="AL149" s="116">
        <v>45255</v>
      </c>
      <c r="AM149" s="116">
        <v>45248</v>
      </c>
      <c r="AN149" s="116">
        <v>45232</v>
      </c>
      <c r="AO149" s="116">
        <v>45255</v>
      </c>
      <c r="AP149" s="116"/>
      <c r="AQ149" s="116">
        <v>45255</v>
      </c>
      <c r="AR149" s="116">
        <v>45255</v>
      </c>
      <c r="AS149" s="116">
        <v>45255</v>
      </c>
      <c r="AT149" s="116">
        <v>45255</v>
      </c>
      <c r="AU149" s="638"/>
      <c r="AV149" s="39"/>
      <c r="AW149" s="39"/>
      <c r="AX149" s="39"/>
      <c r="AY149" s="39"/>
    </row>
    <row r="150" spans="1:53" ht="18.75" customHeight="1">
      <c r="A150" s="149">
        <v>812793</v>
      </c>
      <c r="B150" s="29">
        <v>812793</v>
      </c>
      <c r="C150" s="30" t="s">
        <v>42</v>
      </c>
      <c r="D150" s="30"/>
      <c r="E150" s="30"/>
      <c r="F150" s="31" t="s">
        <v>43</v>
      </c>
      <c r="G150" s="33">
        <v>250</v>
      </c>
      <c r="H150" s="33">
        <v>242</v>
      </c>
      <c r="I150" s="34">
        <v>1</v>
      </c>
      <c r="J150" s="290" t="s">
        <v>282</v>
      </c>
      <c r="K150" s="81" t="s">
        <v>45</v>
      </c>
      <c r="L150" s="538"/>
      <c r="M150" s="30"/>
      <c r="N150" s="30"/>
      <c r="O150" s="30"/>
      <c r="P150" s="30"/>
      <c r="Q150" s="30"/>
      <c r="R150" s="30"/>
      <c r="S150" s="30"/>
      <c r="T150" s="29"/>
      <c r="U150" s="30"/>
      <c r="V150" s="225">
        <v>45174</v>
      </c>
      <c r="W150" s="225">
        <v>45188</v>
      </c>
      <c r="X150" s="225">
        <v>45189</v>
      </c>
      <c r="Y150" s="225">
        <v>45229</v>
      </c>
      <c r="Z150" s="31"/>
      <c r="AA150" s="31"/>
      <c r="AB150" s="31"/>
      <c r="AC150" s="37">
        <v>1</v>
      </c>
      <c r="AD150" s="31"/>
      <c r="AE150" s="132">
        <v>45245</v>
      </c>
      <c r="AF150" s="132">
        <v>45260</v>
      </c>
      <c r="AG150" s="121">
        <v>45263</v>
      </c>
      <c r="AH150" s="121">
        <v>45263</v>
      </c>
      <c r="AI150" s="121">
        <v>45263</v>
      </c>
      <c r="AJ150" s="132">
        <v>45224</v>
      </c>
      <c r="AK150" s="38" t="s">
        <v>283</v>
      </c>
      <c r="AL150" s="132">
        <v>45260</v>
      </c>
      <c r="AM150" s="132">
        <v>45250</v>
      </c>
      <c r="AN150" s="132">
        <v>45240</v>
      </c>
      <c r="AO150" s="132">
        <v>45260</v>
      </c>
      <c r="AP150" s="132"/>
      <c r="AQ150" s="132">
        <v>45260</v>
      </c>
      <c r="AR150" s="132">
        <v>45261</v>
      </c>
      <c r="AS150" s="132">
        <v>45266</v>
      </c>
      <c r="AT150" s="132">
        <v>45268</v>
      </c>
      <c r="AU150" s="638"/>
      <c r="AV150" s="39"/>
      <c r="AW150" s="39"/>
      <c r="AX150" s="39"/>
      <c r="AY150" s="39"/>
    </row>
    <row r="151" spans="1:53" ht="18" customHeight="1" thickBot="1">
      <c r="A151" s="40">
        <v>812793</v>
      </c>
      <c r="B151" s="41"/>
      <c r="C151" s="42"/>
      <c r="D151" s="42"/>
      <c r="E151" s="42"/>
      <c r="F151" s="43" t="s">
        <v>48</v>
      </c>
      <c r="G151" s="59"/>
      <c r="H151" s="59"/>
      <c r="I151" s="44"/>
      <c r="J151" s="52"/>
      <c r="K151" s="53"/>
      <c r="L151" s="537"/>
      <c r="M151" s="42"/>
      <c r="N151" s="42"/>
      <c r="O151" s="42"/>
      <c r="P151" s="42"/>
      <c r="Q151" s="42"/>
      <c r="R151" s="42"/>
      <c r="S151" s="42"/>
      <c r="T151" s="41"/>
      <c r="U151" s="42"/>
      <c r="V151" s="116">
        <v>45173</v>
      </c>
      <c r="W151" s="116">
        <v>45189</v>
      </c>
      <c r="X151" s="116">
        <v>45189</v>
      </c>
      <c r="Y151" s="116">
        <v>45189</v>
      </c>
      <c r="Z151" s="43"/>
      <c r="AA151" s="43"/>
      <c r="AB151" s="43"/>
      <c r="AC151" s="54"/>
      <c r="AD151" s="43"/>
      <c r="AE151" s="232">
        <v>45230</v>
      </c>
      <c r="AF151" s="232">
        <v>45260</v>
      </c>
      <c r="AG151" s="232">
        <v>45263</v>
      </c>
      <c r="AH151" s="232">
        <v>45261</v>
      </c>
      <c r="AI151" s="232">
        <v>40991</v>
      </c>
      <c r="AJ151" s="116" t="s">
        <v>284</v>
      </c>
      <c r="AK151" s="116">
        <v>39926</v>
      </c>
      <c r="AL151" s="116" t="s">
        <v>285</v>
      </c>
      <c r="AM151" s="116" t="s">
        <v>285</v>
      </c>
      <c r="AN151" s="116">
        <v>40839</v>
      </c>
      <c r="AO151" s="116" t="s">
        <v>285</v>
      </c>
      <c r="AP151" s="116"/>
      <c r="AQ151" s="116" t="s">
        <v>285</v>
      </c>
      <c r="AR151" s="116">
        <v>40931</v>
      </c>
      <c r="AS151" s="116">
        <v>41083</v>
      </c>
      <c r="AT151" s="116">
        <v>41144</v>
      </c>
      <c r="AU151" s="638"/>
      <c r="AV151" s="39"/>
      <c r="AW151" s="39"/>
      <c r="AX151" s="39"/>
      <c r="AY151" s="39"/>
    </row>
    <row r="152" spans="1:53" ht="16.5" customHeight="1" thickBot="1">
      <c r="A152" s="100"/>
      <c r="B152" s="24"/>
      <c r="C152" s="24"/>
      <c r="D152" s="24"/>
      <c r="E152" s="24"/>
      <c r="F152" s="101"/>
      <c r="G152" s="24"/>
      <c r="H152" s="24"/>
      <c r="I152" s="24"/>
      <c r="J152" s="422"/>
      <c r="K152" s="101"/>
      <c r="L152" s="101"/>
      <c r="M152" s="24"/>
      <c r="N152" s="24"/>
      <c r="O152" s="24"/>
      <c r="P152" s="24"/>
      <c r="Q152" s="24"/>
      <c r="R152" s="24"/>
      <c r="S152" s="24"/>
      <c r="T152" s="24"/>
      <c r="U152" s="24"/>
      <c r="V152" s="101"/>
      <c r="W152" s="101"/>
      <c r="X152" s="101"/>
      <c r="Y152" s="101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637" t="s">
        <v>286</v>
      </c>
      <c r="AV152" s="39"/>
      <c r="AW152" s="39"/>
      <c r="AX152" s="39"/>
      <c r="AY152" s="39"/>
    </row>
    <row r="153" spans="1:53" ht="16.5" customHeight="1">
      <c r="A153" s="209">
        <v>812789</v>
      </c>
      <c r="B153" s="177" t="s">
        <v>287</v>
      </c>
      <c r="C153" s="30" t="s">
        <v>42</v>
      </c>
      <c r="D153" s="30"/>
      <c r="E153" s="30"/>
      <c r="F153" s="31" t="s">
        <v>43</v>
      </c>
      <c r="G153" s="50">
        <v>260</v>
      </c>
      <c r="H153" s="50">
        <v>400</v>
      </c>
      <c r="I153" s="34">
        <v>4</v>
      </c>
      <c r="J153" s="290" t="s">
        <v>218</v>
      </c>
      <c r="K153" s="31" t="s">
        <v>108</v>
      </c>
      <c r="L153" s="161"/>
      <c r="M153" s="178"/>
      <c r="N153" s="178"/>
      <c r="O153" s="178"/>
      <c r="P153" s="178"/>
      <c r="Q153" s="178"/>
      <c r="R153" s="178"/>
      <c r="S153" s="178"/>
      <c r="T153" s="177"/>
      <c r="U153" s="178"/>
      <c r="V153" s="225">
        <v>45150</v>
      </c>
      <c r="W153" s="225">
        <v>45181</v>
      </c>
      <c r="X153" s="225">
        <v>45150</v>
      </c>
      <c r="Y153" s="225">
        <v>45181</v>
      </c>
      <c r="Z153" s="161"/>
      <c r="AA153" s="31"/>
      <c r="AB153" s="31"/>
      <c r="AC153" s="37">
        <v>1</v>
      </c>
      <c r="AD153" s="31"/>
      <c r="AE153" s="132">
        <v>45261</v>
      </c>
      <c r="AF153" s="132">
        <v>45267</v>
      </c>
      <c r="AG153" s="132">
        <v>45287</v>
      </c>
      <c r="AH153" s="132">
        <v>45267</v>
      </c>
      <c r="AI153" s="132">
        <v>45289</v>
      </c>
      <c r="AJ153" s="132">
        <v>45254</v>
      </c>
      <c r="AK153" s="132">
        <v>45254</v>
      </c>
      <c r="AL153" s="132">
        <v>45274</v>
      </c>
      <c r="AM153" s="132">
        <v>45274</v>
      </c>
      <c r="AN153" s="132">
        <v>45260</v>
      </c>
      <c r="AO153" s="132">
        <v>45274</v>
      </c>
      <c r="AP153" s="132"/>
      <c r="AQ153" s="132">
        <v>45274</v>
      </c>
      <c r="AR153" s="132">
        <v>45274</v>
      </c>
      <c r="AS153" s="132">
        <v>45274</v>
      </c>
      <c r="AT153" s="132">
        <v>45278</v>
      </c>
      <c r="AU153" s="638"/>
      <c r="AV153" s="39"/>
      <c r="AW153" s="39"/>
      <c r="AX153" s="39"/>
      <c r="AY153" s="39"/>
    </row>
    <row r="154" spans="1:53" ht="18" customHeight="1">
      <c r="A154" s="180">
        <v>812789</v>
      </c>
      <c r="B154" s="181"/>
      <c r="C154" s="182"/>
      <c r="D154" s="182"/>
      <c r="E154" s="182"/>
      <c r="F154" s="43" t="s">
        <v>48</v>
      </c>
      <c r="G154" s="183"/>
      <c r="H154" s="183"/>
      <c r="I154" s="184"/>
      <c r="J154" s="429"/>
      <c r="K154" s="53"/>
      <c r="L154" s="537"/>
      <c r="M154" s="185"/>
      <c r="N154" s="185"/>
      <c r="O154" s="185"/>
      <c r="P154" s="185"/>
      <c r="Q154" s="185"/>
      <c r="R154" s="185"/>
      <c r="S154" s="185"/>
      <c r="T154" s="181"/>
      <c r="U154" s="185"/>
      <c r="V154" s="116">
        <v>45150</v>
      </c>
      <c r="W154" s="116">
        <v>45232</v>
      </c>
      <c r="X154" s="116">
        <v>45150</v>
      </c>
      <c r="Y154" s="116">
        <v>45276</v>
      </c>
      <c r="Z154" s="158"/>
      <c r="AA154" s="43"/>
      <c r="AB154" s="43"/>
      <c r="AC154" s="54"/>
      <c r="AD154" s="43"/>
      <c r="AE154" s="232">
        <v>45261</v>
      </c>
      <c r="AF154" s="232">
        <v>45267</v>
      </c>
      <c r="AG154" s="232">
        <v>45283</v>
      </c>
      <c r="AH154" s="232">
        <v>45267</v>
      </c>
      <c r="AI154" s="232" t="s">
        <v>288</v>
      </c>
      <c r="AJ154" s="297" t="s">
        <v>289</v>
      </c>
      <c r="AK154" s="297" t="s">
        <v>290</v>
      </c>
      <c r="AL154" s="297" t="s">
        <v>291</v>
      </c>
      <c r="AM154" s="297" t="s">
        <v>291</v>
      </c>
      <c r="AN154" s="297" t="s">
        <v>291</v>
      </c>
      <c r="AO154" s="297" t="s">
        <v>291</v>
      </c>
      <c r="AP154" s="297"/>
      <c r="AQ154" s="297" t="s">
        <v>291</v>
      </c>
      <c r="AR154" s="297" t="s">
        <v>291</v>
      </c>
      <c r="AS154" s="297" t="s">
        <v>291</v>
      </c>
      <c r="AT154" s="390">
        <v>45644</v>
      </c>
      <c r="AU154" s="638"/>
      <c r="AV154" s="39"/>
      <c r="AW154" s="39"/>
      <c r="AX154" s="39"/>
      <c r="AY154" s="39"/>
    </row>
    <row r="155" spans="1:53" ht="18" customHeight="1">
      <c r="A155" s="149">
        <v>850567</v>
      </c>
      <c r="B155" s="29">
        <v>850567</v>
      </c>
      <c r="C155" s="30" t="s">
        <v>42</v>
      </c>
      <c r="D155" s="30"/>
      <c r="E155" s="30"/>
      <c r="F155" s="31" t="s">
        <v>43</v>
      </c>
      <c r="G155" s="33">
        <v>180</v>
      </c>
      <c r="H155" s="33">
        <v>220</v>
      </c>
      <c r="I155" s="34">
        <v>1</v>
      </c>
      <c r="J155" s="298" t="s">
        <v>292</v>
      </c>
      <c r="K155" s="31" t="s">
        <v>231</v>
      </c>
      <c r="L155" s="161"/>
      <c r="M155" s="30"/>
      <c r="N155" s="30"/>
      <c r="O155" s="30"/>
      <c r="P155" s="30"/>
      <c r="Q155" s="30"/>
      <c r="R155" s="30"/>
      <c r="S155" s="30"/>
      <c r="T155" s="29"/>
      <c r="U155" s="30"/>
      <c r="V155" s="35"/>
      <c r="W155" s="35"/>
      <c r="X155" s="35"/>
      <c r="Y155" s="35"/>
      <c r="Z155" s="31"/>
      <c r="AA155" s="31"/>
      <c r="AB155" s="31"/>
      <c r="AC155" s="37">
        <v>1</v>
      </c>
      <c r="AD155" s="31"/>
      <c r="AE155" s="259" t="s">
        <v>81</v>
      </c>
      <c r="AF155" s="259" t="s">
        <v>81</v>
      </c>
      <c r="AG155" s="132">
        <v>41266</v>
      </c>
      <c r="AH155" s="132">
        <v>41266</v>
      </c>
      <c r="AI155" s="124" t="s">
        <v>293</v>
      </c>
      <c r="AJ155" s="124" t="s">
        <v>294</v>
      </c>
      <c r="AK155" s="124" t="s">
        <v>294</v>
      </c>
      <c r="AL155" s="124" t="s">
        <v>293</v>
      </c>
      <c r="AM155" s="124" t="s">
        <v>293</v>
      </c>
      <c r="AN155" s="132">
        <v>40991</v>
      </c>
      <c r="AO155" s="124" t="s">
        <v>293</v>
      </c>
      <c r="AP155" s="124"/>
      <c r="AQ155" s="124" t="s">
        <v>293</v>
      </c>
      <c r="AR155" s="124" t="s">
        <v>293</v>
      </c>
      <c r="AS155" s="124" t="s">
        <v>293</v>
      </c>
      <c r="AT155" s="124" t="s">
        <v>295</v>
      </c>
      <c r="AU155" s="638"/>
      <c r="AV155" s="39"/>
      <c r="AW155" s="39"/>
      <c r="AX155" s="39"/>
      <c r="AY155" s="39"/>
      <c r="AZ155" s="6" t="s">
        <v>264</v>
      </c>
      <c r="BA155" s="6">
        <v>1</v>
      </c>
    </row>
    <row r="156" spans="1:53" ht="18" customHeight="1">
      <c r="A156" s="40">
        <f>IF(A155="","",A155)</f>
        <v>850567</v>
      </c>
      <c r="B156" s="41"/>
      <c r="C156" s="42"/>
      <c r="D156" s="42"/>
      <c r="E156" s="42"/>
      <c r="F156" s="43" t="s">
        <v>48</v>
      </c>
      <c r="G156" s="59"/>
      <c r="H156" s="59"/>
      <c r="I156" s="44"/>
      <c r="J156" s="52"/>
      <c r="K156" s="53"/>
      <c r="L156" s="537"/>
      <c r="M156" s="42"/>
      <c r="N156" s="42"/>
      <c r="O156" s="42"/>
      <c r="P156" s="42"/>
      <c r="Q156" s="42"/>
      <c r="R156" s="42"/>
      <c r="S156" s="42"/>
      <c r="T156" s="41"/>
      <c r="U156" s="42"/>
      <c r="V156" s="53"/>
      <c r="W156" s="53"/>
      <c r="X156" s="53"/>
      <c r="Y156" s="53"/>
      <c r="Z156" s="43"/>
      <c r="AA156" s="43"/>
      <c r="AB156" s="43"/>
      <c r="AC156" s="54"/>
      <c r="AD156" s="43"/>
      <c r="AE156" s="118"/>
      <c r="AF156" s="118"/>
      <c r="AG156" s="232">
        <v>45272</v>
      </c>
      <c r="AH156" s="232">
        <v>45272</v>
      </c>
      <c r="AI156" s="232">
        <v>45280</v>
      </c>
      <c r="AJ156" s="117" t="s">
        <v>296</v>
      </c>
      <c r="AK156" s="129">
        <v>41083</v>
      </c>
      <c r="AL156" s="118" t="s">
        <v>293</v>
      </c>
      <c r="AM156" s="117" t="s">
        <v>254</v>
      </c>
      <c r="AN156" s="117" t="s">
        <v>291</v>
      </c>
      <c r="AO156" s="118" t="s">
        <v>293</v>
      </c>
      <c r="AP156" s="118"/>
      <c r="AQ156" s="118" t="s">
        <v>293</v>
      </c>
      <c r="AR156" s="118" t="s">
        <v>293</v>
      </c>
      <c r="AS156" s="118" t="s">
        <v>293</v>
      </c>
      <c r="AT156" s="118" t="s">
        <v>297</v>
      </c>
      <c r="AU156" s="638"/>
      <c r="AV156" s="39"/>
      <c r="AW156" s="39"/>
      <c r="AX156" s="39"/>
      <c r="AY156" s="39"/>
      <c r="AZ156" s="6" t="s">
        <v>265</v>
      </c>
      <c r="BA156" s="6">
        <v>3</v>
      </c>
    </row>
    <row r="157" spans="1:53" ht="23.25" customHeight="1">
      <c r="A157" s="149">
        <v>850468</v>
      </c>
      <c r="B157" s="29">
        <v>850468</v>
      </c>
      <c r="C157" s="30" t="s">
        <v>42</v>
      </c>
      <c r="D157" s="30"/>
      <c r="E157" s="30"/>
      <c r="F157" s="31" t="s">
        <v>43</v>
      </c>
      <c r="G157" s="33">
        <v>120</v>
      </c>
      <c r="H157" s="33">
        <v>220</v>
      </c>
      <c r="I157" s="34">
        <v>1</v>
      </c>
      <c r="J157" s="299" t="s">
        <v>298</v>
      </c>
      <c r="K157" s="31" t="s">
        <v>231</v>
      </c>
      <c r="L157" s="161"/>
      <c r="M157" s="30"/>
      <c r="N157" s="30"/>
      <c r="O157" s="30"/>
      <c r="P157" s="30"/>
      <c r="Q157" s="30"/>
      <c r="R157" s="30"/>
      <c r="S157" s="30"/>
      <c r="T157" s="29"/>
      <c r="U157" s="30"/>
      <c r="V157" s="35" t="s">
        <v>299</v>
      </c>
      <c r="W157" s="35"/>
      <c r="X157" s="35"/>
      <c r="Y157" s="35"/>
      <c r="Z157" s="31"/>
      <c r="AA157" s="31"/>
      <c r="AB157" s="31"/>
      <c r="AC157" s="37">
        <v>1</v>
      </c>
      <c r="AD157" s="31"/>
      <c r="AE157" s="132">
        <v>41144</v>
      </c>
      <c r="AF157" s="124" t="s">
        <v>300</v>
      </c>
      <c r="AG157" s="300" t="s">
        <v>301</v>
      </c>
      <c r="AH157" s="190">
        <v>36974</v>
      </c>
      <c r="AI157" s="190">
        <v>36974</v>
      </c>
      <c r="AJ157" s="124" t="s">
        <v>302</v>
      </c>
      <c r="AK157" s="124" t="s">
        <v>302</v>
      </c>
      <c r="AL157" s="124" t="s">
        <v>295</v>
      </c>
      <c r="AM157" s="124" t="s">
        <v>295</v>
      </c>
      <c r="AN157" s="132">
        <v>41144</v>
      </c>
      <c r="AO157" s="124" t="s">
        <v>295</v>
      </c>
      <c r="AP157" s="124"/>
      <c r="AQ157" s="124" t="s">
        <v>295</v>
      </c>
      <c r="AR157" s="132">
        <v>45286</v>
      </c>
      <c r="AS157" s="132">
        <v>45294</v>
      </c>
      <c r="AT157" s="132">
        <v>45296</v>
      </c>
      <c r="AU157" s="638"/>
      <c r="AV157" s="39"/>
      <c r="AW157" s="39"/>
      <c r="AX157" s="39"/>
      <c r="AY157" s="39"/>
    </row>
    <row r="158" spans="1:53" ht="24" customHeight="1">
      <c r="A158" s="40">
        <v>850468</v>
      </c>
      <c r="B158" s="41" t="s">
        <v>303</v>
      </c>
      <c r="C158" s="42"/>
      <c r="D158" s="42"/>
      <c r="E158" s="42"/>
      <c r="F158" s="43" t="s">
        <v>48</v>
      </c>
      <c r="G158" s="59"/>
      <c r="H158" s="59"/>
      <c r="I158" s="44"/>
      <c r="J158" s="52"/>
      <c r="K158" s="53"/>
      <c r="L158" s="537"/>
      <c r="M158" s="42"/>
      <c r="N158" s="42"/>
      <c r="O158" s="42"/>
      <c r="P158" s="42"/>
      <c r="Q158" s="42"/>
      <c r="R158" s="42"/>
      <c r="S158" s="42"/>
      <c r="T158" s="41"/>
      <c r="U158" s="42"/>
      <c r="V158" s="53"/>
      <c r="W158" s="53"/>
      <c r="X158" s="53"/>
      <c r="Y158" s="53"/>
      <c r="Z158" s="43"/>
      <c r="AA158" s="43"/>
      <c r="AB158" s="43"/>
      <c r="AC158" s="54"/>
      <c r="AD158" s="43"/>
      <c r="AE158" s="232">
        <v>45268</v>
      </c>
      <c r="AF158" s="232">
        <v>45278</v>
      </c>
      <c r="AG158" s="232">
        <v>45289</v>
      </c>
      <c r="AH158" s="232">
        <v>45289</v>
      </c>
      <c r="AI158" s="232">
        <v>45315</v>
      </c>
      <c r="AJ158" s="117" t="s">
        <v>296</v>
      </c>
      <c r="AK158" s="118" t="s">
        <v>302</v>
      </c>
      <c r="AL158" s="116">
        <v>45286</v>
      </c>
      <c r="AM158" s="116">
        <v>45276</v>
      </c>
      <c r="AN158" s="116">
        <v>45267</v>
      </c>
      <c r="AO158" s="116">
        <v>45286</v>
      </c>
      <c r="AP158" s="116"/>
      <c r="AQ158" s="116">
        <v>45286</v>
      </c>
      <c r="AR158" s="116">
        <v>45286</v>
      </c>
      <c r="AS158" s="116">
        <v>45287</v>
      </c>
      <c r="AT158" s="116">
        <v>45296</v>
      </c>
      <c r="AU158" s="638"/>
      <c r="AV158" s="39"/>
      <c r="AW158" s="39"/>
      <c r="AX158" s="39"/>
      <c r="AY158" s="39"/>
    </row>
    <row r="159" spans="1:53" ht="21" customHeight="1">
      <c r="A159" s="209">
        <v>812750</v>
      </c>
      <c r="B159" s="177" t="s">
        <v>304</v>
      </c>
      <c r="C159" s="30" t="s">
        <v>55</v>
      </c>
      <c r="D159" s="153">
        <v>0.3</v>
      </c>
      <c r="E159" s="30"/>
      <c r="F159" s="31" t="s">
        <v>43</v>
      </c>
      <c r="G159" s="50">
        <v>240</v>
      </c>
      <c r="H159" s="50">
        <v>220</v>
      </c>
      <c r="I159" s="34">
        <v>2</v>
      </c>
      <c r="J159" s="329" t="s">
        <v>305</v>
      </c>
      <c r="K159" s="81" t="s">
        <v>231</v>
      </c>
      <c r="L159" s="538"/>
      <c r="M159" s="178"/>
      <c r="N159" s="178"/>
      <c r="O159" s="178"/>
      <c r="P159" s="178"/>
      <c r="Q159" s="178"/>
      <c r="R159" s="178"/>
      <c r="S159" s="178"/>
      <c r="T159" s="177"/>
      <c r="U159" s="178"/>
      <c r="V159" s="225">
        <v>45086</v>
      </c>
      <c r="W159" s="225">
        <v>45116</v>
      </c>
      <c r="X159" s="225">
        <v>45093</v>
      </c>
      <c r="Y159" s="225">
        <v>45123</v>
      </c>
      <c r="Z159" s="161"/>
      <c r="AA159" s="31"/>
      <c r="AB159" s="31"/>
      <c r="AC159" s="37">
        <v>1</v>
      </c>
      <c r="AD159" s="31"/>
      <c r="AE159" s="132">
        <v>45271</v>
      </c>
      <c r="AF159" s="132">
        <v>45306</v>
      </c>
      <c r="AG159" s="132">
        <v>45303</v>
      </c>
      <c r="AH159" s="132">
        <v>45303</v>
      </c>
      <c r="AI159" s="132">
        <v>45308</v>
      </c>
      <c r="AJ159" s="132">
        <v>45268</v>
      </c>
      <c r="AK159" s="132">
        <v>45268</v>
      </c>
      <c r="AL159" s="132">
        <v>45289</v>
      </c>
      <c r="AM159" s="132">
        <v>45301</v>
      </c>
      <c r="AN159" s="132">
        <v>45302</v>
      </c>
      <c r="AO159" s="132">
        <v>45303</v>
      </c>
      <c r="AP159" s="132"/>
      <c r="AQ159" s="132">
        <v>45303</v>
      </c>
      <c r="AR159" s="132">
        <v>45286</v>
      </c>
      <c r="AS159" s="132">
        <v>45289</v>
      </c>
      <c r="AT159" s="132">
        <v>45306</v>
      </c>
      <c r="AU159" s="638"/>
      <c r="AV159" s="39"/>
      <c r="AW159" s="39"/>
      <c r="AX159" s="39"/>
      <c r="AY159" s="39"/>
    </row>
    <row r="160" spans="1:53" ht="18.75" customHeight="1" thickBot="1">
      <c r="A160" s="180">
        <v>812750</v>
      </c>
      <c r="B160" s="181"/>
      <c r="C160" s="182"/>
      <c r="D160" s="182"/>
      <c r="E160" s="182"/>
      <c r="F160" s="43" t="s">
        <v>48</v>
      </c>
      <c r="G160" s="183"/>
      <c r="H160" s="183"/>
      <c r="I160" s="184"/>
      <c r="J160" s="429"/>
      <c r="K160" s="53"/>
      <c r="L160" s="537"/>
      <c r="M160" s="185"/>
      <c r="N160" s="185"/>
      <c r="O160" s="185"/>
      <c r="P160" s="185"/>
      <c r="Q160" s="185"/>
      <c r="R160" s="185"/>
      <c r="S160" s="185"/>
      <c r="T160" s="181"/>
      <c r="U160" s="185"/>
      <c r="V160" s="116">
        <v>45085</v>
      </c>
      <c r="W160" s="116">
        <v>45209</v>
      </c>
      <c r="X160" s="116">
        <v>45093</v>
      </c>
      <c r="Y160" s="116">
        <v>45299</v>
      </c>
      <c r="Z160" s="158"/>
      <c r="AA160" s="43"/>
      <c r="AB160" s="43"/>
      <c r="AC160" s="54"/>
      <c r="AD160" s="43"/>
      <c r="AE160" s="232">
        <v>45271</v>
      </c>
      <c r="AF160" s="232">
        <v>45295</v>
      </c>
      <c r="AG160" s="232">
        <v>45300</v>
      </c>
      <c r="AH160" s="232">
        <v>45300</v>
      </c>
      <c r="AI160" s="232">
        <v>45308</v>
      </c>
      <c r="AJ160" s="116">
        <v>45225</v>
      </c>
      <c r="AK160" s="116">
        <v>45225</v>
      </c>
      <c r="AL160" s="116">
        <v>45289</v>
      </c>
      <c r="AM160" s="116">
        <v>45301</v>
      </c>
      <c r="AN160" s="116">
        <v>45302</v>
      </c>
      <c r="AO160" s="116">
        <v>45302</v>
      </c>
      <c r="AP160" s="116"/>
      <c r="AQ160" s="116">
        <v>45302</v>
      </c>
      <c r="AR160" s="116">
        <v>45286</v>
      </c>
      <c r="AS160" s="116">
        <v>45289</v>
      </c>
      <c r="AT160" s="116">
        <v>45306</v>
      </c>
      <c r="AU160" s="639"/>
      <c r="AV160" s="39"/>
      <c r="AW160" s="39"/>
      <c r="AX160" s="39"/>
      <c r="AY160" s="39"/>
    </row>
    <row r="161" spans="1:53" ht="16.5" customHeight="1" thickBot="1">
      <c r="A161" s="100"/>
      <c r="B161" s="24"/>
      <c r="C161" s="24"/>
      <c r="D161" s="24"/>
      <c r="E161" s="24"/>
      <c r="F161" s="101"/>
      <c r="G161" s="24"/>
      <c r="H161" s="24"/>
      <c r="I161" s="24"/>
      <c r="J161" s="422"/>
      <c r="K161" s="101"/>
      <c r="L161" s="101"/>
      <c r="M161" s="24"/>
      <c r="N161" s="24"/>
      <c r="O161" s="24"/>
      <c r="P161" s="24"/>
      <c r="Q161" s="24"/>
      <c r="R161" s="24"/>
      <c r="S161" s="24"/>
      <c r="T161" s="24"/>
      <c r="U161" s="24"/>
      <c r="V161" s="101"/>
      <c r="W161" s="101"/>
      <c r="X161" s="101"/>
      <c r="Y161" s="101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6"/>
      <c r="AV161" s="27"/>
      <c r="AW161" s="27"/>
      <c r="AX161" s="27"/>
      <c r="AY161" s="27"/>
    </row>
    <row r="162" spans="1:53" ht="19.5" customHeight="1">
      <c r="A162" s="149">
        <v>812831</v>
      </c>
      <c r="B162" s="29">
        <v>812831</v>
      </c>
      <c r="C162" s="30" t="s">
        <v>42</v>
      </c>
      <c r="D162" s="30"/>
      <c r="E162" s="30"/>
      <c r="F162" s="31" t="s">
        <v>43</v>
      </c>
      <c r="G162" s="33">
        <v>200</v>
      </c>
      <c r="H162" s="33">
        <v>220</v>
      </c>
      <c r="I162" s="34">
        <v>1</v>
      </c>
      <c r="J162" s="301" t="s">
        <v>306</v>
      </c>
      <c r="K162" s="31" t="s">
        <v>50</v>
      </c>
      <c r="L162" s="161"/>
      <c r="M162" s="30"/>
      <c r="N162" s="30"/>
      <c r="O162" s="30"/>
      <c r="P162" s="30"/>
      <c r="Q162" s="30"/>
      <c r="R162" s="30"/>
      <c r="S162" s="30"/>
      <c r="T162" s="29"/>
      <c r="U162" s="30"/>
      <c r="V162" s="132">
        <v>45222</v>
      </c>
      <c r="W162" s="132">
        <v>45253</v>
      </c>
      <c r="X162" s="132">
        <v>45222</v>
      </c>
      <c r="Y162" s="132">
        <v>45253</v>
      </c>
      <c r="Z162" s="31"/>
      <c r="AA162" s="31"/>
      <c r="AB162" s="31"/>
      <c r="AC162" s="37">
        <v>3</v>
      </c>
      <c r="AD162" s="31"/>
      <c r="AE162" s="300" t="s">
        <v>288</v>
      </c>
      <c r="AF162" s="190">
        <v>37219</v>
      </c>
      <c r="AG162" s="190">
        <v>37035</v>
      </c>
      <c r="AH162" s="190">
        <v>37127</v>
      </c>
      <c r="AI162" s="300" t="s">
        <v>307</v>
      </c>
      <c r="AJ162" s="124" t="s">
        <v>308</v>
      </c>
      <c r="AK162" s="124" t="s">
        <v>308</v>
      </c>
      <c r="AL162" s="124" t="s">
        <v>309</v>
      </c>
      <c r="AM162" s="124" t="s">
        <v>309</v>
      </c>
      <c r="AN162" s="132">
        <v>45266</v>
      </c>
      <c r="AO162" s="132">
        <v>45296</v>
      </c>
      <c r="AP162" s="132"/>
      <c r="AQ162" s="132">
        <v>45296</v>
      </c>
      <c r="AR162" s="132">
        <v>45300</v>
      </c>
      <c r="AS162" s="132">
        <v>45303</v>
      </c>
      <c r="AT162" s="132" t="s">
        <v>310</v>
      </c>
      <c r="AU162" s="637" t="s">
        <v>311</v>
      </c>
      <c r="AV162" s="39"/>
      <c r="AW162" s="39"/>
      <c r="AX162" s="39"/>
      <c r="AY162" s="39"/>
    </row>
    <row r="163" spans="1:53" ht="18" customHeight="1">
      <c r="A163" s="40">
        <f>IF(A162="","",A162)</f>
        <v>812831</v>
      </c>
      <c r="B163" s="41"/>
      <c r="C163" s="42"/>
      <c r="D163" s="42"/>
      <c r="E163" s="42"/>
      <c r="F163" s="43" t="s">
        <v>48</v>
      </c>
      <c r="G163" s="59"/>
      <c r="H163" s="59"/>
      <c r="I163" s="44"/>
      <c r="J163" s="52"/>
      <c r="K163" s="53"/>
      <c r="L163" s="537"/>
      <c r="M163" s="42"/>
      <c r="N163" s="42"/>
      <c r="O163" s="42"/>
      <c r="P163" s="42"/>
      <c r="Q163" s="42"/>
      <c r="R163" s="42"/>
      <c r="S163" s="42"/>
      <c r="T163" s="41"/>
      <c r="U163" s="42"/>
      <c r="V163" s="232" t="s">
        <v>312</v>
      </c>
      <c r="W163" s="232">
        <v>45286</v>
      </c>
      <c r="X163" s="232">
        <v>45229</v>
      </c>
      <c r="Y163" s="232">
        <v>45286</v>
      </c>
      <c r="Z163" s="43"/>
      <c r="AA163" s="43"/>
      <c r="AB163" s="43"/>
      <c r="AC163" s="54"/>
      <c r="AD163" s="43"/>
      <c r="AE163" s="232">
        <v>45289</v>
      </c>
      <c r="AF163" s="232">
        <v>45302</v>
      </c>
      <c r="AG163" s="132">
        <v>37035</v>
      </c>
      <c r="AH163" s="190">
        <v>37127</v>
      </c>
      <c r="AI163" s="116">
        <v>45312</v>
      </c>
      <c r="AJ163" s="118" t="s">
        <v>313</v>
      </c>
      <c r="AK163" s="118" t="s">
        <v>313</v>
      </c>
      <c r="AL163" s="117" t="s">
        <v>314</v>
      </c>
      <c r="AM163" s="129">
        <v>45288</v>
      </c>
      <c r="AN163" s="232">
        <v>45269</v>
      </c>
      <c r="AO163" s="232">
        <v>45296</v>
      </c>
      <c r="AP163" s="232"/>
      <c r="AQ163" s="232">
        <v>45296</v>
      </c>
      <c r="AR163" s="232">
        <v>45300</v>
      </c>
      <c r="AS163" s="232">
        <v>45303</v>
      </c>
      <c r="AT163" s="232" t="s">
        <v>310</v>
      </c>
      <c r="AU163" s="638"/>
      <c r="AV163" s="39"/>
      <c r="AW163" s="39"/>
      <c r="AX163" s="39"/>
      <c r="AY163" s="39"/>
    </row>
    <row r="164" spans="1:53" ht="18" customHeight="1">
      <c r="A164" s="302">
        <v>850597</v>
      </c>
      <c r="B164" s="177" t="s">
        <v>315</v>
      </c>
      <c r="C164" s="30" t="s">
        <v>42</v>
      </c>
      <c r="D164" s="30"/>
      <c r="E164" s="30"/>
      <c r="F164" s="31" t="s">
        <v>43</v>
      </c>
      <c r="G164" s="50">
        <v>50</v>
      </c>
      <c r="H164" s="50">
        <v>110</v>
      </c>
      <c r="I164" s="34">
        <v>2</v>
      </c>
      <c r="J164" s="290" t="s">
        <v>316</v>
      </c>
      <c r="K164" s="81" t="s">
        <v>231</v>
      </c>
      <c r="L164" s="538"/>
      <c r="M164" s="178"/>
      <c r="N164" s="178"/>
      <c r="O164" s="178"/>
      <c r="P164" s="178"/>
      <c r="Q164" s="178"/>
      <c r="R164" s="178"/>
      <c r="S164" s="178"/>
      <c r="T164" s="177"/>
      <c r="U164" s="178"/>
      <c r="V164" s="132">
        <v>45294</v>
      </c>
      <c r="W164" s="161"/>
      <c r="X164" s="132">
        <v>45299</v>
      </c>
      <c r="Y164" s="161"/>
      <c r="Z164" s="161"/>
      <c r="AA164" s="31"/>
      <c r="AB164" s="31"/>
      <c r="AC164" s="37">
        <v>1</v>
      </c>
      <c r="AD164" s="31"/>
      <c r="AE164" s="124" t="s">
        <v>301</v>
      </c>
      <c r="AF164" s="132">
        <v>45302</v>
      </c>
      <c r="AG164" s="132">
        <v>45302</v>
      </c>
      <c r="AH164" s="132">
        <v>45302</v>
      </c>
      <c r="AI164" s="132">
        <v>45313</v>
      </c>
      <c r="AJ164" s="132">
        <v>45295</v>
      </c>
      <c r="AK164" s="132">
        <v>45295</v>
      </c>
      <c r="AL164" s="132">
        <v>45317</v>
      </c>
      <c r="AM164" s="132">
        <v>45317</v>
      </c>
      <c r="AN164" s="132">
        <v>45294</v>
      </c>
      <c r="AO164" s="132">
        <v>45313</v>
      </c>
      <c r="AP164" s="132"/>
      <c r="AQ164" s="132">
        <v>45313</v>
      </c>
      <c r="AR164" s="132">
        <v>45313</v>
      </c>
      <c r="AS164" s="132">
        <v>45317</v>
      </c>
      <c r="AT164" s="132">
        <v>45322</v>
      </c>
      <c r="AU164" s="638"/>
      <c r="AV164" s="39"/>
      <c r="AW164" s="39"/>
      <c r="AX164" s="39"/>
      <c r="AY164" s="39"/>
      <c r="AZ164" s="6" t="s">
        <v>264</v>
      </c>
      <c r="BA164" s="6">
        <v>4</v>
      </c>
    </row>
    <row r="165" spans="1:53" ht="18" customHeight="1">
      <c r="A165" s="180">
        <v>850597</v>
      </c>
      <c r="B165" s="181"/>
      <c r="C165" s="182"/>
      <c r="D165" s="182"/>
      <c r="E165" s="182"/>
      <c r="F165" s="43" t="s">
        <v>48</v>
      </c>
      <c r="G165" s="183"/>
      <c r="H165" s="183"/>
      <c r="I165" s="184"/>
      <c r="J165" s="429"/>
      <c r="K165" s="53"/>
      <c r="L165" s="537"/>
      <c r="M165" s="185"/>
      <c r="N165" s="185"/>
      <c r="O165" s="185"/>
      <c r="P165" s="185"/>
      <c r="Q165" s="185"/>
      <c r="R165" s="185"/>
      <c r="S165" s="185"/>
      <c r="T165" s="181"/>
      <c r="U165" s="185"/>
      <c r="V165" s="232">
        <v>45302</v>
      </c>
      <c r="W165" s="158"/>
      <c r="X165" s="232">
        <v>45306</v>
      </c>
      <c r="Y165" s="158"/>
      <c r="Z165" s="158"/>
      <c r="AA165" s="43"/>
      <c r="AB165" s="43"/>
      <c r="AC165" s="54"/>
      <c r="AD165" s="43"/>
      <c r="AE165" s="232">
        <v>45288</v>
      </c>
      <c r="AF165" s="232">
        <v>45307</v>
      </c>
      <c r="AG165" s="232">
        <v>45302</v>
      </c>
      <c r="AH165" s="232">
        <v>45302</v>
      </c>
      <c r="AI165" s="295">
        <v>45320</v>
      </c>
      <c r="AJ165" s="295">
        <v>45299</v>
      </c>
      <c r="AK165" s="295">
        <v>45296</v>
      </c>
      <c r="AL165" s="232">
        <v>45303</v>
      </c>
      <c r="AM165" s="232">
        <v>45306</v>
      </c>
      <c r="AN165" s="232">
        <v>45296</v>
      </c>
      <c r="AO165" s="232">
        <v>45303</v>
      </c>
      <c r="AP165" s="232"/>
      <c r="AQ165" s="232">
        <v>45303</v>
      </c>
      <c r="AR165" s="232">
        <v>45307</v>
      </c>
      <c r="AS165" s="232">
        <v>45317</v>
      </c>
      <c r="AT165" s="232">
        <v>45316</v>
      </c>
      <c r="AU165" s="638"/>
      <c r="AV165" s="39"/>
      <c r="AW165" s="39"/>
      <c r="AX165" s="39"/>
      <c r="AY165" s="39"/>
      <c r="AZ165" s="6" t="s">
        <v>265</v>
      </c>
      <c r="BA165" s="6">
        <v>1</v>
      </c>
    </row>
    <row r="166" spans="1:53" ht="19.5" customHeight="1">
      <c r="A166" s="209">
        <v>812825</v>
      </c>
      <c r="B166" s="177">
        <v>812825</v>
      </c>
      <c r="C166" s="287" t="s">
        <v>55</v>
      </c>
      <c r="D166" s="153">
        <v>0.8</v>
      </c>
      <c r="E166" s="303">
        <v>0.8</v>
      </c>
      <c r="F166" s="31" t="s">
        <v>43</v>
      </c>
      <c r="G166" s="50">
        <v>200</v>
      </c>
      <c r="H166" s="50">
        <v>400</v>
      </c>
      <c r="I166" s="34">
        <v>3</v>
      </c>
      <c r="J166" s="290" t="s">
        <v>317</v>
      </c>
      <c r="K166" s="81" t="s">
        <v>108</v>
      </c>
      <c r="L166" s="538"/>
      <c r="M166" s="178"/>
      <c r="N166" s="178"/>
      <c r="O166" s="178"/>
      <c r="P166" s="178"/>
      <c r="Q166" s="178"/>
      <c r="R166" s="178"/>
      <c r="S166" s="178"/>
      <c r="T166" s="177"/>
      <c r="U166" s="178"/>
      <c r="V166" s="132">
        <v>45209</v>
      </c>
      <c r="W166" s="132">
        <v>45240</v>
      </c>
      <c r="X166" s="132">
        <v>45209</v>
      </c>
      <c r="Y166" s="132">
        <v>45240</v>
      </c>
      <c r="Z166" s="161"/>
      <c r="AA166" s="31"/>
      <c r="AB166" s="31"/>
      <c r="AC166" s="37">
        <v>1</v>
      </c>
      <c r="AD166" s="31"/>
      <c r="AE166" s="132" t="s">
        <v>318</v>
      </c>
      <c r="AF166" s="132">
        <v>45306</v>
      </c>
      <c r="AG166" s="132" t="s">
        <v>319</v>
      </c>
      <c r="AH166" s="132" t="s">
        <v>319</v>
      </c>
      <c r="AI166" s="132">
        <v>45310</v>
      </c>
      <c r="AJ166" s="124" t="s">
        <v>285</v>
      </c>
      <c r="AK166" s="124" t="s">
        <v>320</v>
      </c>
      <c r="AL166" s="132">
        <v>45309</v>
      </c>
      <c r="AM166" s="132">
        <v>45309</v>
      </c>
      <c r="AN166" s="132">
        <v>45310</v>
      </c>
      <c r="AO166" s="132">
        <v>45307</v>
      </c>
      <c r="AP166" s="132"/>
      <c r="AQ166" s="132">
        <v>45307</v>
      </c>
      <c r="AR166" s="132">
        <v>45310</v>
      </c>
      <c r="AS166" s="132">
        <v>45314</v>
      </c>
      <c r="AT166" s="132">
        <v>45317</v>
      </c>
      <c r="AU166" s="638"/>
      <c r="AV166" s="39"/>
      <c r="AW166" s="39"/>
      <c r="AX166" s="39"/>
      <c r="AY166" s="39"/>
    </row>
    <row r="167" spans="1:53" ht="21" customHeight="1">
      <c r="A167" s="180">
        <v>812825</v>
      </c>
      <c r="B167" s="181"/>
      <c r="C167" s="182"/>
      <c r="D167" s="182"/>
      <c r="E167" s="182"/>
      <c r="F167" s="43" t="s">
        <v>48</v>
      </c>
      <c r="G167" s="183"/>
      <c r="H167" s="183"/>
      <c r="I167" s="184"/>
      <c r="J167" s="429"/>
      <c r="K167" s="53"/>
      <c r="L167" s="537"/>
      <c r="M167" s="185"/>
      <c r="N167" s="185"/>
      <c r="O167" s="185"/>
      <c r="P167" s="185"/>
      <c r="Q167" s="185"/>
      <c r="R167" s="185"/>
      <c r="S167" s="185"/>
      <c r="T167" s="181"/>
      <c r="U167" s="185"/>
      <c r="V167" s="232">
        <v>45209</v>
      </c>
      <c r="W167" s="232">
        <v>45271</v>
      </c>
      <c r="X167" s="232">
        <v>45251</v>
      </c>
      <c r="Y167" s="232">
        <v>45271</v>
      </c>
      <c r="Z167" s="158"/>
      <c r="AA167" s="43"/>
      <c r="AB167" s="43"/>
      <c r="AC167" s="54"/>
      <c r="AD167" s="43"/>
      <c r="AE167" s="232">
        <v>45306</v>
      </c>
      <c r="AF167" s="232">
        <v>45306</v>
      </c>
      <c r="AG167" s="232">
        <v>45310</v>
      </c>
      <c r="AH167" s="232">
        <v>45310</v>
      </c>
      <c r="AI167" s="232">
        <v>45320</v>
      </c>
      <c r="AJ167" s="46" t="s">
        <v>308</v>
      </c>
      <c r="AK167" s="304" t="s">
        <v>321</v>
      </c>
      <c r="AL167" s="232">
        <v>45307</v>
      </c>
      <c r="AM167" s="232">
        <v>45322</v>
      </c>
      <c r="AN167" s="232">
        <v>45309</v>
      </c>
      <c r="AO167" s="232">
        <v>45307</v>
      </c>
      <c r="AP167" s="232"/>
      <c r="AQ167" s="232">
        <v>45307</v>
      </c>
      <c r="AR167" s="232">
        <v>45310</v>
      </c>
      <c r="AS167" s="232">
        <v>45314</v>
      </c>
      <c r="AT167" s="232">
        <v>45317</v>
      </c>
      <c r="AU167" s="638"/>
      <c r="AV167" s="39"/>
      <c r="AW167" s="39"/>
      <c r="AX167" s="39"/>
      <c r="AY167" s="39"/>
    </row>
    <row r="168" spans="1:53" ht="18.75" customHeight="1">
      <c r="A168" s="209">
        <v>812823</v>
      </c>
      <c r="B168" s="177">
        <v>812823</v>
      </c>
      <c r="C168" s="30" t="s">
        <v>42</v>
      </c>
      <c r="D168" s="30"/>
      <c r="E168" s="30"/>
      <c r="F168" s="31" t="s">
        <v>43</v>
      </c>
      <c r="G168" s="50">
        <v>160</v>
      </c>
      <c r="H168" s="50">
        <v>230</v>
      </c>
      <c r="I168" s="34">
        <v>1</v>
      </c>
      <c r="J168" s="290" t="s">
        <v>317</v>
      </c>
      <c r="K168" s="81" t="s">
        <v>108</v>
      </c>
      <c r="L168" s="538"/>
      <c r="M168" s="178"/>
      <c r="N168" s="178"/>
      <c r="O168" s="178"/>
      <c r="P168" s="178"/>
      <c r="Q168" s="178"/>
      <c r="R168" s="178"/>
      <c r="S168" s="178"/>
      <c r="T168" s="177"/>
      <c r="U168" s="178"/>
      <c r="V168" s="132">
        <v>45215</v>
      </c>
      <c r="W168" s="132">
        <v>45240</v>
      </c>
      <c r="X168" s="132">
        <v>45209</v>
      </c>
      <c r="Y168" s="132">
        <v>45240</v>
      </c>
      <c r="Z168" s="161"/>
      <c r="AA168" s="31"/>
      <c r="AB168" s="31"/>
      <c r="AC168" s="37">
        <v>3</v>
      </c>
      <c r="AD168" s="31"/>
      <c r="AE168" s="132">
        <v>45297</v>
      </c>
      <c r="AF168" s="132">
        <v>45320</v>
      </c>
      <c r="AG168" s="132">
        <v>45320</v>
      </c>
      <c r="AH168" s="132">
        <v>45320</v>
      </c>
      <c r="AI168" s="132">
        <v>45328</v>
      </c>
      <c r="AJ168" s="132">
        <v>45260</v>
      </c>
      <c r="AK168" s="38" t="s">
        <v>322</v>
      </c>
      <c r="AL168" s="132">
        <v>45313</v>
      </c>
      <c r="AM168" s="132">
        <v>45313</v>
      </c>
      <c r="AN168" s="132">
        <v>45314</v>
      </c>
      <c r="AO168" s="132">
        <v>45313</v>
      </c>
      <c r="AP168" s="132"/>
      <c r="AQ168" s="132">
        <v>45313</v>
      </c>
      <c r="AR168" s="132">
        <v>45315</v>
      </c>
      <c r="AS168" s="132">
        <v>45320</v>
      </c>
      <c r="AT168" s="132">
        <v>45322</v>
      </c>
      <c r="AU168" s="638"/>
      <c r="AV168" s="39"/>
      <c r="AW168" s="39"/>
      <c r="AX168" s="39"/>
      <c r="AY168" s="39"/>
    </row>
    <row r="169" spans="1:53" ht="21" customHeight="1">
      <c r="A169" s="180">
        <v>812823</v>
      </c>
      <c r="B169" s="181"/>
      <c r="C169" s="182"/>
      <c r="D169" s="182"/>
      <c r="E169" s="182"/>
      <c r="F169" s="43" t="s">
        <v>48</v>
      </c>
      <c r="G169" s="183"/>
      <c r="H169" s="183"/>
      <c r="I169" s="184"/>
      <c r="J169" s="429"/>
      <c r="K169" s="53"/>
      <c r="L169" s="537"/>
      <c r="M169" s="185"/>
      <c r="N169" s="185"/>
      <c r="O169" s="185"/>
      <c r="P169" s="185"/>
      <c r="Q169" s="185"/>
      <c r="R169" s="185"/>
      <c r="S169" s="185"/>
      <c r="T169" s="181"/>
      <c r="U169" s="185"/>
      <c r="V169" s="232">
        <v>45215</v>
      </c>
      <c r="W169" s="232">
        <v>45288</v>
      </c>
      <c r="X169" s="232">
        <v>45251</v>
      </c>
      <c r="Y169" s="232" t="s">
        <v>323</v>
      </c>
      <c r="Z169" s="158"/>
      <c r="AA169" s="43"/>
      <c r="AB169" s="43"/>
      <c r="AC169" s="54"/>
      <c r="AD169" s="43"/>
      <c r="AE169" s="232">
        <v>45297</v>
      </c>
      <c r="AF169" s="232">
        <v>45317</v>
      </c>
      <c r="AG169" s="232">
        <v>45317</v>
      </c>
      <c r="AH169" s="232">
        <v>44955</v>
      </c>
      <c r="AI169" s="232">
        <v>45328</v>
      </c>
      <c r="AJ169" s="232" t="s">
        <v>324</v>
      </c>
      <c r="AK169" s="304" t="s">
        <v>321</v>
      </c>
      <c r="AL169" s="232">
        <v>45309</v>
      </c>
      <c r="AM169" s="232">
        <v>45313</v>
      </c>
      <c r="AN169" s="232">
        <v>45314</v>
      </c>
      <c r="AO169" s="232">
        <v>45309</v>
      </c>
      <c r="AP169" s="232"/>
      <c r="AQ169" s="232">
        <v>45309</v>
      </c>
      <c r="AR169" s="232">
        <v>45315</v>
      </c>
      <c r="AS169" s="232">
        <v>45320</v>
      </c>
      <c r="AT169" s="232">
        <v>45322</v>
      </c>
      <c r="AU169" s="638"/>
      <c r="AV169" s="39"/>
      <c r="AW169" s="39"/>
      <c r="AX169" s="39"/>
      <c r="AY169" s="39"/>
    </row>
    <row r="170" spans="1:53" ht="21" customHeight="1">
      <c r="A170" s="209">
        <v>812839</v>
      </c>
      <c r="B170" s="177" t="s">
        <v>325</v>
      </c>
      <c r="C170" s="30" t="s">
        <v>42</v>
      </c>
      <c r="D170" s="30"/>
      <c r="E170" s="30"/>
      <c r="F170" s="31" t="s">
        <v>43</v>
      </c>
      <c r="G170" s="50">
        <v>250</v>
      </c>
      <c r="H170" s="50">
        <v>220</v>
      </c>
      <c r="I170" s="34">
        <v>3</v>
      </c>
      <c r="J170" s="290" t="s">
        <v>326</v>
      </c>
      <c r="K170" s="81" t="s">
        <v>327</v>
      </c>
      <c r="L170" s="538"/>
      <c r="M170" s="178"/>
      <c r="N170" s="178"/>
      <c r="O170" s="178"/>
      <c r="P170" s="178"/>
      <c r="Q170" s="178"/>
      <c r="R170" s="178"/>
      <c r="S170" s="178"/>
      <c r="T170" s="177"/>
      <c r="U170" s="178"/>
      <c r="V170" s="132">
        <v>45260</v>
      </c>
      <c r="W170" s="132">
        <v>45290</v>
      </c>
      <c r="X170" s="132">
        <v>45260</v>
      </c>
      <c r="Y170" s="132">
        <v>45290</v>
      </c>
      <c r="Z170" s="161"/>
      <c r="AA170" s="31"/>
      <c r="AB170" s="31"/>
      <c r="AC170" s="37">
        <v>1</v>
      </c>
      <c r="AD170" s="31"/>
      <c r="AE170" s="132">
        <v>45310</v>
      </c>
      <c r="AF170" s="132">
        <v>45330</v>
      </c>
      <c r="AG170" s="132">
        <v>45330</v>
      </c>
      <c r="AH170" s="132">
        <v>45330</v>
      </c>
      <c r="AI170" s="132">
        <v>45330</v>
      </c>
      <c r="AJ170" s="132">
        <v>45301</v>
      </c>
      <c r="AK170" s="305" t="s">
        <v>328</v>
      </c>
      <c r="AL170" s="132">
        <v>45322</v>
      </c>
      <c r="AM170" s="132">
        <v>45330</v>
      </c>
      <c r="AN170" s="132">
        <v>45316</v>
      </c>
      <c r="AO170" s="132">
        <v>45330</v>
      </c>
      <c r="AP170" s="132"/>
      <c r="AQ170" s="132">
        <v>45330</v>
      </c>
      <c r="AR170" s="132">
        <v>45330</v>
      </c>
      <c r="AS170" s="132">
        <v>45330</v>
      </c>
      <c r="AT170" s="132">
        <v>45341</v>
      </c>
      <c r="AU170" s="150"/>
      <c r="AV170" s="151"/>
      <c r="AW170" s="151"/>
      <c r="AX170" s="151"/>
      <c r="AY170" s="151"/>
    </row>
    <row r="171" spans="1:53" ht="20.25" customHeight="1">
      <c r="A171" s="180">
        <v>812839</v>
      </c>
      <c r="B171" s="181"/>
      <c r="C171" s="182"/>
      <c r="D171" s="182"/>
      <c r="E171" s="182"/>
      <c r="F171" s="43" t="s">
        <v>48</v>
      </c>
      <c r="G171" s="183"/>
      <c r="H171" s="183"/>
      <c r="I171" s="184"/>
      <c r="J171" s="429"/>
      <c r="K171" s="53"/>
      <c r="L171" s="537"/>
      <c r="M171" s="185"/>
      <c r="N171" s="185"/>
      <c r="O171" s="185"/>
      <c r="P171" s="185"/>
      <c r="Q171" s="185"/>
      <c r="R171" s="185"/>
      <c r="S171" s="185"/>
      <c r="T171" s="181"/>
      <c r="U171" s="185"/>
      <c r="V171" s="232">
        <v>45260</v>
      </c>
      <c r="W171" s="232">
        <v>45275</v>
      </c>
      <c r="X171" s="232">
        <v>45260</v>
      </c>
      <c r="Y171" s="232">
        <v>45275</v>
      </c>
      <c r="Z171" s="158"/>
      <c r="AA171" s="43"/>
      <c r="AB171" s="43"/>
      <c r="AC171" s="54"/>
      <c r="AD171" s="43"/>
      <c r="AE171" s="232">
        <v>45320</v>
      </c>
      <c r="AF171" s="232">
        <v>45328</v>
      </c>
      <c r="AG171" s="232">
        <v>45328</v>
      </c>
      <c r="AH171" s="232">
        <v>45330</v>
      </c>
      <c r="AI171" s="232">
        <v>45343</v>
      </c>
      <c r="AJ171" s="232">
        <v>45296</v>
      </c>
      <c r="AK171" s="116">
        <v>45286</v>
      </c>
      <c r="AL171" s="232">
        <v>45296</v>
      </c>
      <c r="AM171" s="232">
        <v>43869</v>
      </c>
      <c r="AN171" s="232">
        <v>45300</v>
      </c>
      <c r="AO171" s="232">
        <v>45322</v>
      </c>
      <c r="AP171" s="232"/>
      <c r="AQ171" s="232">
        <v>45322</v>
      </c>
      <c r="AR171" s="232">
        <v>45326</v>
      </c>
      <c r="AS171" s="232">
        <v>45327</v>
      </c>
      <c r="AT171" s="232">
        <v>45340</v>
      </c>
      <c r="AU171" s="171"/>
      <c r="AV171" s="151"/>
      <c r="AW171" s="151"/>
      <c r="AX171" s="151"/>
      <c r="AY171" s="151"/>
    </row>
    <row r="172" spans="1:53" ht="16.5" customHeight="1" thickBot="1">
      <c r="A172" s="100"/>
      <c r="B172" s="24"/>
      <c r="C172" s="24"/>
      <c r="D172" s="24"/>
      <c r="E172" s="24"/>
      <c r="F172" s="101"/>
      <c r="G172" s="24"/>
      <c r="H172" s="24"/>
      <c r="I172" s="24"/>
      <c r="J172" s="422"/>
      <c r="K172" s="101"/>
      <c r="L172" s="101"/>
      <c r="M172" s="24"/>
      <c r="N172" s="24"/>
      <c r="O172" s="24"/>
      <c r="P172" s="24"/>
      <c r="Q172" s="24"/>
      <c r="R172" s="24"/>
      <c r="S172" s="24"/>
      <c r="T172" s="24"/>
      <c r="U172" s="24"/>
      <c r="V172" s="101"/>
      <c r="W172" s="101"/>
      <c r="X172" s="101"/>
      <c r="Y172" s="101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6"/>
      <c r="AV172" s="27"/>
      <c r="AW172" s="27"/>
      <c r="AX172" s="27"/>
      <c r="AY172" s="27"/>
    </row>
    <row r="173" spans="1:53" ht="21" customHeight="1">
      <c r="A173" s="209">
        <v>850585</v>
      </c>
      <c r="B173" s="177" t="s">
        <v>329</v>
      </c>
      <c r="C173" s="30" t="s">
        <v>42</v>
      </c>
      <c r="D173" s="30"/>
      <c r="E173" s="30"/>
      <c r="F173" s="31" t="s">
        <v>43</v>
      </c>
      <c r="G173" s="50">
        <v>250</v>
      </c>
      <c r="H173" s="50">
        <v>500</v>
      </c>
      <c r="I173" s="34">
        <v>4</v>
      </c>
      <c r="J173" s="434" t="s">
        <v>330</v>
      </c>
      <c r="K173" s="81" t="s">
        <v>66</v>
      </c>
      <c r="L173" s="538"/>
      <c r="M173" s="178"/>
      <c r="N173" s="178"/>
      <c r="O173" s="178"/>
      <c r="P173" s="178"/>
      <c r="Q173" s="178"/>
      <c r="R173" s="178"/>
      <c r="S173" s="178"/>
      <c r="T173" s="177"/>
      <c r="U173" s="178"/>
      <c r="V173" s="132">
        <v>45313</v>
      </c>
      <c r="W173" s="132">
        <v>45326</v>
      </c>
      <c r="X173" s="132">
        <v>45313</v>
      </c>
      <c r="Y173" s="132">
        <v>45330</v>
      </c>
      <c r="Z173" s="31"/>
      <c r="AA173" s="74"/>
      <c r="AB173" s="31"/>
      <c r="AC173" s="37">
        <v>1</v>
      </c>
      <c r="AD173" s="31"/>
      <c r="AE173" s="132">
        <v>45308</v>
      </c>
      <c r="AF173" s="132">
        <v>45317</v>
      </c>
      <c r="AG173" s="188">
        <v>45341</v>
      </c>
      <c r="AH173" s="132">
        <v>45345</v>
      </c>
      <c r="AI173" s="132">
        <v>45351</v>
      </c>
      <c r="AJ173" s="132">
        <v>45306</v>
      </c>
      <c r="AK173" s="132">
        <v>45306</v>
      </c>
      <c r="AL173" s="132">
        <v>45342</v>
      </c>
      <c r="AM173" s="132">
        <v>45342</v>
      </c>
      <c r="AN173" s="132">
        <v>45321</v>
      </c>
      <c r="AO173" s="132">
        <v>45342</v>
      </c>
      <c r="AP173" s="132"/>
      <c r="AQ173" s="132">
        <v>45342</v>
      </c>
      <c r="AR173" s="132">
        <v>45350</v>
      </c>
      <c r="AS173" s="132">
        <v>45347</v>
      </c>
      <c r="AT173" s="132">
        <v>45351</v>
      </c>
      <c r="AU173" s="150"/>
      <c r="AV173" s="151"/>
      <c r="AW173" s="151"/>
      <c r="AX173" s="151"/>
      <c r="AY173" s="151"/>
    </row>
    <row r="174" spans="1:53" ht="19.5" customHeight="1">
      <c r="A174" s="180">
        <v>850585</v>
      </c>
      <c r="B174" s="181"/>
      <c r="C174" s="182"/>
      <c r="D174" s="182"/>
      <c r="E174" s="182"/>
      <c r="F174" s="43" t="s">
        <v>48</v>
      </c>
      <c r="G174" s="183"/>
      <c r="H174" s="183"/>
      <c r="I174" s="184"/>
      <c r="J174" s="429"/>
      <c r="K174" s="53"/>
      <c r="L174" s="537"/>
      <c r="M174" s="185"/>
      <c r="N174" s="185"/>
      <c r="O174" s="185"/>
      <c r="P174" s="185"/>
      <c r="Q174" s="185"/>
      <c r="R174" s="185"/>
      <c r="S174" s="185"/>
      <c r="T174" s="181"/>
      <c r="U174" s="185"/>
      <c r="V174" s="232">
        <v>45308</v>
      </c>
      <c r="W174" s="232">
        <v>45326</v>
      </c>
      <c r="X174" s="232">
        <v>45318</v>
      </c>
      <c r="Y174" s="232">
        <v>45342</v>
      </c>
      <c r="Z174" s="43"/>
      <c r="AA174" s="43"/>
      <c r="AB174" s="43"/>
      <c r="AC174" s="54"/>
      <c r="AD174" s="43"/>
      <c r="AE174" s="232">
        <v>45308</v>
      </c>
      <c r="AF174" s="232">
        <v>45317</v>
      </c>
      <c r="AG174" s="116">
        <v>45341</v>
      </c>
      <c r="AH174" s="116">
        <v>45345</v>
      </c>
      <c r="AI174" s="129">
        <v>45356</v>
      </c>
      <c r="AJ174" s="129">
        <v>45324</v>
      </c>
      <c r="AK174" s="116">
        <v>45300</v>
      </c>
      <c r="AL174" s="116">
        <v>45342</v>
      </c>
      <c r="AM174" s="129">
        <v>45341</v>
      </c>
      <c r="AN174" s="306">
        <v>45321</v>
      </c>
      <c r="AO174" s="116">
        <v>45324</v>
      </c>
      <c r="AP174" s="116"/>
      <c r="AQ174" s="116">
        <v>45324</v>
      </c>
      <c r="AR174" s="116">
        <v>45350</v>
      </c>
      <c r="AS174" s="116">
        <v>45345</v>
      </c>
      <c r="AT174" s="116">
        <v>45351</v>
      </c>
      <c r="AU174" s="150"/>
      <c r="AV174" s="151"/>
      <c r="AW174" s="151"/>
      <c r="AX174" s="151"/>
      <c r="AY174" s="151"/>
      <c r="AZ174" s="6" t="s">
        <v>264</v>
      </c>
      <c r="BA174" s="6">
        <v>1</v>
      </c>
    </row>
    <row r="175" spans="1:53" ht="22.5" customHeight="1">
      <c r="A175" s="149">
        <v>812815</v>
      </c>
      <c r="B175" s="29" t="s">
        <v>331</v>
      </c>
      <c r="C175" s="287" t="s">
        <v>55</v>
      </c>
      <c r="D175" s="153">
        <v>0.9</v>
      </c>
      <c r="E175" s="153">
        <v>0.9</v>
      </c>
      <c r="F175" s="31" t="s">
        <v>43</v>
      </c>
      <c r="G175" s="33">
        <v>180</v>
      </c>
      <c r="H175" s="33">
        <v>220</v>
      </c>
      <c r="I175" s="34">
        <v>2</v>
      </c>
      <c r="J175" s="434" t="s">
        <v>332</v>
      </c>
      <c r="K175" s="31" t="s">
        <v>77</v>
      </c>
      <c r="L175" s="161"/>
      <c r="M175" s="30"/>
      <c r="N175" s="30"/>
      <c r="O175" s="30"/>
      <c r="P175" s="30"/>
      <c r="Q175" s="30"/>
      <c r="R175" s="30"/>
      <c r="S175" s="30"/>
      <c r="T175" s="29"/>
      <c r="U175" s="30"/>
      <c r="V175" s="132">
        <v>45189</v>
      </c>
      <c r="W175" s="132">
        <v>45219</v>
      </c>
      <c r="X175" s="132">
        <v>45189</v>
      </c>
      <c r="Y175" s="132">
        <v>45219</v>
      </c>
      <c r="Z175" s="31" t="s">
        <v>72</v>
      </c>
      <c r="AA175" s="74"/>
      <c r="AB175" s="31"/>
      <c r="AC175" s="37">
        <v>1</v>
      </c>
      <c r="AD175" s="31"/>
      <c r="AE175" s="132">
        <v>45324</v>
      </c>
      <c r="AF175" s="132">
        <v>45344</v>
      </c>
      <c r="AG175" s="132">
        <v>45344</v>
      </c>
      <c r="AH175" s="132">
        <v>45344</v>
      </c>
      <c r="AI175" s="132">
        <v>45351</v>
      </c>
      <c r="AJ175" s="132">
        <v>45329</v>
      </c>
      <c r="AK175" s="132">
        <v>45329</v>
      </c>
      <c r="AL175" s="132">
        <v>45348</v>
      </c>
      <c r="AM175" s="132">
        <v>45348</v>
      </c>
      <c r="AN175" s="132">
        <v>45329</v>
      </c>
      <c r="AO175" s="132">
        <v>45348</v>
      </c>
      <c r="AP175" s="132"/>
      <c r="AQ175" s="132">
        <v>45348</v>
      </c>
      <c r="AR175" s="132">
        <v>45348</v>
      </c>
      <c r="AS175" s="132">
        <v>45345</v>
      </c>
      <c r="AT175" s="307">
        <v>45350</v>
      </c>
      <c r="AU175" s="150"/>
      <c r="AV175" s="151"/>
      <c r="AW175" s="151"/>
      <c r="AX175" s="151"/>
      <c r="AY175" s="151"/>
      <c r="AZ175" s="6" t="s">
        <v>265</v>
      </c>
      <c r="BA175" s="6">
        <v>2</v>
      </c>
    </row>
    <row r="176" spans="1:53" ht="21.75" customHeight="1">
      <c r="A176" s="40">
        <f>IF(A175="","",A175)</f>
        <v>812815</v>
      </c>
      <c r="B176" s="41"/>
      <c r="C176" s="42"/>
      <c r="D176" s="42"/>
      <c r="E176" s="42"/>
      <c r="F176" s="43" t="s">
        <v>48</v>
      </c>
      <c r="G176" s="59"/>
      <c r="H176" s="59"/>
      <c r="I176" s="44"/>
      <c r="J176" s="52"/>
      <c r="K176" s="53"/>
      <c r="L176" s="537"/>
      <c r="M176" s="42"/>
      <c r="N176" s="42"/>
      <c r="O176" s="42"/>
      <c r="P176" s="42"/>
      <c r="Q176" s="42"/>
      <c r="R176" s="42"/>
      <c r="S176" s="42"/>
      <c r="T176" s="41"/>
      <c r="U176" s="42"/>
      <c r="V176" s="232">
        <v>45189</v>
      </c>
      <c r="W176" s="232">
        <v>45225</v>
      </c>
      <c r="X176" s="232">
        <v>45225</v>
      </c>
      <c r="Y176" s="232">
        <v>45291</v>
      </c>
      <c r="Z176" s="43"/>
      <c r="AA176" s="43"/>
      <c r="AB176" s="43"/>
      <c r="AC176" s="54"/>
      <c r="AD176" s="43"/>
      <c r="AE176" s="223">
        <v>45196</v>
      </c>
      <c r="AF176" s="232">
        <v>45344</v>
      </c>
      <c r="AG176" s="232">
        <v>45344</v>
      </c>
      <c r="AH176" s="232">
        <v>45344</v>
      </c>
      <c r="AI176" s="129">
        <v>45356</v>
      </c>
      <c r="AJ176" s="223">
        <v>45323</v>
      </c>
      <c r="AK176" s="223">
        <v>45323</v>
      </c>
      <c r="AL176" s="308">
        <v>45348</v>
      </c>
      <c r="AM176" s="223">
        <v>45348</v>
      </c>
      <c r="AN176" s="308">
        <v>45329</v>
      </c>
      <c r="AO176" s="223">
        <v>45330</v>
      </c>
      <c r="AP176" s="223"/>
      <c r="AQ176" s="223">
        <v>45330</v>
      </c>
      <c r="AR176" s="223">
        <v>45348</v>
      </c>
      <c r="AS176" s="223">
        <v>45345</v>
      </c>
      <c r="AT176" s="128"/>
      <c r="AU176" s="47" t="s">
        <v>333</v>
      </c>
      <c r="AV176" s="39"/>
      <c r="AW176" s="39"/>
      <c r="AX176" s="39"/>
      <c r="AY176" s="39"/>
    </row>
    <row r="177" spans="1:53" ht="21.75" customHeight="1">
      <c r="A177" s="149">
        <v>812832</v>
      </c>
      <c r="B177" s="29" t="s">
        <v>334</v>
      </c>
      <c r="C177" s="30" t="s">
        <v>42</v>
      </c>
      <c r="D177" s="30"/>
      <c r="E177" s="30"/>
      <c r="F177" s="31" t="s">
        <v>43</v>
      </c>
      <c r="G177" s="33">
        <v>175</v>
      </c>
      <c r="H177" s="33">
        <v>220</v>
      </c>
      <c r="I177" s="34">
        <v>2</v>
      </c>
      <c r="J177" s="434" t="s">
        <v>335</v>
      </c>
      <c r="K177" s="81" t="s">
        <v>45</v>
      </c>
      <c r="L177" s="538"/>
      <c r="M177" s="30" t="s">
        <v>336</v>
      </c>
      <c r="N177" s="30"/>
      <c r="O177" s="30"/>
      <c r="P177" s="309"/>
      <c r="Q177" s="30"/>
      <c r="R177" s="30"/>
      <c r="S177" s="30"/>
      <c r="T177" s="29"/>
      <c r="U177" s="30"/>
      <c r="V177" s="132" t="s">
        <v>337</v>
      </c>
      <c r="W177" s="132">
        <v>45260</v>
      </c>
      <c r="X177" s="132">
        <v>45240</v>
      </c>
      <c r="Y177" s="132">
        <v>45270</v>
      </c>
      <c r="Z177" s="31"/>
      <c r="AA177" s="74" t="s">
        <v>338</v>
      </c>
      <c r="AB177" s="31"/>
      <c r="AC177" s="37">
        <v>1</v>
      </c>
      <c r="AD177" s="31"/>
      <c r="AE177" s="132">
        <v>45327</v>
      </c>
      <c r="AF177" s="132">
        <v>45348</v>
      </c>
      <c r="AG177" s="132">
        <v>45348</v>
      </c>
      <c r="AH177" s="132">
        <v>45348</v>
      </c>
      <c r="AI177" s="132">
        <v>45363</v>
      </c>
      <c r="AJ177" s="132">
        <v>45324</v>
      </c>
      <c r="AK177" s="132">
        <v>45340</v>
      </c>
      <c r="AL177" s="132">
        <v>45356</v>
      </c>
      <c r="AM177" s="132">
        <v>45356</v>
      </c>
      <c r="AN177" s="132">
        <v>45340</v>
      </c>
      <c r="AO177" s="132">
        <v>45327</v>
      </c>
      <c r="AP177" s="132"/>
      <c r="AQ177" s="132">
        <v>45327</v>
      </c>
      <c r="AR177" s="132">
        <v>45363</v>
      </c>
      <c r="AS177" s="132">
        <v>45363</v>
      </c>
      <c r="AT177" s="310">
        <v>45365</v>
      </c>
      <c r="AU177" s="150"/>
      <c r="AV177" s="151"/>
      <c r="AW177" s="151"/>
      <c r="AX177" s="151"/>
      <c r="AY177" s="151"/>
    </row>
    <row r="178" spans="1:53" ht="24" customHeight="1">
      <c r="A178" s="40">
        <f>IF(A177="","",A177)</f>
        <v>812832</v>
      </c>
      <c r="B178" s="41"/>
      <c r="C178" s="42"/>
      <c r="D178" s="42"/>
      <c r="E178" s="42"/>
      <c r="F178" s="43" t="s">
        <v>48</v>
      </c>
      <c r="G178" s="59"/>
      <c r="H178" s="59"/>
      <c r="I178" s="44"/>
      <c r="J178" s="52"/>
      <c r="K178" s="53"/>
      <c r="L178" s="537"/>
      <c r="M178" s="42"/>
      <c r="N178" s="42"/>
      <c r="O178" s="42"/>
      <c r="P178" s="42"/>
      <c r="Q178" s="42"/>
      <c r="R178" s="42"/>
      <c r="S178" s="42"/>
      <c r="T178" s="41"/>
      <c r="U178" s="42"/>
      <c r="V178" s="232">
        <v>45230</v>
      </c>
      <c r="W178" s="232">
        <v>45335</v>
      </c>
      <c r="X178" s="232">
        <v>45232</v>
      </c>
      <c r="Y178" s="232">
        <v>45387</v>
      </c>
      <c r="Z178" s="43"/>
      <c r="AA178" s="43"/>
      <c r="AB178" s="43"/>
      <c r="AC178" s="54"/>
      <c r="AD178" s="43"/>
      <c r="AE178" s="232">
        <v>45320</v>
      </c>
      <c r="AF178" s="311">
        <v>45356</v>
      </c>
      <c r="AG178" s="311">
        <v>45350</v>
      </c>
      <c r="AH178" s="312" t="s">
        <v>339</v>
      </c>
      <c r="AI178" s="129">
        <v>45371</v>
      </c>
      <c r="AJ178" s="116">
        <v>45324</v>
      </c>
      <c r="AK178" s="223">
        <v>45355</v>
      </c>
      <c r="AL178" s="117" t="s">
        <v>254</v>
      </c>
      <c r="AM178" s="129">
        <v>45362</v>
      </c>
      <c r="AN178" s="223">
        <v>45350</v>
      </c>
      <c r="AO178" s="128" t="s">
        <v>340</v>
      </c>
      <c r="AP178" s="128"/>
      <c r="AQ178" s="128" t="s">
        <v>340</v>
      </c>
      <c r="AR178" s="116">
        <v>45379</v>
      </c>
      <c r="AS178" s="116">
        <v>45363</v>
      </c>
      <c r="AT178" s="118"/>
      <c r="AU178" s="171"/>
      <c r="AV178" s="151"/>
      <c r="AW178" s="151"/>
      <c r="AX178" s="151"/>
      <c r="AY178" s="151"/>
    </row>
    <row r="179" spans="1:53" ht="16.5" customHeight="1" thickBot="1">
      <c r="A179" s="100"/>
      <c r="B179" s="24"/>
      <c r="C179" s="24"/>
      <c r="D179" s="24"/>
      <c r="E179" s="24"/>
      <c r="F179" s="101"/>
      <c r="G179" s="24"/>
      <c r="H179" s="24"/>
      <c r="I179" s="24"/>
      <c r="J179" s="422"/>
      <c r="K179" s="101"/>
      <c r="L179" s="101"/>
      <c r="M179" s="24"/>
      <c r="N179" s="24"/>
      <c r="O179" s="24"/>
      <c r="P179" s="24"/>
      <c r="Q179" s="24"/>
      <c r="R179" s="24"/>
      <c r="S179" s="24"/>
      <c r="T179" s="24"/>
      <c r="U179" s="24"/>
      <c r="V179" s="101"/>
      <c r="W179" s="101"/>
      <c r="X179" s="101"/>
      <c r="Y179" s="101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6"/>
      <c r="AV179" s="27"/>
      <c r="AW179" s="27"/>
      <c r="AX179" s="27"/>
      <c r="AY179" s="27"/>
    </row>
    <row r="180" spans="1:53" ht="18.75" customHeight="1">
      <c r="A180" s="149">
        <v>812835</v>
      </c>
      <c r="B180" s="29">
        <v>812835</v>
      </c>
      <c r="C180" s="30" t="s">
        <v>42</v>
      </c>
      <c r="D180" s="30"/>
      <c r="E180" s="30"/>
      <c r="F180" s="31" t="s">
        <v>43</v>
      </c>
      <c r="G180" s="50">
        <v>300</v>
      </c>
      <c r="H180" s="50">
        <v>400</v>
      </c>
      <c r="I180" s="34">
        <v>1</v>
      </c>
      <c r="J180" s="434" t="s">
        <v>341</v>
      </c>
      <c r="K180" s="31" t="s">
        <v>108</v>
      </c>
      <c r="L180" s="161"/>
      <c r="M180" s="30"/>
      <c r="N180" s="30"/>
      <c r="O180" s="30"/>
      <c r="P180" s="30"/>
      <c r="Q180" s="30"/>
      <c r="R180" s="30"/>
      <c r="S180" s="30"/>
      <c r="T180" s="29"/>
      <c r="U180" s="30"/>
      <c r="V180" s="132">
        <v>45260</v>
      </c>
      <c r="W180" s="132">
        <v>45290</v>
      </c>
      <c r="X180" s="132">
        <v>45260</v>
      </c>
      <c r="Y180" s="132">
        <v>45290</v>
      </c>
      <c r="Z180" s="161"/>
      <c r="AB180" s="31"/>
      <c r="AC180" s="37">
        <v>1</v>
      </c>
      <c r="AD180" s="31"/>
      <c r="AE180" s="132">
        <v>45356</v>
      </c>
      <c r="AF180" s="132">
        <v>45364</v>
      </c>
      <c r="AG180" s="132">
        <v>45358</v>
      </c>
      <c r="AH180" s="132">
        <v>45359</v>
      </c>
      <c r="AI180" s="132">
        <v>45365</v>
      </c>
      <c r="AJ180" s="132">
        <v>45343</v>
      </c>
      <c r="AK180" s="132">
        <v>45343</v>
      </c>
      <c r="AL180" s="132">
        <v>45365</v>
      </c>
      <c r="AM180" s="132">
        <v>45365</v>
      </c>
      <c r="AN180" s="132">
        <v>45343</v>
      </c>
      <c r="AO180" s="132">
        <v>45365</v>
      </c>
      <c r="AP180" s="132"/>
      <c r="AQ180" s="132">
        <v>45365</v>
      </c>
      <c r="AR180" s="132">
        <v>45365</v>
      </c>
      <c r="AS180" s="132">
        <v>45365</v>
      </c>
      <c r="AT180" s="132">
        <v>45369</v>
      </c>
      <c r="AU180" s="150"/>
      <c r="AV180" s="151"/>
      <c r="AW180" s="151"/>
      <c r="AX180" s="151"/>
      <c r="AY180" s="151"/>
    </row>
    <row r="181" spans="1:53" ht="19.5" customHeight="1">
      <c r="A181" s="40">
        <v>812835</v>
      </c>
      <c r="B181" s="41"/>
      <c r="C181" s="42"/>
      <c r="D181" s="42"/>
      <c r="E181" s="42"/>
      <c r="F181" s="43" t="s">
        <v>48</v>
      </c>
      <c r="G181" s="44"/>
      <c r="H181" s="44"/>
      <c r="I181" s="44"/>
      <c r="J181" s="52"/>
      <c r="K181" s="53"/>
      <c r="L181" s="537"/>
      <c r="M181" s="42"/>
      <c r="N181" s="42"/>
      <c r="O181" s="42"/>
      <c r="P181" s="42"/>
      <c r="Q181" s="42"/>
      <c r="R181" s="42"/>
      <c r="S181" s="42"/>
      <c r="T181" s="41"/>
      <c r="U181" s="42"/>
      <c r="V181" s="116">
        <v>45258</v>
      </c>
      <c r="W181" s="116">
        <v>45296</v>
      </c>
      <c r="X181" s="116">
        <v>45260</v>
      </c>
      <c r="Y181" s="116">
        <v>45329</v>
      </c>
      <c r="Z181" s="158"/>
      <c r="AA181" s="43"/>
      <c r="AB181" s="43"/>
      <c r="AC181" s="54"/>
      <c r="AD181" s="43"/>
      <c r="AE181" s="116">
        <v>45351</v>
      </c>
      <c r="AF181" s="116">
        <v>45364</v>
      </c>
      <c r="AG181" s="116">
        <v>45358</v>
      </c>
      <c r="AH181" s="116">
        <v>45359</v>
      </c>
      <c r="AI181" s="116">
        <v>45365</v>
      </c>
      <c r="AJ181" s="116">
        <v>45342</v>
      </c>
      <c r="AK181" s="116">
        <v>45342</v>
      </c>
      <c r="AL181" s="116">
        <v>45365</v>
      </c>
      <c r="AM181" s="116">
        <v>45365</v>
      </c>
      <c r="AN181" s="129">
        <v>45346</v>
      </c>
      <c r="AO181" s="116">
        <v>45365</v>
      </c>
      <c r="AP181" s="116"/>
      <c r="AQ181" s="116">
        <v>45365</v>
      </c>
      <c r="AR181" s="116">
        <v>45365</v>
      </c>
      <c r="AS181" s="116">
        <v>45365</v>
      </c>
      <c r="AT181" s="116">
        <v>45369</v>
      </c>
      <c r="AU181" s="150"/>
      <c r="AV181" s="151"/>
      <c r="AW181" s="151"/>
      <c r="AX181" s="151"/>
      <c r="AY181" s="151"/>
    </row>
    <row r="182" spans="1:53" ht="18.75" customHeight="1">
      <c r="A182" s="149">
        <v>812850</v>
      </c>
      <c r="B182" s="29" t="s">
        <v>342</v>
      </c>
      <c r="C182" s="30" t="s">
        <v>55</v>
      </c>
      <c r="D182" s="153">
        <v>0.5</v>
      </c>
      <c r="E182" s="153">
        <v>0.5</v>
      </c>
      <c r="F182" s="31" t="s">
        <v>43</v>
      </c>
      <c r="G182" s="50">
        <v>334</v>
      </c>
      <c r="H182" s="50">
        <v>500</v>
      </c>
      <c r="I182" s="34">
        <v>3</v>
      </c>
      <c r="J182" s="434" t="s">
        <v>343</v>
      </c>
      <c r="K182" s="31" t="s">
        <v>77</v>
      </c>
      <c r="L182" s="161"/>
      <c r="M182" s="30"/>
      <c r="N182" s="30"/>
      <c r="O182" s="30"/>
      <c r="P182" s="30"/>
      <c r="Q182" s="30"/>
      <c r="R182" s="30"/>
      <c r="S182" s="30"/>
      <c r="T182" s="29"/>
      <c r="U182" s="30"/>
      <c r="V182" s="132">
        <v>45282</v>
      </c>
      <c r="W182" s="132">
        <v>45350</v>
      </c>
      <c r="X182" s="132">
        <v>45301</v>
      </c>
      <c r="Y182" s="132">
        <v>45412</v>
      </c>
      <c r="Z182" s="161"/>
      <c r="AB182" s="31"/>
      <c r="AC182" s="37">
        <v>1</v>
      </c>
      <c r="AD182" s="31"/>
      <c r="AE182" s="132">
        <v>45364</v>
      </c>
      <c r="AF182" s="132">
        <v>45364</v>
      </c>
      <c r="AG182" s="132">
        <v>45362</v>
      </c>
      <c r="AH182" s="132">
        <v>45362</v>
      </c>
      <c r="AI182" s="132">
        <v>45371</v>
      </c>
      <c r="AJ182" s="132">
        <v>45349</v>
      </c>
      <c r="AK182" s="132">
        <v>45349</v>
      </c>
      <c r="AL182" s="132">
        <v>45371</v>
      </c>
      <c r="AM182" s="132">
        <v>45376</v>
      </c>
      <c r="AN182" s="132">
        <v>45356</v>
      </c>
      <c r="AO182" s="132">
        <v>45371</v>
      </c>
      <c r="AP182" s="132"/>
      <c r="AQ182" s="132">
        <v>45371</v>
      </c>
      <c r="AR182" s="132">
        <v>45371</v>
      </c>
      <c r="AS182" s="132">
        <v>45371</v>
      </c>
      <c r="AT182" s="132">
        <v>45376</v>
      </c>
      <c r="AU182" s="150"/>
      <c r="AV182" s="151"/>
      <c r="AW182" s="151"/>
      <c r="AX182" s="151"/>
      <c r="AY182" s="151"/>
      <c r="AZ182" s="6" t="s">
        <v>264</v>
      </c>
      <c r="BA182" s="6">
        <v>3</v>
      </c>
    </row>
    <row r="183" spans="1:53" ht="19.5" customHeight="1">
      <c r="A183" s="40">
        <v>812850</v>
      </c>
      <c r="B183" s="41"/>
      <c r="C183" s="42"/>
      <c r="D183" s="42"/>
      <c r="E183" s="42"/>
      <c r="F183" s="43" t="s">
        <v>48</v>
      </c>
      <c r="G183" s="44"/>
      <c r="H183" s="44"/>
      <c r="I183" s="44"/>
      <c r="J183" s="52"/>
      <c r="K183" s="53"/>
      <c r="L183" s="537"/>
      <c r="M183" s="42"/>
      <c r="N183" s="42"/>
      <c r="O183" s="42"/>
      <c r="P183" s="42"/>
      <c r="Q183" s="42"/>
      <c r="R183" s="42"/>
      <c r="S183" s="42"/>
      <c r="T183" s="41"/>
      <c r="U183" s="42"/>
      <c r="V183" s="116" t="s">
        <v>344</v>
      </c>
      <c r="W183" s="116">
        <v>45352</v>
      </c>
      <c r="X183" s="116">
        <v>45301</v>
      </c>
      <c r="Y183" s="116">
        <v>45390</v>
      </c>
      <c r="Z183" s="158"/>
      <c r="AA183" s="43"/>
      <c r="AB183" s="43"/>
      <c r="AC183" s="54"/>
      <c r="AD183" s="43"/>
      <c r="AE183" s="116">
        <v>45364</v>
      </c>
      <c r="AF183" s="116">
        <v>45364</v>
      </c>
      <c r="AG183" s="116">
        <v>45362</v>
      </c>
      <c r="AH183" s="116">
        <v>45362</v>
      </c>
      <c r="AI183" s="116">
        <v>45371</v>
      </c>
      <c r="AJ183" s="116">
        <v>45341</v>
      </c>
      <c r="AK183" s="116">
        <v>45341</v>
      </c>
      <c r="AL183" s="116">
        <v>45343</v>
      </c>
      <c r="AM183" s="116">
        <v>45371</v>
      </c>
      <c r="AN183" s="129">
        <v>45363</v>
      </c>
      <c r="AO183" s="116">
        <v>45371</v>
      </c>
      <c r="AP183" s="116"/>
      <c r="AQ183" s="116">
        <v>45371</v>
      </c>
      <c r="AR183" s="116">
        <v>45371</v>
      </c>
      <c r="AS183" s="116">
        <v>45371</v>
      </c>
      <c r="AT183" s="116">
        <v>45376</v>
      </c>
      <c r="AU183" s="150"/>
      <c r="AV183" s="151"/>
      <c r="AW183" s="151"/>
      <c r="AX183" s="151"/>
      <c r="AY183" s="151"/>
      <c r="AZ183" s="6" t="s">
        <v>265</v>
      </c>
      <c r="BA183" s="6">
        <v>2</v>
      </c>
    </row>
    <row r="184" spans="1:53" ht="18.75" customHeight="1">
      <c r="A184" s="149">
        <v>850598</v>
      </c>
      <c r="B184" s="29">
        <v>850598</v>
      </c>
      <c r="C184" s="30" t="s">
        <v>55</v>
      </c>
      <c r="D184" s="153">
        <v>0.9</v>
      </c>
      <c r="E184" s="153">
        <v>0.3</v>
      </c>
      <c r="F184" s="31" t="s">
        <v>43</v>
      </c>
      <c r="G184" s="50">
        <v>50</v>
      </c>
      <c r="H184" s="50">
        <v>110</v>
      </c>
      <c r="I184" s="34">
        <v>1</v>
      </c>
      <c r="J184" s="434" t="s">
        <v>345</v>
      </c>
      <c r="K184" s="31" t="s">
        <v>231</v>
      </c>
      <c r="L184" s="161"/>
      <c r="M184" s="30"/>
      <c r="N184" s="30"/>
      <c r="O184" s="30"/>
      <c r="P184" s="30"/>
      <c r="Q184" s="30"/>
      <c r="R184" s="30"/>
      <c r="S184" s="30"/>
      <c r="T184" s="29"/>
      <c r="U184" s="30"/>
      <c r="V184" s="89"/>
      <c r="W184" s="89"/>
      <c r="X184" s="89"/>
      <c r="Y184" s="89"/>
      <c r="Z184" s="161"/>
      <c r="AB184" s="31"/>
      <c r="AC184" s="37">
        <v>1</v>
      </c>
      <c r="AD184" s="31"/>
      <c r="AE184" s="132">
        <v>45359</v>
      </c>
      <c r="AF184" s="132">
        <v>45366</v>
      </c>
      <c r="AG184" s="132">
        <v>45366</v>
      </c>
      <c r="AH184" s="132">
        <v>45366</v>
      </c>
      <c r="AI184" s="132">
        <v>45376</v>
      </c>
      <c r="AJ184" s="132">
        <v>45357</v>
      </c>
      <c r="AK184" s="132">
        <v>45357</v>
      </c>
      <c r="AL184" s="132">
        <v>45382</v>
      </c>
      <c r="AM184" s="132">
        <v>45382</v>
      </c>
      <c r="AN184" s="132">
        <v>45357</v>
      </c>
      <c r="AO184" s="313">
        <v>45382</v>
      </c>
      <c r="AP184" s="313"/>
      <c r="AQ184" s="313">
        <v>45382</v>
      </c>
      <c r="AR184" s="313">
        <v>45382</v>
      </c>
      <c r="AS184" s="132">
        <v>45382</v>
      </c>
      <c r="AT184" s="313">
        <v>45385</v>
      </c>
      <c r="AU184" s="47" t="s">
        <v>346</v>
      </c>
      <c r="AV184" s="39"/>
      <c r="AW184" s="39"/>
      <c r="AX184" s="39"/>
      <c r="AY184" s="39"/>
    </row>
    <row r="185" spans="1:53" ht="22.5" customHeight="1">
      <c r="A185" s="180">
        <v>850598</v>
      </c>
      <c r="B185" s="181"/>
      <c r="C185" s="182"/>
      <c r="D185" s="182"/>
      <c r="E185" s="182"/>
      <c r="F185" s="43" t="s">
        <v>48</v>
      </c>
      <c r="G185" s="183"/>
      <c r="H185" s="183"/>
      <c r="I185" s="184"/>
      <c r="J185" s="52"/>
      <c r="K185" s="53"/>
      <c r="L185" s="537"/>
      <c r="M185" s="185"/>
      <c r="N185" s="185"/>
      <c r="O185" s="185"/>
      <c r="P185" s="185"/>
      <c r="Q185" s="185"/>
      <c r="R185" s="185"/>
      <c r="S185" s="185"/>
      <c r="T185" s="181"/>
      <c r="U185" s="185"/>
      <c r="V185" s="53"/>
      <c r="W185" s="53"/>
      <c r="X185" s="53"/>
      <c r="Y185" s="53"/>
      <c r="Z185" s="158"/>
      <c r="AA185" s="43"/>
      <c r="AB185" s="43"/>
      <c r="AC185" s="54"/>
      <c r="AD185" s="43"/>
      <c r="AE185" s="223">
        <v>45359</v>
      </c>
      <c r="AF185" s="223">
        <v>45364</v>
      </c>
      <c r="AG185" s="116">
        <v>45364</v>
      </c>
      <c r="AH185" s="116">
        <v>45364</v>
      </c>
      <c r="AI185" s="116">
        <v>45372</v>
      </c>
      <c r="AJ185" s="116">
        <v>45357</v>
      </c>
      <c r="AK185" s="116">
        <v>45357</v>
      </c>
      <c r="AL185" s="365" t="s">
        <v>497</v>
      </c>
      <c r="AM185" s="116">
        <v>45379</v>
      </c>
      <c r="AN185" s="116">
        <v>45357</v>
      </c>
      <c r="AO185" s="118"/>
      <c r="AP185" s="118"/>
      <c r="AQ185" s="118"/>
      <c r="AR185" s="118"/>
      <c r="AS185" s="132">
        <v>45371</v>
      </c>
      <c r="AT185" s="118"/>
      <c r="AU185" s="150"/>
      <c r="AV185" s="151"/>
      <c r="AW185" s="151"/>
      <c r="AX185" s="151"/>
      <c r="AY185" s="151"/>
    </row>
    <row r="186" spans="1:53" ht="18.75" customHeight="1">
      <c r="A186" s="149">
        <v>812859</v>
      </c>
      <c r="B186" s="29">
        <v>812859</v>
      </c>
      <c r="C186" s="30" t="s">
        <v>42</v>
      </c>
      <c r="D186" s="30"/>
      <c r="E186" s="30"/>
      <c r="F186" s="31" t="s">
        <v>43</v>
      </c>
      <c r="G186" s="50">
        <v>300</v>
      </c>
      <c r="H186" s="50">
        <v>220</v>
      </c>
      <c r="I186" s="34">
        <v>1</v>
      </c>
      <c r="J186" s="434" t="s">
        <v>347</v>
      </c>
      <c r="K186" s="31" t="s">
        <v>45</v>
      </c>
      <c r="L186" s="161"/>
      <c r="M186" s="30"/>
      <c r="N186" s="30"/>
      <c r="O186" s="30"/>
      <c r="P186" s="30"/>
      <c r="Q186" s="30"/>
      <c r="R186" s="30"/>
      <c r="S186" s="30"/>
      <c r="T186" s="29"/>
      <c r="U186" s="30"/>
      <c r="V186" s="132">
        <v>44965</v>
      </c>
      <c r="W186" s="132">
        <v>45362</v>
      </c>
      <c r="X186" s="132">
        <v>45330</v>
      </c>
      <c r="Y186" s="132">
        <v>45362</v>
      </c>
      <c r="Z186" s="161"/>
      <c r="AB186" s="31"/>
      <c r="AC186" s="37">
        <v>3</v>
      </c>
      <c r="AD186" s="31"/>
      <c r="AE186" s="132">
        <v>45362</v>
      </c>
      <c r="AF186" s="132">
        <v>45371</v>
      </c>
      <c r="AG186" s="132">
        <v>45371</v>
      </c>
      <c r="AH186" s="132">
        <v>45371</v>
      </c>
      <c r="AI186" s="132">
        <v>45376</v>
      </c>
      <c r="AJ186" s="132">
        <v>45345</v>
      </c>
      <c r="AK186" s="132">
        <v>45358</v>
      </c>
      <c r="AL186" s="132">
        <v>45376</v>
      </c>
      <c r="AM186" s="132">
        <v>45376</v>
      </c>
      <c r="AN186" s="132">
        <v>45358</v>
      </c>
      <c r="AO186" s="132">
        <v>45376</v>
      </c>
      <c r="AP186" s="132"/>
      <c r="AQ186" s="132">
        <v>45376</v>
      </c>
      <c r="AR186" s="314">
        <v>45382</v>
      </c>
      <c r="AS186" s="132">
        <v>45376</v>
      </c>
      <c r="AT186" s="314">
        <v>45382</v>
      </c>
      <c r="AU186" s="150"/>
      <c r="AV186" s="151"/>
      <c r="AW186" s="151"/>
      <c r="AX186" s="151"/>
      <c r="AY186" s="151"/>
    </row>
    <row r="187" spans="1:53" ht="19.5" customHeight="1">
      <c r="A187" s="40">
        <v>812859</v>
      </c>
      <c r="B187" s="41"/>
      <c r="C187" s="42"/>
      <c r="D187" s="42"/>
      <c r="E187" s="42"/>
      <c r="F187" s="43" t="s">
        <v>48</v>
      </c>
      <c r="G187" s="44"/>
      <c r="H187" s="44"/>
      <c r="I187" s="44"/>
      <c r="J187" s="52"/>
      <c r="K187" s="53"/>
      <c r="L187" s="537"/>
      <c r="M187" s="42"/>
      <c r="N187" s="42"/>
      <c r="O187" s="42"/>
      <c r="P187" s="42"/>
      <c r="Q187" s="42"/>
      <c r="R187" s="42"/>
      <c r="S187" s="42"/>
      <c r="T187" s="41"/>
      <c r="U187" s="42"/>
      <c r="V187" s="116">
        <v>45330</v>
      </c>
      <c r="W187" s="116">
        <v>45362</v>
      </c>
      <c r="X187" s="116">
        <v>45330</v>
      </c>
      <c r="Y187" s="116">
        <v>45362</v>
      </c>
      <c r="Z187" s="158"/>
      <c r="AA187" s="43"/>
      <c r="AB187" s="43"/>
      <c r="AC187" s="54"/>
      <c r="AD187" s="43"/>
      <c r="AE187" s="116">
        <v>45356</v>
      </c>
      <c r="AF187" s="116">
        <v>45363</v>
      </c>
      <c r="AG187" s="116">
        <v>45370</v>
      </c>
      <c r="AH187" s="116">
        <v>45359</v>
      </c>
      <c r="AI187" s="129">
        <v>45383</v>
      </c>
      <c r="AJ187" s="116">
        <v>45345</v>
      </c>
      <c r="AK187" s="315">
        <v>45355</v>
      </c>
      <c r="AL187" s="116">
        <v>45376</v>
      </c>
      <c r="AM187" s="116">
        <v>45373</v>
      </c>
      <c r="AN187" s="129">
        <v>45362</v>
      </c>
      <c r="AO187" s="116">
        <v>45376</v>
      </c>
      <c r="AP187" s="116"/>
      <c r="AQ187" s="116">
        <v>45376</v>
      </c>
      <c r="AR187" s="116"/>
      <c r="AS187" s="116">
        <v>45379</v>
      </c>
      <c r="AT187" s="116"/>
      <c r="AU187" s="150"/>
      <c r="AV187" s="151"/>
      <c r="AW187" s="151"/>
      <c r="AX187" s="151"/>
      <c r="AY187" s="151"/>
    </row>
    <row r="188" spans="1:53" ht="18.75" customHeight="1">
      <c r="A188" s="149">
        <v>812857</v>
      </c>
      <c r="B188" s="29" t="s">
        <v>348</v>
      </c>
      <c r="C188" s="30" t="s">
        <v>42</v>
      </c>
      <c r="D188" s="30"/>
      <c r="E188" s="30"/>
      <c r="F188" s="31" t="s">
        <v>43</v>
      </c>
      <c r="G188" s="50">
        <v>200</v>
      </c>
      <c r="H188" s="50">
        <v>220</v>
      </c>
      <c r="I188" s="34">
        <v>2</v>
      </c>
      <c r="J188" s="434" t="s">
        <v>347</v>
      </c>
      <c r="K188" s="31" t="s">
        <v>77</v>
      </c>
      <c r="L188" s="161"/>
      <c r="M188" s="30"/>
      <c r="N188" s="30"/>
      <c r="O188" s="30"/>
      <c r="P188" s="30"/>
      <c r="Q188" s="30"/>
      <c r="R188" s="30"/>
      <c r="S188" s="30"/>
      <c r="T188" s="29"/>
      <c r="U188" s="30"/>
      <c r="V188" s="132">
        <v>45330</v>
      </c>
      <c r="W188" s="132">
        <v>45362</v>
      </c>
      <c r="X188" s="132">
        <v>45330</v>
      </c>
      <c r="Y188" s="132">
        <v>45362</v>
      </c>
      <c r="Z188" s="161"/>
      <c r="AB188" s="31"/>
      <c r="AC188" s="37">
        <v>1</v>
      </c>
      <c r="AD188" s="31"/>
      <c r="AE188" s="132">
        <v>45368</v>
      </c>
      <c r="AF188" s="132">
        <v>45379</v>
      </c>
      <c r="AG188" s="132">
        <v>45379</v>
      </c>
      <c r="AH188" s="132">
        <v>45379</v>
      </c>
      <c r="AI188" s="132">
        <v>45380</v>
      </c>
      <c r="AJ188" s="132">
        <v>45345</v>
      </c>
      <c r="AK188" s="132">
        <v>45358</v>
      </c>
      <c r="AL188" s="132">
        <v>45380</v>
      </c>
      <c r="AM188" s="132">
        <v>45380</v>
      </c>
      <c r="AN188" s="132">
        <v>45358</v>
      </c>
      <c r="AO188" s="132">
        <v>45380</v>
      </c>
      <c r="AP188" s="132"/>
      <c r="AQ188" s="132">
        <v>45380</v>
      </c>
      <c r="AR188" s="132">
        <v>45380</v>
      </c>
      <c r="AS188" s="313">
        <v>45380</v>
      </c>
      <c r="AT188" s="313">
        <v>45382</v>
      </c>
      <c r="AU188" s="150"/>
      <c r="AV188" s="151"/>
      <c r="AW188" s="151"/>
      <c r="AX188" s="151"/>
      <c r="AY188" s="151"/>
    </row>
    <row r="189" spans="1:53" ht="19.5" customHeight="1">
      <c r="A189" s="40">
        <v>812857</v>
      </c>
      <c r="B189" s="41"/>
      <c r="C189" s="42"/>
      <c r="D189" s="42"/>
      <c r="E189" s="42"/>
      <c r="F189" s="43" t="s">
        <v>48</v>
      </c>
      <c r="G189" s="44"/>
      <c r="H189" s="44"/>
      <c r="I189" s="44"/>
      <c r="J189" s="52"/>
      <c r="K189" s="53"/>
      <c r="L189" s="537"/>
      <c r="M189" s="42"/>
      <c r="N189" s="42"/>
      <c r="O189" s="42"/>
      <c r="P189" s="42"/>
      <c r="Q189" s="42"/>
      <c r="R189" s="42"/>
      <c r="S189" s="42"/>
      <c r="T189" s="41"/>
      <c r="U189" s="42"/>
      <c r="V189" s="116">
        <v>45330</v>
      </c>
      <c r="W189" s="116">
        <v>45362</v>
      </c>
      <c r="X189" s="116">
        <v>45330</v>
      </c>
      <c r="Y189" s="116">
        <v>45362</v>
      </c>
      <c r="Z189" s="158"/>
      <c r="AA189" s="43"/>
      <c r="AB189" s="43"/>
      <c r="AC189" s="54"/>
      <c r="AD189" s="43"/>
      <c r="AE189" s="116">
        <v>45367</v>
      </c>
      <c r="AF189" s="116">
        <v>45379</v>
      </c>
      <c r="AG189" s="116">
        <v>45376</v>
      </c>
      <c r="AH189" s="116">
        <v>45371</v>
      </c>
      <c r="AI189" s="116">
        <v>45380</v>
      </c>
      <c r="AJ189" s="116">
        <v>45345</v>
      </c>
      <c r="AK189" s="315">
        <v>45355</v>
      </c>
      <c r="AL189" s="116">
        <v>45379</v>
      </c>
      <c r="AM189" s="116">
        <v>45373</v>
      </c>
      <c r="AN189" s="129">
        <v>45362</v>
      </c>
      <c r="AO189" s="116">
        <v>45379</v>
      </c>
      <c r="AP189" s="116"/>
      <c r="AQ189" s="116">
        <v>45379</v>
      </c>
      <c r="AR189" s="116">
        <v>45380</v>
      </c>
      <c r="AS189" s="118"/>
      <c r="AT189" s="118"/>
      <c r="AU189" s="171"/>
      <c r="AV189" s="151"/>
      <c r="AW189" s="151"/>
      <c r="AX189" s="151"/>
      <c r="AY189" s="151"/>
    </row>
    <row r="190" spans="1:53" ht="16.5" customHeight="1" thickBot="1">
      <c r="A190" s="363"/>
      <c r="B190" s="363"/>
      <c r="C190" s="363"/>
      <c r="D190" s="363"/>
      <c r="E190" s="363"/>
      <c r="F190" s="363"/>
      <c r="G190" s="363"/>
      <c r="H190" s="363"/>
      <c r="I190" s="363"/>
      <c r="J190" s="439"/>
      <c r="K190" s="363"/>
      <c r="L190" s="363"/>
      <c r="M190" s="363"/>
      <c r="N190" s="363"/>
      <c r="O190" s="363"/>
      <c r="P190" s="363"/>
      <c r="Q190" s="363"/>
      <c r="R190" s="363"/>
      <c r="S190" s="363"/>
      <c r="T190" s="363"/>
      <c r="U190" s="363"/>
      <c r="V190" s="363"/>
      <c r="W190" s="363"/>
      <c r="X190" s="363"/>
      <c r="Y190" s="363"/>
      <c r="Z190" s="363"/>
      <c r="AA190" s="363"/>
      <c r="AB190" s="363"/>
      <c r="AC190" s="363"/>
      <c r="AD190" s="363"/>
      <c r="AE190" s="363"/>
      <c r="AF190" s="363"/>
      <c r="AG190" s="363"/>
      <c r="AH190" s="363"/>
      <c r="AI190" s="363"/>
      <c r="AJ190" s="363"/>
      <c r="AK190" s="363"/>
      <c r="AL190" s="363"/>
      <c r="AM190" s="363"/>
      <c r="AN190" s="363"/>
      <c r="AO190" s="363"/>
      <c r="AP190" s="363"/>
      <c r="AQ190" s="363"/>
      <c r="AR190" s="363"/>
      <c r="AS190" s="363"/>
      <c r="AT190" s="363"/>
      <c r="AU190" s="363"/>
      <c r="AV190" s="27"/>
      <c r="AW190" s="27"/>
      <c r="AX190" s="27"/>
      <c r="AY190" s="27"/>
    </row>
    <row r="191" spans="1:53" ht="21.75" customHeight="1">
      <c r="A191" s="209">
        <v>812931</v>
      </c>
      <c r="B191" s="358" t="s">
        <v>349</v>
      </c>
      <c r="C191" s="97" t="s">
        <v>55</v>
      </c>
      <c r="D191" s="350">
        <v>0.9</v>
      </c>
      <c r="E191" s="350">
        <v>0</v>
      </c>
      <c r="F191" s="66" t="s">
        <v>43</v>
      </c>
      <c r="G191" s="50">
        <v>334</v>
      </c>
      <c r="H191" s="50">
        <v>500</v>
      </c>
      <c r="I191" s="76">
        <v>3</v>
      </c>
      <c r="J191" s="434" t="s">
        <v>350</v>
      </c>
      <c r="K191" s="66" t="s">
        <v>351</v>
      </c>
      <c r="L191" s="157"/>
      <c r="M191" s="359"/>
      <c r="N191" s="360" t="s">
        <v>336</v>
      </c>
      <c r="O191" s="360" t="s">
        <v>72</v>
      </c>
      <c r="P191" s="360" t="s">
        <v>352</v>
      </c>
      <c r="Q191" s="361" t="s">
        <v>353</v>
      </c>
      <c r="R191" s="372" t="s">
        <v>354</v>
      </c>
      <c r="S191" s="360" t="s">
        <v>354</v>
      </c>
      <c r="T191" s="358" t="s">
        <v>356</v>
      </c>
      <c r="U191" s="360" t="s">
        <v>354</v>
      </c>
      <c r="V191" s="132">
        <v>45384</v>
      </c>
      <c r="W191" s="132">
        <v>45397</v>
      </c>
      <c r="X191" s="132">
        <v>45384</v>
      </c>
      <c r="Y191" s="132">
        <v>45397</v>
      </c>
      <c r="Z191" s="157"/>
      <c r="AA191" s="66"/>
      <c r="AB191" s="66"/>
      <c r="AC191" s="68">
        <v>1</v>
      </c>
      <c r="AD191" s="66"/>
      <c r="AE191" s="132">
        <v>45377</v>
      </c>
      <c r="AF191" s="132">
        <v>45385</v>
      </c>
      <c r="AG191" s="132">
        <v>45377</v>
      </c>
      <c r="AH191" s="132">
        <v>45377</v>
      </c>
      <c r="AI191" s="132">
        <v>45397</v>
      </c>
      <c r="AJ191" s="132">
        <v>45371</v>
      </c>
      <c r="AK191" s="132">
        <v>45371</v>
      </c>
      <c r="AL191" s="132">
        <v>45397</v>
      </c>
      <c r="AM191" s="132">
        <v>45397</v>
      </c>
      <c r="AN191" s="132">
        <v>45383</v>
      </c>
      <c r="AO191" s="362">
        <v>45397</v>
      </c>
      <c r="AP191" s="362"/>
      <c r="AQ191" s="362">
        <v>45397</v>
      </c>
      <c r="AR191" s="362">
        <v>45397</v>
      </c>
      <c r="AS191" s="362">
        <v>45397</v>
      </c>
      <c r="AT191" s="362">
        <v>45400</v>
      </c>
      <c r="AU191" s="150"/>
    </row>
    <row r="192" spans="1:53" ht="21" customHeight="1">
      <c r="A192" s="180">
        <v>812931</v>
      </c>
      <c r="B192" s="318" t="s">
        <v>357</v>
      </c>
      <c r="C192" s="182"/>
      <c r="D192" s="182"/>
      <c r="E192" s="182"/>
      <c r="F192" s="43" t="s">
        <v>48</v>
      </c>
      <c r="G192" s="183"/>
      <c r="H192" s="183"/>
      <c r="I192" s="184"/>
      <c r="J192" s="429"/>
      <c r="K192" s="53"/>
      <c r="L192" s="537"/>
      <c r="M192" s="182"/>
      <c r="N192" s="182"/>
      <c r="O192" s="182"/>
      <c r="P192" s="182"/>
      <c r="Q192" s="182"/>
      <c r="R192" s="182"/>
      <c r="S192" s="182"/>
      <c r="T192" s="182"/>
      <c r="U192" s="182"/>
      <c r="V192" s="116">
        <v>45383</v>
      </c>
      <c r="W192" s="116">
        <v>45397</v>
      </c>
      <c r="X192" s="116">
        <v>45407</v>
      </c>
      <c r="Y192" s="116">
        <v>45411</v>
      </c>
      <c r="Z192" s="158"/>
      <c r="AA192" s="43"/>
      <c r="AB192" s="43"/>
      <c r="AC192" s="54"/>
      <c r="AD192" s="43"/>
      <c r="AE192" s="116">
        <v>45377</v>
      </c>
      <c r="AF192" s="116">
        <v>45385</v>
      </c>
      <c r="AG192" s="129">
        <v>45385</v>
      </c>
      <c r="AH192" s="129">
        <v>45384</v>
      </c>
      <c r="AI192" s="116">
        <v>45392</v>
      </c>
      <c r="AJ192" s="129">
        <v>45379</v>
      </c>
      <c r="AK192" s="129">
        <v>45379</v>
      </c>
      <c r="AL192" s="129">
        <v>45400</v>
      </c>
      <c r="AM192" s="129">
        <v>45408</v>
      </c>
      <c r="AN192" s="116">
        <v>45381</v>
      </c>
      <c r="AO192" s="116">
        <v>45392</v>
      </c>
      <c r="AP192" s="116"/>
      <c r="AQ192" s="116">
        <v>45392</v>
      </c>
      <c r="AR192" s="129">
        <v>45400</v>
      </c>
      <c r="AS192" s="129">
        <v>45400</v>
      </c>
      <c r="AT192" s="129">
        <v>45407</v>
      </c>
      <c r="AU192" s="150"/>
      <c r="AV192" s="151"/>
      <c r="AW192" s="151"/>
      <c r="AX192" s="151"/>
      <c r="AY192" s="151"/>
    </row>
    <row r="193" spans="1:53" ht="19.5" customHeight="1">
      <c r="A193" s="294">
        <v>812926</v>
      </c>
      <c r="B193" s="29">
        <v>822926</v>
      </c>
      <c r="C193" s="167" t="s">
        <v>42</v>
      </c>
      <c r="D193" s="153"/>
      <c r="E193" s="30"/>
      <c r="F193" s="31" t="s">
        <v>43</v>
      </c>
      <c r="G193" s="33">
        <v>120</v>
      </c>
      <c r="H193" s="33">
        <v>275</v>
      </c>
      <c r="I193" s="34">
        <v>2</v>
      </c>
      <c r="J193" s="430" t="s">
        <v>358</v>
      </c>
      <c r="K193" s="32" t="s">
        <v>66</v>
      </c>
      <c r="L193" s="547"/>
      <c r="M193" s="30"/>
      <c r="N193" s="319" t="s">
        <v>359</v>
      </c>
      <c r="O193" s="319" t="s">
        <v>72</v>
      </c>
      <c r="P193" s="319" t="s">
        <v>360</v>
      </c>
      <c r="Q193" s="319" t="s">
        <v>270</v>
      </c>
      <c r="R193" s="320" t="s">
        <v>354</v>
      </c>
      <c r="S193" s="287" t="s">
        <v>361</v>
      </c>
      <c r="T193" s="321"/>
      <c r="U193" s="319" t="s">
        <v>354</v>
      </c>
      <c r="V193" s="132">
        <v>45383</v>
      </c>
      <c r="W193" s="132">
        <f>V193+15</f>
        <v>45398</v>
      </c>
      <c r="X193" s="132">
        <v>45383</v>
      </c>
      <c r="Y193" s="132">
        <f>X193+15</f>
        <v>45398</v>
      </c>
      <c r="Z193" s="161"/>
      <c r="AA193" s="31"/>
      <c r="AB193" s="31"/>
      <c r="AC193" s="37">
        <v>1</v>
      </c>
      <c r="AD193" s="31"/>
      <c r="AE193" s="132">
        <v>45376</v>
      </c>
      <c r="AF193" s="132">
        <v>45392</v>
      </c>
      <c r="AG193" s="132">
        <v>45392</v>
      </c>
      <c r="AH193" s="132">
        <v>45392</v>
      </c>
      <c r="AI193" s="132">
        <v>45408</v>
      </c>
      <c r="AJ193" s="132">
        <v>45357</v>
      </c>
      <c r="AK193" s="132">
        <v>45357</v>
      </c>
      <c r="AL193" s="132">
        <v>45408</v>
      </c>
      <c r="AM193" s="132">
        <v>45404</v>
      </c>
      <c r="AN193" s="132">
        <v>45363</v>
      </c>
      <c r="AO193" s="342">
        <v>45404</v>
      </c>
      <c r="AP193" s="583"/>
      <c r="AQ193" s="342">
        <v>45404</v>
      </c>
      <c r="AR193" s="132">
        <v>45408</v>
      </c>
      <c r="AS193" s="132">
        <v>45408</v>
      </c>
      <c r="AT193" s="132">
        <v>45410</v>
      </c>
      <c r="AU193" s="228"/>
      <c r="AV193" s="151"/>
      <c r="AW193" s="151"/>
      <c r="AX193" s="151"/>
      <c r="AY193" s="151"/>
      <c r="AZ193" s="6" t="s">
        <v>264</v>
      </c>
      <c r="BA193" s="6">
        <v>4</v>
      </c>
    </row>
    <row r="194" spans="1:53" ht="19.5" customHeight="1">
      <c r="A194" s="322">
        <v>812926</v>
      </c>
      <c r="B194" s="318" t="s">
        <v>357</v>
      </c>
      <c r="C194" s="42"/>
      <c r="D194" s="42"/>
      <c r="E194" s="42"/>
      <c r="F194" s="43" t="s">
        <v>48</v>
      </c>
      <c r="G194" s="59"/>
      <c r="H194" s="59"/>
      <c r="I194" s="44"/>
      <c r="J194" s="52"/>
      <c r="K194" s="53"/>
      <c r="L194" s="537"/>
      <c r="M194" s="42"/>
      <c r="N194" s="42"/>
      <c r="O194" s="42"/>
      <c r="P194" s="42"/>
      <c r="Q194" s="42"/>
      <c r="R194" s="42"/>
      <c r="S194" s="42"/>
      <c r="T194" s="41"/>
      <c r="U194" s="42"/>
      <c r="V194" s="116">
        <v>45370</v>
      </c>
      <c r="W194" s="116">
        <v>45447</v>
      </c>
      <c r="X194" s="116">
        <v>45367</v>
      </c>
      <c r="Y194" s="116">
        <v>45454</v>
      </c>
      <c r="Z194" s="158"/>
      <c r="AA194" s="43"/>
      <c r="AB194" s="43"/>
      <c r="AC194" s="54"/>
      <c r="AD194" s="43"/>
      <c r="AE194" s="116">
        <v>45376</v>
      </c>
      <c r="AF194" s="116">
        <v>45383</v>
      </c>
      <c r="AG194" s="116">
        <v>45389</v>
      </c>
      <c r="AH194" s="223">
        <v>45391</v>
      </c>
      <c r="AI194" s="223">
        <v>45398</v>
      </c>
      <c r="AJ194" s="116">
        <v>45357</v>
      </c>
      <c r="AK194" s="116">
        <v>45357</v>
      </c>
      <c r="AL194" s="116">
        <v>45383</v>
      </c>
      <c r="AM194" s="116">
        <v>45404</v>
      </c>
      <c r="AN194" s="116">
        <v>45363</v>
      </c>
      <c r="AO194" s="223">
        <v>45383</v>
      </c>
      <c r="AP194" s="223"/>
      <c r="AQ194" s="223">
        <v>45383</v>
      </c>
      <c r="AR194" s="116">
        <v>45396</v>
      </c>
      <c r="AS194" s="116">
        <v>45408</v>
      </c>
      <c r="AT194" s="116">
        <v>45400</v>
      </c>
      <c r="AU194" s="150"/>
      <c r="AV194" s="151"/>
      <c r="AW194" s="151"/>
      <c r="AX194" s="151"/>
      <c r="AY194" s="151"/>
      <c r="AZ194" s="6" t="s">
        <v>265</v>
      </c>
      <c r="BA194" s="6">
        <v>1</v>
      </c>
    </row>
    <row r="195" spans="1:53" ht="19.5" customHeight="1">
      <c r="A195" s="149">
        <v>812842</v>
      </c>
      <c r="B195" s="29" t="s">
        <v>363</v>
      </c>
      <c r="C195" s="30" t="s">
        <v>42</v>
      </c>
      <c r="D195" s="153"/>
      <c r="E195" s="30"/>
      <c r="F195" s="31" t="s">
        <v>43</v>
      </c>
      <c r="G195" s="33">
        <v>80</v>
      </c>
      <c r="H195" s="33">
        <v>230</v>
      </c>
      <c r="I195" s="34">
        <v>2</v>
      </c>
      <c r="J195" s="440" t="s">
        <v>578</v>
      </c>
      <c r="K195" s="81" t="s">
        <v>45</v>
      </c>
      <c r="L195" s="538"/>
      <c r="M195" s="30"/>
      <c r="N195" s="323" t="s">
        <v>336</v>
      </c>
      <c r="O195" s="316" t="s">
        <v>72</v>
      </c>
      <c r="P195" s="316" t="s">
        <v>364</v>
      </c>
      <c r="Q195" s="319"/>
      <c r="R195" s="30" t="s">
        <v>354</v>
      </c>
      <c r="S195" s="30" t="s">
        <v>361</v>
      </c>
      <c r="T195" s="29" t="s">
        <v>365</v>
      </c>
      <c r="U195" s="323" t="s">
        <v>354</v>
      </c>
      <c r="V195" s="132">
        <v>45275</v>
      </c>
      <c r="W195" s="132">
        <v>45290</v>
      </c>
      <c r="X195" s="132">
        <v>45275</v>
      </c>
      <c r="Y195" s="132">
        <v>45290</v>
      </c>
      <c r="Z195" s="161"/>
      <c r="AA195" s="31"/>
      <c r="AB195" s="31"/>
      <c r="AC195" s="37">
        <v>1</v>
      </c>
      <c r="AD195" s="31"/>
      <c r="AE195" s="132">
        <v>45385</v>
      </c>
      <c r="AF195" s="132">
        <v>45399</v>
      </c>
      <c r="AG195" s="132">
        <v>45399</v>
      </c>
      <c r="AH195" s="132">
        <v>45399</v>
      </c>
      <c r="AI195" s="132">
        <v>45412</v>
      </c>
      <c r="AJ195" s="132">
        <v>45357</v>
      </c>
      <c r="AK195" s="132">
        <v>45357</v>
      </c>
      <c r="AL195" s="132">
        <v>45412</v>
      </c>
      <c r="AM195" s="132">
        <v>45406</v>
      </c>
      <c r="AN195" s="132">
        <v>45362</v>
      </c>
      <c r="AO195" s="132">
        <v>45412</v>
      </c>
      <c r="AP195" s="132"/>
      <c r="AQ195" s="132">
        <v>45412</v>
      </c>
      <c r="AR195" s="132">
        <v>45412</v>
      </c>
      <c r="AS195" s="132">
        <v>45412</v>
      </c>
      <c r="AT195" s="132">
        <v>45418</v>
      </c>
      <c r="AU195" s="150"/>
      <c r="AV195" s="151"/>
      <c r="AW195" s="151"/>
      <c r="AX195" s="151"/>
      <c r="AY195" s="151"/>
    </row>
    <row r="196" spans="1:53" ht="19.5" customHeight="1">
      <c r="A196" s="40">
        <v>812842</v>
      </c>
      <c r="B196" s="41"/>
      <c r="C196" s="42"/>
      <c r="D196" s="42"/>
      <c r="E196" s="42"/>
      <c r="F196" s="43" t="s">
        <v>48</v>
      </c>
      <c r="G196" s="59"/>
      <c r="H196" s="59"/>
      <c r="I196" s="44"/>
      <c r="J196" s="52"/>
      <c r="K196" s="53"/>
      <c r="L196" s="537"/>
      <c r="M196" s="42"/>
      <c r="N196" s="42"/>
      <c r="O196" s="42"/>
      <c r="P196" s="42"/>
      <c r="Q196" s="42"/>
      <c r="R196" s="42"/>
      <c r="S196" s="42"/>
      <c r="T196" s="41"/>
      <c r="U196" s="42"/>
      <c r="V196" s="116">
        <v>45259</v>
      </c>
      <c r="W196" s="116">
        <v>45314</v>
      </c>
      <c r="X196" s="116">
        <v>45260</v>
      </c>
      <c r="Y196" s="116">
        <v>45349</v>
      </c>
      <c r="Z196" s="158"/>
      <c r="AA196" s="43"/>
      <c r="AB196" s="43"/>
      <c r="AC196" s="54"/>
      <c r="AD196" s="43"/>
      <c r="AE196" s="116">
        <v>45379</v>
      </c>
      <c r="AF196" s="116">
        <v>45392</v>
      </c>
      <c r="AG196" s="116">
        <v>45380</v>
      </c>
      <c r="AH196" s="116">
        <v>45384</v>
      </c>
      <c r="AI196" s="129">
        <v>45422</v>
      </c>
      <c r="AJ196" s="116">
        <v>45348</v>
      </c>
      <c r="AK196" s="116">
        <v>45357</v>
      </c>
      <c r="AL196" s="116">
        <v>45412</v>
      </c>
      <c r="AM196" s="116">
        <v>45404</v>
      </c>
      <c r="AN196" s="129">
        <v>45366</v>
      </c>
      <c r="AO196" s="116">
        <v>45412</v>
      </c>
      <c r="AP196" s="116"/>
      <c r="AQ196" s="116">
        <v>45412</v>
      </c>
      <c r="AR196" s="116">
        <v>45412</v>
      </c>
      <c r="AS196" s="116">
        <v>45412</v>
      </c>
      <c r="AT196" s="116">
        <v>45418</v>
      </c>
      <c r="AU196" s="47" t="s">
        <v>362</v>
      </c>
      <c r="AV196" s="151"/>
      <c r="AW196" s="151"/>
      <c r="AX196" s="151"/>
      <c r="AY196" s="151"/>
    </row>
    <row r="197" spans="1:53" ht="20.25" customHeight="1">
      <c r="A197" s="149">
        <v>812845</v>
      </c>
      <c r="B197" s="29">
        <v>812845</v>
      </c>
      <c r="C197" s="167" t="s">
        <v>42</v>
      </c>
      <c r="D197" s="153"/>
      <c r="E197" s="30"/>
      <c r="F197" s="31" t="s">
        <v>43</v>
      </c>
      <c r="G197" s="33">
        <v>209</v>
      </c>
      <c r="H197" s="33">
        <v>150</v>
      </c>
      <c r="I197" s="34">
        <v>1</v>
      </c>
      <c r="J197" s="441" t="s">
        <v>366</v>
      </c>
      <c r="K197" s="81" t="s">
        <v>66</v>
      </c>
      <c r="L197" s="538"/>
      <c r="M197" s="30"/>
      <c r="N197" s="323" t="s">
        <v>336</v>
      </c>
      <c r="O197" s="323" t="s">
        <v>72</v>
      </c>
      <c r="P197" s="394" t="s">
        <v>367</v>
      </c>
      <c r="Q197" s="324"/>
      <c r="R197" s="30" t="s">
        <v>354</v>
      </c>
      <c r="S197" s="30" t="s">
        <v>361</v>
      </c>
      <c r="T197" s="325"/>
      <c r="U197" s="323" t="s">
        <v>354</v>
      </c>
      <c r="V197" s="132">
        <v>45301</v>
      </c>
      <c r="W197" s="132">
        <v>45332</v>
      </c>
      <c r="X197" s="132">
        <v>45301</v>
      </c>
      <c r="Y197" s="132">
        <v>45332</v>
      </c>
      <c r="Z197" s="161"/>
      <c r="AA197" s="31"/>
      <c r="AB197" s="31"/>
      <c r="AC197" s="37">
        <v>1</v>
      </c>
      <c r="AD197" s="31" t="s">
        <v>72</v>
      </c>
      <c r="AE197" s="132">
        <v>45388</v>
      </c>
      <c r="AF197" s="132">
        <v>45408</v>
      </c>
      <c r="AG197" s="132">
        <v>45408</v>
      </c>
      <c r="AH197" s="132">
        <v>45408</v>
      </c>
      <c r="AI197" s="132">
        <v>45412</v>
      </c>
      <c r="AJ197" s="132">
        <v>45362</v>
      </c>
      <c r="AK197" s="342">
        <v>45369</v>
      </c>
      <c r="AL197" s="132">
        <v>45412</v>
      </c>
      <c r="AM197" s="132">
        <v>45411</v>
      </c>
      <c r="AN197" s="342">
        <v>45380</v>
      </c>
      <c r="AO197" s="342">
        <v>45411</v>
      </c>
      <c r="AP197" s="583"/>
      <c r="AQ197" s="342">
        <v>45411</v>
      </c>
      <c r="AR197" s="132">
        <v>45412</v>
      </c>
      <c r="AS197" s="132">
        <v>45412</v>
      </c>
      <c r="AT197" s="132">
        <v>45422</v>
      </c>
      <c r="AU197" s="150"/>
      <c r="AV197" s="151"/>
      <c r="AW197" s="151"/>
      <c r="AX197" s="151"/>
      <c r="AY197" s="151"/>
    </row>
    <row r="198" spans="1:53" ht="18" customHeight="1">
      <c r="A198" s="40">
        <v>812845</v>
      </c>
      <c r="B198" s="41"/>
      <c r="C198" s="42"/>
      <c r="D198" s="42"/>
      <c r="E198" s="42"/>
      <c r="F198" s="43" t="s">
        <v>48</v>
      </c>
      <c r="G198" s="59"/>
      <c r="H198" s="59"/>
      <c r="I198" s="44"/>
      <c r="J198" s="52"/>
      <c r="K198" s="53"/>
      <c r="L198" s="537"/>
      <c r="M198" s="42"/>
      <c r="N198" s="42"/>
      <c r="O198" s="42"/>
      <c r="P198" s="42"/>
      <c r="Q198" s="42"/>
      <c r="R198" s="42"/>
      <c r="S198" s="42"/>
      <c r="T198" s="41"/>
      <c r="U198" s="42"/>
      <c r="V198" s="116">
        <v>45301</v>
      </c>
      <c r="W198" s="116">
        <v>45462</v>
      </c>
      <c r="X198" s="116">
        <v>45301</v>
      </c>
      <c r="Y198" s="116">
        <v>45462</v>
      </c>
      <c r="Z198" s="158"/>
      <c r="AA198" s="43"/>
      <c r="AB198" s="43"/>
      <c r="AC198" s="54"/>
      <c r="AD198" s="43"/>
      <c r="AE198" s="116">
        <v>45379</v>
      </c>
      <c r="AF198" s="116">
        <v>45398</v>
      </c>
      <c r="AG198" s="116">
        <v>45397</v>
      </c>
      <c r="AH198" s="116">
        <v>45394</v>
      </c>
      <c r="AI198" s="223">
        <v>45412</v>
      </c>
      <c r="AJ198" s="223">
        <v>45356</v>
      </c>
      <c r="AK198" s="223">
        <v>45384</v>
      </c>
      <c r="AL198" s="223">
        <v>45401</v>
      </c>
      <c r="AM198" s="116">
        <v>45411</v>
      </c>
      <c r="AN198" s="223">
        <v>45373</v>
      </c>
      <c r="AO198" s="223">
        <v>45393</v>
      </c>
      <c r="AP198" s="223"/>
      <c r="AQ198" s="223">
        <v>45393</v>
      </c>
      <c r="AR198" s="116">
        <v>45412</v>
      </c>
      <c r="AS198" s="116">
        <v>45412</v>
      </c>
      <c r="AT198" s="116">
        <v>45422</v>
      </c>
      <c r="AU198" s="150"/>
      <c r="AV198" s="151"/>
      <c r="AW198" s="151"/>
      <c r="AX198" s="151"/>
      <c r="AY198" s="151"/>
    </row>
    <row r="199" spans="1:53" ht="23.25" customHeight="1">
      <c r="A199" s="209">
        <v>812849</v>
      </c>
      <c r="B199" s="177">
        <v>812849</v>
      </c>
      <c r="C199" s="167" t="s">
        <v>42</v>
      </c>
      <c r="D199" s="30"/>
      <c r="E199" s="30"/>
      <c r="F199" s="31" t="s">
        <v>43</v>
      </c>
      <c r="G199" s="50">
        <v>180</v>
      </c>
      <c r="H199" s="50">
        <v>230</v>
      </c>
      <c r="I199" s="34">
        <v>1</v>
      </c>
      <c r="J199" s="428" t="s">
        <v>368</v>
      </c>
      <c r="K199" s="81" t="s">
        <v>108</v>
      </c>
      <c r="L199" s="538"/>
      <c r="M199" s="178"/>
      <c r="N199" s="316" t="s">
        <v>336</v>
      </c>
      <c r="O199" s="316" t="s">
        <v>72</v>
      </c>
      <c r="P199" s="326" t="s">
        <v>369</v>
      </c>
      <c r="Q199" s="178" t="s">
        <v>270</v>
      </c>
      <c r="R199" s="178" t="s">
        <v>354</v>
      </c>
      <c r="S199" s="178" t="s">
        <v>361</v>
      </c>
      <c r="T199" s="346" t="s">
        <v>370</v>
      </c>
      <c r="U199" s="316" t="s">
        <v>354</v>
      </c>
      <c r="V199" s="132">
        <v>45305</v>
      </c>
      <c r="W199" s="132">
        <v>45377</v>
      </c>
      <c r="X199" s="132">
        <v>45346</v>
      </c>
      <c r="Y199" s="161">
        <f>X199+15</f>
        <v>45361</v>
      </c>
      <c r="Z199" s="161"/>
      <c r="AA199" s="31"/>
      <c r="AB199" s="31"/>
      <c r="AC199" s="37"/>
      <c r="AD199" s="31" t="s">
        <v>72</v>
      </c>
      <c r="AE199" s="132">
        <v>45398</v>
      </c>
      <c r="AF199" s="132">
        <v>45419</v>
      </c>
      <c r="AG199" s="132">
        <v>45419</v>
      </c>
      <c r="AH199" s="132">
        <v>45419</v>
      </c>
      <c r="AI199" s="132">
        <v>45422</v>
      </c>
      <c r="AJ199" s="132">
        <v>45358</v>
      </c>
      <c r="AK199" s="132">
        <v>45358</v>
      </c>
      <c r="AL199" s="132">
        <v>45422</v>
      </c>
      <c r="AM199" s="132">
        <v>45422</v>
      </c>
      <c r="AN199" s="342">
        <v>45380</v>
      </c>
      <c r="AO199" s="342">
        <v>45422</v>
      </c>
      <c r="AP199" s="342"/>
      <c r="AQ199" s="342">
        <v>45422</v>
      </c>
      <c r="AR199" s="342">
        <v>45422</v>
      </c>
      <c r="AS199" s="342">
        <v>45422</v>
      </c>
      <c r="AT199" s="342">
        <v>45426</v>
      </c>
      <c r="AU199" s="150"/>
      <c r="AV199" s="39"/>
      <c r="AW199" s="39"/>
      <c r="AX199" s="39"/>
      <c r="AY199" s="39"/>
    </row>
    <row r="200" spans="1:53" ht="21" customHeight="1" thickBot="1">
      <c r="A200" s="180">
        <v>812849</v>
      </c>
      <c r="B200" s="181"/>
      <c r="C200" s="182"/>
      <c r="D200" s="182"/>
      <c r="E200" s="182"/>
      <c r="F200" s="43" t="s">
        <v>48</v>
      </c>
      <c r="G200" s="183"/>
      <c r="H200" s="183"/>
      <c r="I200" s="184"/>
      <c r="J200" s="429"/>
      <c r="K200" s="53"/>
      <c r="L200" s="537"/>
      <c r="M200" s="185"/>
      <c r="N200" s="185"/>
      <c r="O200" s="185"/>
      <c r="P200" s="185"/>
      <c r="Q200" s="185"/>
      <c r="R200" s="185"/>
      <c r="S200" s="185"/>
      <c r="T200" s="181"/>
      <c r="U200" s="185"/>
      <c r="V200" s="116">
        <v>45316</v>
      </c>
      <c r="W200" s="116">
        <v>45422</v>
      </c>
      <c r="X200" s="116">
        <v>45346</v>
      </c>
      <c r="Y200" s="116">
        <v>45440</v>
      </c>
      <c r="Z200" s="158"/>
      <c r="AA200" s="43"/>
      <c r="AB200" s="43"/>
      <c r="AC200" s="54"/>
      <c r="AD200" s="43"/>
      <c r="AE200" s="223">
        <v>45398</v>
      </c>
      <c r="AF200" s="223">
        <v>45407</v>
      </c>
      <c r="AG200" s="116">
        <v>45400</v>
      </c>
      <c r="AH200" s="116">
        <v>45410</v>
      </c>
      <c r="AI200" s="116">
        <v>45412</v>
      </c>
      <c r="AJ200" s="116">
        <v>45364</v>
      </c>
      <c r="AK200" s="129">
        <v>45364</v>
      </c>
      <c r="AL200" s="116">
        <v>45397</v>
      </c>
      <c r="AM200" s="116">
        <v>45422</v>
      </c>
      <c r="AN200" s="116">
        <v>45380</v>
      </c>
      <c r="AO200" s="116">
        <v>45417</v>
      </c>
      <c r="AP200" s="116"/>
      <c r="AQ200" s="116">
        <v>45417</v>
      </c>
      <c r="AR200" s="116">
        <v>45412</v>
      </c>
      <c r="AS200" s="116">
        <v>45418</v>
      </c>
      <c r="AT200" s="116">
        <v>45421</v>
      </c>
      <c r="AU200" s="194"/>
      <c r="AV200" s="151"/>
      <c r="AW200" s="151"/>
      <c r="AX200" s="151"/>
      <c r="AY200" s="151"/>
    </row>
    <row r="201" spans="1:53" ht="16.5" customHeight="1" thickBot="1">
      <c r="A201" s="363"/>
      <c r="B201" s="363"/>
      <c r="C201" s="363"/>
      <c r="D201" s="363"/>
      <c r="E201" s="363"/>
      <c r="F201" s="363"/>
      <c r="G201" s="363"/>
      <c r="H201" s="363"/>
      <c r="I201" s="363"/>
      <c r="J201" s="439"/>
      <c r="K201" s="363"/>
      <c r="L201" s="363"/>
      <c r="M201" s="363"/>
      <c r="N201" s="363"/>
      <c r="O201" s="363"/>
      <c r="P201" s="363"/>
      <c r="Q201" s="363"/>
      <c r="R201" s="363"/>
      <c r="S201" s="363"/>
      <c r="T201" s="363"/>
      <c r="U201" s="363"/>
      <c r="V201" s="363"/>
      <c r="W201" s="363"/>
      <c r="X201" s="363"/>
      <c r="Y201" s="363"/>
      <c r="Z201" s="363"/>
      <c r="AA201" s="363"/>
      <c r="AB201" s="363"/>
      <c r="AC201" s="363"/>
      <c r="AD201" s="363"/>
      <c r="AE201" s="363"/>
      <c r="AF201" s="363"/>
      <c r="AG201" s="363"/>
      <c r="AH201" s="363"/>
      <c r="AI201" s="363"/>
      <c r="AJ201" s="363"/>
      <c r="AK201" s="363"/>
      <c r="AL201" s="363"/>
      <c r="AM201" s="363"/>
      <c r="AN201" s="363"/>
      <c r="AO201" s="363"/>
      <c r="AP201" s="363"/>
      <c r="AQ201" s="363"/>
      <c r="AR201" s="363"/>
      <c r="AS201" s="363"/>
      <c r="AT201" s="363"/>
      <c r="AU201" s="363"/>
      <c r="AV201" s="27"/>
      <c r="AW201" s="27"/>
      <c r="AX201" s="27"/>
      <c r="AY201" s="27"/>
    </row>
    <row r="202" spans="1:53" ht="23.25" customHeight="1">
      <c r="A202" s="149">
        <v>822807</v>
      </c>
      <c r="B202" s="29" t="s">
        <v>371</v>
      </c>
      <c r="C202" s="167" t="s">
        <v>42</v>
      </c>
      <c r="D202" s="30"/>
      <c r="E202" s="30"/>
      <c r="F202" s="31" t="s">
        <v>43</v>
      </c>
      <c r="G202" s="33">
        <v>300</v>
      </c>
      <c r="H202" s="33">
        <v>275</v>
      </c>
      <c r="I202" s="34">
        <v>2</v>
      </c>
      <c r="J202" s="329" t="s">
        <v>372</v>
      </c>
      <c r="K202" s="31" t="s">
        <v>66</v>
      </c>
      <c r="L202" s="161"/>
      <c r="M202" s="30"/>
      <c r="N202" s="323" t="s">
        <v>336</v>
      </c>
      <c r="O202" s="316" t="s">
        <v>72</v>
      </c>
      <c r="P202" s="323" t="s">
        <v>373</v>
      </c>
      <c r="Q202" s="323"/>
      <c r="R202" s="30" t="s">
        <v>354</v>
      </c>
      <c r="S202" s="30" t="s">
        <v>361</v>
      </c>
      <c r="T202" s="29"/>
      <c r="U202" s="323" t="s">
        <v>354</v>
      </c>
      <c r="V202" s="132">
        <v>45245</v>
      </c>
      <c r="W202" s="132">
        <v>45275</v>
      </c>
      <c r="X202" s="132">
        <v>45245</v>
      </c>
      <c r="Y202" s="132">
        <v>45275</v>
      </c>
      <c r="Z202" s="31"/>
      <c r="AA202" s="31"/>
      <c r="AB202" s="31" t="s">
        <v>374</v>
      </c>
      <c r="AC202" s="37">
        <v>1</v>
      </c>
      <c r="AD202" s="31"/>
      <c r="AE202" s="132">
        <v>45405</v>
      </c>
      <c r="AF202" s="132">
        <v>45422</v>
      </c>
      <c r="AG202" s="132">
        <v>45422</v>
      </c>
      <c r="AH202" s="132">
        <v>45422</v>
      </c>
      <c r="AI202" s="132">
        <v>45428</v>
      </c>
      <c r="AJ202" s="132">
        <v>45358</v>
      </c>
      <c r="AK202" s="124" t="s">
        <v>375</v>
      </c>
      <c r="AL202" s="132">
        <v>45428</v>
      </c>
      <c r="AM202" s="132">
        <v>45428</v>
      </c>
      <c r="AN202" s="132">
        <v>45369</v>
      </c>
      <c r="AO202" s="132">
        <v>45428</v>
      </c>
      <c r="AP202" s="132"/>
      <c r="AQ202" s="132">
        <v>45428</v>
      </c>
      <c r="AR202" s="132">
        <v>45428</v>
      </c>
      <c r="AS202" s="132">
        <v>45432</v>
      </c>
      <c r="AT202" s="132">
        <v>45436</v>
      </c>
      <c r="AU202" s="150"/>
      <c r="AV202" s="151"/>
      <c r="AW202" s="151"/>
      <c r="AX202" s="151"/>
      <c r="AY202" s="151"/>
    </row>
    <row r="203" spans="1:53" ht="18" customHeight="1">
      <c r="A203" s="40">
        <v>812807</v>
      </c>
      <c r="B203" s="41"/>
      <c r="C203" s="42"/>
      <c r="D203" s="42"/>
      <c r="E203" s="42"/>
      <c r="F203" s="43" t="s">
        <v>48</v>
      </c>
      <c r="G203" s="59"/>
      <c r="H203" s="59"/>
      <c r="I203" s="44"/>
      <c r="J203" s="52"/>
      <c r="K203" s="53"/>
      <c r="L203" s="537"/>
      <c r="M203" s="42"/>
      <c r="N203" s="42"/>
      <c r="O203" s="42"/>
      <c r="P203" s="42"/>
      <c r="Q203" s="42"/>
      <c r="R203" s="42"/>
      <c r="S203" s="42"/>
      <c r="T203" s="41"/>
      <c r="U203" s="42"/>
      <c r="V203" s="116">
        <v>45241</v>
      </c>
      <c r="W203" s="116">
        <v>45350</v>
      </c>
      <c r="X203" s="116">
        <v>45241</v>
      </c>
      <c r="Y203" s="116">
        <v>45350</v>
      </c>
      <c r="Z203" s="43"/>
      <c r="AA203" s="43"/>
      <c r="AB203" s="43"/>
      <c r="AC203" s="54"/>
      <c r="AD203" s="43"/>
      <c r="AE203" s="223">
        <v>45405</v>
      </c>
      <c r="AF203" s="116">
        <v>45422</v>
      </c>
      <c r="AG203" s="116">
        <v>45412</v>
      </c>
      <c r="AH203" s="116">
        <v>45408</v>
      </c>
      <c r="AI203" s="116">
        <v>45432</v>
      </c>
      <c r="AJ203" s="116">
        <v>45357</v>
      </c>
      <c r="AK203" s="116">
        <v>45315</v>
      </c>
      <c r="AL203" s="116">
        <v>45421</v>
      </c>
      <c r="AM203" s="116">
        <v>45428</v>
      </c>
      <c r="AN203" s="129">
        <v>45367</v>
      </c>
      <c r="AO203" s="116">
        <v>45427</v>
      </c>
      <c r="AP203" s="116"/>
      <c r="AQ203" s="116">
        <v>45427</v>
      </c>
      <c r="AR203" s="116">
        <v>45428</v>
      </c>
      <c r="AS203" s="116">
        <v>45436</v>
      </c>
      <c r="AT203" s="116">
        <v>45436</v>
      </c>
      <c r="AU203" s="150"/>
      <c r="AV203" s="151"/>
      <c r="AW203" s="151"/>
      <c r="AX203" s="151"/>
      <c r="AY203" s="151"/>
      <c r="AZ203" s="6" t="s">
        <v>264</v>
      </c>
      <c r="BA203" s="6">
        <v>2</v>
      </c>
    </row>
    <row r="204" spans="1:53" ht="18.75" customHeight="1">
      <c r="A204" s="344">
        <v>812912</v>
      </c>
      <c r="B204" s="29" t="s">
        <v>468</v>
      </c>
      <c r="C204" s="30" t="s">
        <v>42</v>
      </c>
      <c r="D204" s="30"/>
      <c r="E204" s="30"/>
      <c r="F204" s="31" t="s">
        <v>43</v>
      </c>
      <c r="G204" s="33">
        <v>310</v>
      </c>
      <c r="H204" s="33">
        <v>220</v>
      </c>
      <c r="I204" s="34">
        <v>2</v>
      </c>
      <c r="J204" s="329" t="s">
        <v>469</v>
      </c>
      <c r="K204" s="66" t="s">
        <v>351</v>
      </c>
      <c r="L204" s="157"/>
      <c r="M204" s="30"/>
      <c r="N204" s="323" t="s">
        <v>503</v>
      </c>
      <c r="O204" s="30" t="s">
        <v>72</v>
      </c>
      <c r="P204" s="323" t="s">
        <v>474</v>
      </c>
      <c r="Q204" s="30"/>
      <c r="R204" s="323" t="s">
        <v>354</v>
      </c>
      <c r="S204" s="323"/>
      <c r="T204" s="29" t="s">
        <v>504</v>
      </c>
      <c r="U204" s="323" t="s">
        <v>354</v>
      </c>
      <c r="V204" s="36">
        <v>45413</v>
      </c>
      <c r="W204" s="36">
        <f>V204+15</f>
        <v>45428</v>
      </c>
      <c r="X204" s="36">
        <v>45441</v>
      </c>
      <c r="Y204" s="336">
        <f>X204+15</f>
        <v>45456</v>
      </c>
      <c r="Z204" s="66"/>
      <c r="AA204" s="31"/>
      <c r="AB204" s="31"/>
      <c r="AC204" s="37">
        <v>1</v>
      </c>
      <c r="AD204" s="31"/>
      <c r="AE204" s="36">
        <v>45422</v>
      </c>
      <c r="AF204" s="99">
        <v>45430</v>
      </c>
      <c r="AG204" s="36">
        <v>45426</v>
      </c>
      <c r="AH204" s="36">
        <v>45427</v>
      </c>
      <c r="AI204" s="36">
        <v>45439</v>
      </c>
      <c r="AJ204" s="38">
        <v>45412</v>
      </c>
      <c r="AK204" s="38">
        <v>45412</v>
      </c>
      <c r="AL204" s="36">
        <v>45439</v>
      </c>
      <c r="AM204" s="36">
        <v>45439</v>
      </c>
      <c r="AN204" s="38">
        <v>45412</v>
      </c>
      <c r="AO204" s="36">
        <v>45435</v>
      </c>
      <c r="AP204" s="36"/>
      <c r="AQ204" s="36">
        <v>45435</v>
      </c>
      <c r="AR204" s="36">
        <v>45439</v>
      </c>
      <c r="AS204" s="36">
        <v>45439</v>
      </c>
      <c r="AT204" s="36">
        <v>45442</v>
      </c>
      <c r="AU204" s="150"/>
      <c r="AV204" s="151"/>
      <c r="AW204" s="151"/>
      <c r="AX204" s="151"/>
      <c r="AY204" s="151"/>
      <c r="AZ204" s="6" t="s">
        <v>265</v>
      </c>
      <c r="BA204" s="6">
        <v>3</v>
      </c>
    </row>
    <row r="205" spans="1:53" ht="18" customHeight="1">
      <c r="A205" s="40">
        <v>812912</v>
      </c>
      <c r="B205" s="41"/>
      <c r="C205" s="42"/>
      <c r="D205" s="42"/>
      <c r="E205" s="42"/>
      <c r="F205" s="43" t="s">
        <v>48</v>
      </c>
      <c r="G205" s="59"/>
      <c r="H205" s="59"/>
      <c r="I205" s="44"/>
      <c r="J205" s="52"/>
      <c r="K205" s="53"/>
      <c r="L205" s="537"/>
      <c r="M205" s="42"/>
      <c r="N205" s="42"/>
      <c r="O205" s="42"/>
      <c r="P205" s="42"/>
      <c r="Q205" s="42"/>
      <c r="R205" s="42"/>
      <c r="S205" s="42"/>
      <c r="T205" s="41"/>
      <c r="U205" s="42"/>
      <c r="V205" s="116">
        <v>45413</v>
      </c>
      <c r="W205" s="116">
        <v>45436</v>
      </c>
      <c r="X205" s="116">
        <v>45437</v>
      </c>
      <c r="Y205" s="53">
        <v>45467</v>
      </c>
      <c r="Z205" s="43"/>
      <c r="AA205" s="43"/>
      <c r="AB205" s="43"/>
      <c r="AC205" s="54"/>
      <c r="AD205" s="43"/>
      <c r="AE205" s="223">
        <v>45423</v>
      </c>
      <c r="AF205" s="223">
        <v>45431</v>
      </c>
      <c r="AG205" s="116">
        <v>45426</v>
      </c>
      <c r="AH205" s="116">
        <v>45427</v>
      </c>
      <c r="AI205" s="116">
        <v>45439</v>
      </c>
      <c r="AJ205" s="170">
        <v>45432</v>
      </c>
      <c r="AK205" s="116">
        <v>45420</v>
      </c>
      <c r="AL205" s="366">
        <v>45434</v>
      </c>
      <c r="AM205" s="369" t="s">
        <v>498</v>
      </c>
      <c r="AN205" s="116">
        <v>45412</v>
      </c>
      <c r="AO205" s="366">
        <v>45436</v>
      </c>
      <c r="AP205" s="366"/>
      <c r="AQ205" s="366">
        <v>45436</v>
      </c>
      <c r="AR205" s="366">
        <v>45436</v>
      </c>
      <c r="AS205" s="116">
        <v>45439</v>
      </c>
      <c r="AT205" s="116">
        <v>45442</v>
      </c>
      <c r="AU205" s="150"/>
      <c r="AV205" s="151"/>
      <c r="AW205" s="151"/>
      <c r="AX205" s="151"/>
      <c r="AY205" s="151"/>
    </row>
    <row r="206" spans="1:53" ht="21" customHeight="1">
      <c r="A206" s="209">
        <v>850580</v>
      </c>
      <c r="B206" s="177">
        <v>850580</v>
      </c>
      <c r="C206" s="167" t="s">
        <v>42</v>
      </c>
      <c r="D206" s="153"/>
      <c r="E206" s="153"/>
      <c r="F206" s="31" t="s">
        <v>43</v>
      </c>
      <c r="G206" s="50">
        <v>180</v>
      </c>
      <c r="H206" s="50">
        <v>220</v>
      </c>
      <c r="I206" s="34">
        <v>1</v>
      </c>
      <c r="J206" s="442" t="s">
        <v>376</v>
      </c>
      <c r="K206" s="81" t="s">
        <v>463</v>
      </c>
      <c r="L206" s="538"/>
      <c r="M206" s="178"/>
      <c r="N206" s="178" t="s">
        <v>377</v>
      </c>
      <c r="O206" s="178" t="s">
        <v>296</v>
      </c>
      <c r="P206" s="323" t="s">
        <v>378</v>
      </c>
      <c r="Q206" s="178"/>
      <c r="R206" s="178"/>
      <c r="S206" s="178"/>
      <c r="T206" s="346"/>
      <c r="U206" s="323" t="s">
        <v>354</v>
      </c>
      <c r="V206" s="89" t="s">
        <v>82</v>
      </c>
      <c r="W206" s="89" t="s">
        <v>82</v>
      </c>
      <c r="X206" s="89" t="s">
        <v>82</v>
      </c>
      <c r="Y206" s="89" t="s">
        <v>82</v>
      </c>
      <c r="Z206" s="161"/>
      <c r="AA206" s="31"/>
      <c r="AB206" s="31"/>
      <c r="AC206" s="37">
        <v>1</v>
      </c>
      <c r="AD206" s="31"/>
      <c r="AE206" s="36" t="s">
        <v>379</v>
      </c>
      <c r="AF206" s="36" t="s">
        <v>379</v>
      </c>
      <c r="AG206" s="36">
        <v>45429</v>
      </c>
      <c r="AH206" s="36">
        <v>45429</v>
      </c>
      <c r="AI206" s="36">
        <v>45442</v>
      </c>
      <c r="AJ206" s="56" t="s">
        <v>62</v>
      </c>
      <c r="AK206" s="36">
        <v>45399</v>
      </c>
      <c r="AL206" s="36">
        <v>45442</v>
      </c>
      <c r="AM206" s="36">
        <v>45442</v>
      </c>
      <c r="AN206" s="36">
        <v>45412</v>
      </c>
      <c r="AO206" s="36">
        <v>45442</v>
      </c>
      <c r="AP206" s="36"/>
      <c r="AQ206" s="36">
        <v>45442</v>
      </c>
      <c r="AR206" s="36">
        <v>45442</v>
      </c>
      <c r="AS206" s="36">
        <v>45442</v>
      </c>
      <c r="AT206" s="36">
        <v>45443</v>
      </c>
      <c r="AU206" s="150"/>
      <c r="AV206" s="151"/>
      <c r="AW206" s="151"/>
      <c r="AX206" s="151"/>
      <c r="AY206" s="151"/>
    </row>
    <row r="207" spans="1:53" ht="21" customHeight="1">
      <c r="A207" s="180">
        <v>850521</v>
      </c>
      <c r="B207" s="328" t="s">
        <v>467</v>
      </c>
      <c r="C207" s="182"/>
      <c r="D207" s="182"/>
      <c r="E207" s="182"/>
      <c r="F207" s="43" t="s">
        <v>48</v>
      </c>
      <c r="G207" s="183"/>
      <c r="H207" s="183"/>
      <c r="I207" s="184"/>
      <c r="J207" s="429"/>
      <c r="K207" s="53"/>
      <c r="L207" s="537"/>
      <c r="M207" s="185"/>
      <c r="N207" s="185"/>
      <c r="O207" s="185"/>
      <c r="P207" s="185"/>
      <c r="Q207" s="185"/>
      <c r="R207" s="185"/>
      <c r="S207" s="185"/>
      <c r="T207" s="181"/>
      <c r="U207" s="185"/>
      <c r="V207" s="89" t="s">
        <v>82</v>
      </c>
      <c r="W207" s="89" t="s">
        <v>82</v>
      </c>
      <c r="X207" s="89" t="s">
        <v>82</v>
      </c>
      <c r="Y207" s="89" t="s">
        <v>82</v>
      </c>
      <c r="Z207" s="158"/>
      <c r="AA207" s="43"/>
      <c r="AB207" s="43"/>
      <c r="AC207" s="54"/>
      <c r="AD207" s="43"/>
      <c r="AE207" s="367" t="s">
        <v>81</v>
      </c>
      <c r="AF207" s="116">
        <v>45435</v>
      </c>
      <c r="AG207" s="366">
        <v>45420</v>
      </c>
      <c r="AH207" s="366">
        <v>45421</v>
      </c>
      <c r="AI207" s="366">
        <v>45432</v>
      </c>
      <c r="AJ207" s="367" t="s">
        <v>81</v>
      </c>
      <c r="AK207" s="170">
        <v>45405</v>
      </c>
      <c r="AL207" s="368" t="s">
        <v>499</v>
      </c>
      <c r="AM207" s="381">
        <v>45442</v>
      </c>
      <c r="AN207" s="170">
        <v>45419</v>
      </c>
      <c r="AO207" s="366">
        <v>45432</v>
      </c>
      <c r="AP207" s="366"/>
      <c r="AQ207" s="366">
        <v>45432</v>
      </c>
      <c r="AR207" s="366">
        <v>45441</v>
      </c>
      <c r="AS207" s="366">
        <v>45441</v>
      </c>
      <c r="AT207" s="116">
        <v>45443</v>
      </c>
      <c r="AU207" s="47" t="s">
        <v>465</v>
      </c>
      <c r="AV207" s="151"/>
      <c r="AW207" s="151"/>
      <c r="AX207" s="151"/>
      <c r="AY207" s="151"/>
    </row>
    <row r="208" spans="1:53" ht="22.5" customHeight="1">
      <c r="A208" s="209">
        <v>812915</v>
      </c>
      <c r="B208" s="177" t="s">
        <v>399</v>
      </c>
      <c r="C208" s="287" t="s">
        <v>55</v>
      </c>
      <c r="D208" s="153">
        <v>0.1</v>
      </c>
      <c r="E208" s="153">
        <v>0.1</v>
      </c>
      <c r="F208" s="31" t="s">
        <v>43</v>
      </c>
      <c r="G208" s="50">
        <v>334</v>
      </c>
      <c r="H208" s="50">
        <v>500</v>
      </c>
      <c r="I208" s="34">
        <v>6</v>
      </c>
      <c r="J208" s="443" t="s">
        <v>491</v>
      </c>
      <c r="K208" s="81"/>
      <c r="L208" s="538"/>
      <c r="M208" s="178"/>
      <c r="N208" s="316" t="s">
        <v>336</v>
      </c>
      <c r="O208" s="316" t="s">
        <v>72</v>
      </c>
      <c r="P208" s="316" t="s">
        <v>364</v>
      </c>
      <c r="Q208" s="178" t="s">
        <v>563</v>
      </c>
      <c r="R208" s="333" t="s">
        <v>354</v>
      </c>
      <c r="S208" s="178" t="s">
        <v>354</v>
      </c>
      <c r="T208" s="376"/>
      <c r="U208" s="316" t="s">
        <v>354</v>
      </c>
      <c r="V208" s="36">
        <v>45372</v>
      </c>
      <c r="W208" s="89">
        <f>V208+15</f>
        <v>45387</v>
      </c>
      <c r="X208" s="36">
        <v>45381</v>
      </c>
      <c r="Y208" s="396">
        <f>X208+15</f>
        <v>45396</v>
      </c>
      <c r="Z208" s="153"/>
      <c r="AA208" s="153"/>
      <c r="AB208" s="31"/>
      <c r="AC208" s="37">
        <v>1</v>
      </c>
      <c r="AD208" s="31"/>
      <c r="AE208" s="36">
        <v>45419</v>
      </c>
      <c r="AF208" s="36">
        <v>45435</v>
      </c>
      <c r="AG208" s="36">
        <v>45435</v>
      </c>
      <c r="AH208" s="36">
        <v>45435</v>
      </c>
      <c r="AI208" s="36">
        <v>45443</v>
      </c>
      <c r="AJ208" s="36">
        <v>45375</v>
      </c>
      <c r="AK208" s="36">
        <v>45390</v>
      </c>
      <c r="AL208" s="36">
        <v>45443</v>
      </c>
      <c r="AM208" s="36">
        <v>45443</v>
      </c>
      <c r="AN208" s="36">
        <v>45422</v>
      </c>
      <c r="AO208" s="36">
        <v>45443</v>
      </c>
      <c r="AP208" s="36"/>
      <c r="AQ208" s="36">
        <v>45443</v>
      </c>
      <c r="AR208" s="36">
        <v>45443</v>
      </c>
      <c r="AS208" s="36">
        <v>45443</v>
      </c>
      <c r="AT208" s="36">
        <v>45447</v>
      </c>
      <c r="AU208" s="150"/>
      <c r="AV208" s="151"/>
      <c r="AW208" s="151"/>
      <c r="AX208" s="151"/>
      <c r="AY208" s="151"/>
    </row>
    <row r="209" spans="1:59" ht="21" customHeight="1">
      <c r="A209" s="180">
        <v>812915</v>
      </c>
      <c r="B209" s="181"/>
      <c r="C209" s="182"/>
      <c r="D209" s="182"/>
      <c r="E209" s="182"/>
      <c r="F209" s="43" t="s">
        <v>48</v>
      </c>
      <c r="G209" s="183"/>
      <c r="H209" s="183"/>
      <c r="I209" s="184"/>
      <c r="J209" s="429"/>
      <c r="K209" s="53"/>
      <c r="L209" s="537"/>
      <c r="M209" s="185"/>
      <c r="N209" s="185"/>
      <c r="O209" s="185"/>
      <c r="P209" s="185"/>
      <c r="Q209" s="185"/>
      <c r="R209" s="185"/>
      <c r="S209" s="185"/>
      <c r="T209" s="181"/>
      <c r="U209" s="185"/>
      <c r="V209" s="53">
        <v>45371</v>
      </c>
      <c r="W209" s="53">
        <v>45436</v>
      </c>
      <c r="X209" s="53">
        <v>45381</v>
      </c>
      <c r="Y209" s="53"/>
      <c r="Z209" s="158"/>
      <c r="AA209" s="43"/>
      <c r="AB209" s="43"/>
      <c r="AC209" s="54"/>
      <c r="AD209" s="43"/>
      <c r="AE209" s="170">
        <v>45429</v>
      </c>
      <c r="AF209" s="170">
        <v>45442</v>
      </c>
      <c r="AG209" s="366">
        <v>45433</v>
      </c>
      <c r="AH209" s="116">
        <v>45439</v>
      </c>
      <c r="AI209" s="366">
        <v>45439</v>
      </c>
      <c r="AJ209" s="170">
        <v>45380</v>
      </c>
      <c r="AK209" s="366">
        <v>45385</v>
      </c>
      <c r="AL209" s="366">
        <v>45436</v>
      </c>
      <c r="AM209" s="381">
        <v>45462</v>
      </c>
      <c r="AN209" s="366">
        <v>45418</v>
      </c>
      <c r="AO209" s="366">
        <v>45425</v>
      </c>
      <c r="AP209" s="366"/>
      <c r="AQ209" s="366">
        <v>45425</v>
      </c>
      <c r="AR209" s="366">
        <v>45457</v>
      </c>
      <c r="AS209" s="366">
        <v>45443</v>
      </c>
      <c r="AT209" s="366">
        <v>45457</v>
      </c>
      <c r="AU209" s="150"/>
      <c r="AV209" s="151"/>
      <c r="AW209" s="151"/>
      <c r="AX209" s="151"/>
      <c r="AY209" s="151"/>
    </row>
    <row r="210" spans="1:59" ht="20.25" customHeight="1">
      <c r="A210" s="149">
        <v>822900</v>
      </c>
      <c r="B210" s="29">
        <v>822900</v>
      </c>
      <c r="C210" s="30" t="s">
        <v>42</v>
      </c>
      <c r="D210" s="30"/>
      <c r="E210" s="30"/>
      <c r="F210" s="31" t="s">
        <v>43</v>
      </c>
      <c r="G210" s="50">
        <v>300</v>
      </c>
      <c r="H210" s="50">
        <v>275</v>
      </c>
      <c r="I210" s="34">
        <v>1</v>
      </c>
      <c r="J210" s="329" t="s">
        <v>383</v>
      </c>
      <c r="K210" s="31" t="s">
        <v>384</v>
      </c>
      <c r="L210" s="161"/>
      <c r="M210" s="30"/>
      <c r="N210" s="323" t="s">
        <v>336</v>
      </c>
      <c r="O210" s="316" t="s">
        <v>72</v>
      </c>
      <c r="P210" s="316" t="s">
        <v>364</v>
      </c>
      <c r="Q210" s="30"/>
      <c r="R210" s="30" t="s">
        <v>354</v>
      </c>
      <c r="S210" s="30" t="s">
        <v>361</v>
      </c>
      <c r="T210" s="330" t="s">
        <v>370</v>
      </c>
      <c r="U210" s="323" t="s">
        <v>354</v>
      </c>
      <c r="V210" s="36">
        <v>45329</v>
      </c>
      <c r="W210" s="89">
        <f>V211+30</f>
        <v>45396</v>
      </c>
      <c r="X210" s="36">
        <v>45381</v>
      </c>
      <c r="Y210" s="89">
        <f>X210+30</f>
        <v>45411</v>
      </c>
      <c r="Z210" s="161"/>
      <c r="AB210" s="31" t="s">
        <v>385</v>
      </c>
      <c r="AC210" s="37">
        <v>1</v>
      </c>
      <c r="AD210" s="31" t="s">
        <v>72</v>
      </c>
      <c r="AE210" s="36">
        <v>45421</v>
      </c>
      <c r="AF210" s="36">
        <v>45441</v>
      </c>
      <c r="AG210" s="36">
        <v>45442</v>
      </c>
      <c r="AH210" s="36">
        <v>45442</v>
      </c>
      <c r="AI210" s="36">
        <v>45443</v>
      </c>
      <c r="AJ210" s="36">
        <v>45358</v>
      </c>
      <c r="AK210" s="36">
        <v>45321</v>
      </c>
      <c r="AL210" s="36">
        <v>45443</v>
      </c>
      <c r="AM210" s="36">
        <v>45443</v>
      </c>
      <c r="AN210" s="38">
        <v>45357</v>
      </c>
      <c r="AO210" s="36">
        <v>45443</v>
      </c>
      <c r="AP210" s="36"/>
      <c r="AQ210" s="36">
        <v>45443</v>
      </c>
      <c r="AR210" s="36">
        <v>45455</v>
      </c>
      <c r="AS210" s="36">
        <v>45458</v>
      </c>
      <c r="AT210" s="38">
        <v>45460</v>
      </c>
      <c r="AU210" s="150"/>
      <c r="AV210" s="151"/>
      <c r="AW210" s="151"/>
      <c r="AX210" s="151"/>
      <c r="AY210" s="151"/>
    </row>
    <row r="211" spans="1:59" ht="21" customHeight="1" thickBot="1">
      <c r="A211" s="134">
        <v>822900</v>
      </c>
      <c r="B211" s="135"/>
      <c r="C211" s="136"/>
      <c r="D211" s="136"/>
      <c r="E211" s="136"/>
      <c r="F211" s="137" t="s">
        <v>48</v>
      </c>
      <c r="G211" s="138"/>
      <c r="H211" s="138"/>
      <c r="I211" s="138"/>
      <c r="J211" s="140"/>
      <c r="K211" s="141"/>
      <c r="L211" s="540"/>
      <c r="M211" s="136"/>
      <c r="N211" s="136"/>
      <c r="O211" s="136"/>
      <c r="P211" s="136"/>
      <c r="Q211" s="136"/>
      <c r="R211" s="136"/>
      <c r="S211" s="136"/>
      <c r="T211" s="135"/>
      <c r="U211" s="136"/>
      <c r="V211" s="61">
        <v>45366</v>
      </c>
      <c r="W211" s="61">
        <v>45397</v>
      </c>
      <c r="X211" s="61">
        <v>45407</v>
      </c>
      <c r="Y211" s="61"/>
      <c r="Z211" s="356"/>
      <c r="AA211" s="137"/>
      <c r="AB211" s="137" t="s">
        <v>386</v>
      </c>
      <c r="AC211" s="193"/>
      <c r="AD211" s="137"/>
      <c r="AE211" s="147">
        <v>45421</v>
      </c>
      <c r="AF211" s="382">
        <v>45439</v>
      </c>
      <c r="AG211" s="382">
        <v>45442</v>
      </c>
      <c r="AH211" s="382">
        <v>45442</v>
      </c>
      <c r="AI211" s="382">
        <v>45442</v>
      </c>
      <c r="AJ211" s="147">
        <v>45358</v>
      </c>
      <c r="AK211" s="382">
        <v>45317</v>
      </c>
      <c r="AL211" s="383" t="s">
        <v>536</v>
      </c>
      <c r="AM211" s="384">
        <v>45458</v>
      </c>
      <c r="AN211" s="385">
        <v>45402</v>
      </c>
      <c r="AO211" s="382">
        <v>45447</v>
      </c>
      <c r="AP211" s="382"/>
      <c r="AQ211" s="382">
        <v>45447</v>
      </c>
      <c r="AR211" s="382">
        <v>45451</v>
      </c>
      <c r="AS211" s="386">
        <v>45457</v>
      </c>
      <c r="AT211" s="385">
        <v>45461</v>
      </c>
      <c r="AU211" s="194"/>
      <c r="AV211" s="151"/>
      <c r="AW211" s="151"/>
      <c r="AX211" s="151"/>
      <c r="AY211" s="151"/>
    </row>
    <row r="212" spans="1:59" ht="16.5" customHeight="1" thickBot="1">
      <c r="A212" s="357"/>
      <c r="B212" s="357"/>
      <c r="C212" s="364"/>
      <c r="D212" s="357"/>
      <c r="E212" s="357"/>
      <c r="F212" s="357"/>
      <c r="G212" s="357"/>
      <c r="H212" s="357"/>
      <c r="I212" s="357"/>
      <c r="J212" s="444"/>
      <c r="K212" s="357"/>
      <c r="L212" s="357"/>
      <c r="M212" s="357"/>
      <c r="N212" s="357"/>
      <c r="O212" s="357"/>
      <c r="P212" s="357"/>
      <c r="Q212" s="357"/>
      <c r="R212" s="357"/>
      <c r="S212" s="357"/>
      <c r="T212" s="357"/>
      <c r="U212" s="364"/>
      <c r="V212" s="364"/>
      <c r="W212" s="364"/>
      <c r="X212" s="364"/>
      <c r="Y212" s="364"/>
      <c r="Z212" s="364"/>
      <c r="AA212" s="357"/>
      <c r="AB212" s="357"/>
      <c r="AC212" s="357"/>
      <c r="AD212" s="357"/>
      <c r="AE212" s="357"/>
      <c r="AF212" s="357"/>
      <c r="AG212" s="357"/>
      <c r="AH212" s="357"/>
      <c r="AI212" s="357"/>
      <c r="AJ212" s="357"/>
      <c r="AK212" s="357"/>
      <c r="AL212" s="357"/>
      <c r="AM212" s="357"/>
      <c r="AN212" s="357"/>
      <c r="AO212" s="357"/>
      <c r="AP212" s="357"/>
      <c r="AQ212" s="357"/>
      <c r="AR212" s="357"/>
      <c r="AS212" s="357"/>
      <c r="AT212" s="357"/>
      <c r="AU212" s="357"/>
      <c r="AV212" s="27"/>
      <c r="AW212" s="27"/>
      <c r="AX212" s="27"/>
      <c r="AY212" s="27"/>
    </row>
    <row r="213" spans="1:59" ht="24" customHeight="1">
      <c r="A213" s="102">
        <v>812853</v>
      </c>
      <c r="B213" s="103">
        <v>812853</v>
      </c>
      <c r="C213" s="349" t="s">
        <v>55</v>
      </c>
      <c r="D213" s="351">
        <v>0.3</v>
      </c>
      <c r="E213" s="351">
        <v>0</v>
      </c>
      <c r="F213" s="105" t="s">
        <v>43</v>
      </c>
      <c r="G213" s="215">
        <v>180</v>
      </c>
      <c r="H213" s="215">
        <v>220</v>
      </c>
      <c r="I213" s="106">
        <v>1</v>
      </c>
      <c r="J213" s="445" t="s">
        <v>392</v>
      </c>
      <c r="K213" s="214" t="s">
        <v>231</v>
      </c>
      <c r="L213" s="548"/>
      <c r="M213" s="352"/>
      <c r="N213" s="323" t="s">
        <v>492</v>
      </c>
      <c r="O213" s="240"/>
      <c r="P213" s="407" t="s">
        <v>489</v>
      </c>
      <c r="Q213" s="352"/>
      <c r="R213" s="240" t="s">
        <v>354</v>
      </c>
      <c r="S213" s="240" t="s">
        <v>354</v>
      </c>
      <c r="T213" s="353"/>
      <c r="U213" s="372" t="s">
        <v>354</v>
      </c>
      <c r="V213" s="36">
        <v>45390</v>
      </c>
      <c r="W213" s="36">
        <f>V213+15</f>
        <v>45405</v>
      </c>
      <c r="X213" s="36">
        <v>45402</v>
      </c>
      <c r="Y213" s="36">
        <f>X213+15</f>
        <v>45417</v>
      </c>
      <c r="Z213" s="157"/>
      <c r="AA213" s="105"/>
      <c r="AB213" s="105"/>
      <c r="AC213" s="354">
        <v>1</v>
      </c>
      <c r="AD213" s="105"/>
      <c r="AE213" s="108">
        <v>45443</v>
      </c>
      <c r="AF213" s="108">
        <v>45451</v>
      </c>
      <c r="AG213" s="108">
        <v>45449</v>
      </c>
      <c r="AH213" s="108">
        <v>45449</v>
      </c>
      <c r="AI213" s="108">
        <v>45457</v>
      </c>
      <c r="AJ213" s="355">
        <v>45412</v>
      </c>
      <c r="AK213" s="108">
        <v>45385</v>
      </c>
      <c r="AL213" s="108">
        <v>45457</v>
      </c>
      <c r="AM213" s="108">
        <v>45457</v>
      </c>
      <c r="AN213" s="108">
        <v>45425</v>
      </c>
      <c r="AO213" s="108">
        <v>45457</v>
      </c>
      <c r="AP213" s="108"/>
      <c r="AQ213" s="108">
        <v>45457</v>
      </c>
      <c r="AR213" s="108">
        <v>45461</v>
      </c>
      <c r="AS213" s="108">
        <v>45461</v>
      </c>
      <c r="AT213" s="108">
        <v>45463</v>
      </c>
      <c r="AU213" s="195"/>
      <c r="AV213" s="151"/>
      <c r="AW213" s="151"/>
      <c r="AX213" s="151"/>
      <c r="AY213" s="151"/>
    </row>
    <row r="214" spans="1:59" ht="18" customHeight="1">
      <c r="A214" s="40">
        <v>812853</v>
      </c>
      <c r="B214" s="41"/>
      <c r="C214" s="42">
        <v>812177</v>
      </c>
      <c r="D214" s="42"/>
      <c r="E214" s="42"/>
      <c r="F214" s="43" t="s">
        <v>48</v>
      </c>
      <c r="G214" s="59"/>
      <c r="H214" s="59"/>
      <c r="I214" s="44"/>
      <c r="J214" s="52"/>
      <c r="K214" s="53"/>
      <c r="L214" s="537"/>
      <c r="M214" s="42"/>
      <c r="N214" s="42"/>
      <c r="O214" s="42"/>
      <c r="P214" s="42"/>
      <c r="Q214" s="42"/>
      <c r="R214" s="42"/>
      <c r="S214" s="42"/>
      <c r="T214" s="41"/>
      <c r="U214" s="42"/>
      <c r="V214" s="53">
        <v>45390</v>
      </c>
      <c r="W214" s="53">
        <v>45464</v>
      </c>
      <c r="X214" s="53">
        <v>45402</v>
      </c>
      <c r="Y214" s="53">
        <v>45455</v>
      </c>
      <c r="Z214" s="158"/>
      <c r="AA214" s="43"/>
      <c r="AB214" s="43"/>
      <c r="AC214" s="54"/>
      <c r="AD214" s="43"/>
      <c r="AE214" s="116">
        <v>45443</v>
      </c>
      <c r="AF214" s="223">
        <v>45456</v>
      </c>
      <c r="AG214" s="223">
        <v>45412</v>
      </c>
      <c r="AH214" s="223">
        <v>45411</v>
      </c>
      <c r="AI214" s="380">
        <v>45457</v>
      </c>
      <c r="AJ214" s="223">
        <v>45407</v>
      </c>
      <c r="AK214" s="223">
        <v>45385</v>
      </c>
      <c r="AL214" s="223">
        <v>45449</v>
      </c>
      <c r="AM214" s="223">
        <v>45456</v>
      </c>
      <c r="AN214" s="223">
        <v>45391</v>
      </c>
      <c r="AO214" s="223">
        <v>45449</v>
      </c>
      <c r="AP214" s="223"/>
      <c r="AQ214" s="223">
        <v>45449</v>
      </c>
      <c r="AR214" s="116">
        <v>45457</v>
      </c>
      <c r="AS214" s="116">
        <v>45456</v>
      </c>
      <c r="AT214" s="116">
        <v>45467</v>
      </c>
      <c r="AU214" s="150"/>
      <c r="AV214" s="151"/>
      <c r="AW214" s="151"/>
      <c r="AX214" s="151"/>
      <c r="AY214" s="151"/>
    </row>
    <row r="215" spans="1:59" ht="21.75" customHeight="1">
      <c r="A215" s="152">
        <v>812867</v>
      </c>
      <c r="B215" s="29">
        <v>812867</v>
      </c>
      <c r="C215" s="30" t="s">
        <v>42</v>
      </c>
      <c r="D215" s="153"/>
      <c r="E215" s="30"/>
      <c r="F215" s="31" t="s">
        <v>43</v>
      </c>
      <c r="G215" s="33">
        <v>250</v>
      </c>
      <c r="H215" s="33">
        <v>220</v>
      </c>
      <c r="I215" s="34">
        <v>1</v>
      </c>
      <c r="J215" s="445" t="s">
        <v>393</v>
      </c>
      <c r="K215" s="81" t="s">
        <v>464</v>
      </c>
      <c r="L215" s="538"/>
      <c r="M215" s="30"/>
      <c r="N215" s="323" t="s">
        <v>336</v>
      </c>
      <c r="O215" s="323" t="s">
        <v>72</v>
      </c>
      <c r="P215" s="323" t="s">
        <v>394</v>
      </c>
      <c r="Q215" s="30"/>
      <c r="R215" s="30" t="s">
        <v>354</v>
      </c>
      <c r="S215" s="30" t="s">
        <v>361</v>
      </c>
      <c r="T215" s="29" t="s">
        <v>370</v>
      </c>
      <c r="U215" s="323" t="s">
        <v>354</v>
      </c>
      <c r="V215" s="36">
        <v>45347</v>
      </c>
      <c r="W215" s="36">
        <v>45381</v>
      </c>
      <c r="X215" s="36">
        <v>45347</v>
      </c>
      <c r="Y215" s="36">
        <v>45381</v>
      </c>
      <c r="Z215" s="161"/>
      <c r="AA215" s="31"/>
      <c r="AB215" s="31"/>
      <c r="AC215" s="37">
        <v>1</v>
      </c>
      <c r="AD215" s="31"/>
      <c r="AE215" s="36">
        <v>45448</v>
      </c>
      <c r="AF215" s="36">
        <v>45457</v>
      </c>
      <c r="AG215" s="36">
        <v>45460</v>
      </c>
      <c r="AH215" s="36">
        <v>45460</v>
      </c>
      <c r="AI215" s="36">
        <v>45468</v>
      </c>
      <c r="AJ215" s="36">
        <v>45365</v>
      </c>
      <c r="AK215" s="36" t="s">
        <v>395</v>
      </c>
      <c r="AL215" s="36">
        <v>45468</v>
      </c>
      <c r="AM215" s="36">
        <v>45468</v>
      </c>
      <c r="AN215" s="36">
        <v>45429</v>
      </c>
      <c r="AO215" s="36">
        <v>45468</v>
      </c>
      <c r="AP215" s="36"/>
      <c r="AQ215" s="36">
        <v>45468</v>
      </c>
      <c r="AR215" s="36">
        <v>45470</v>
      </c>
      <c r="AS215" s="36">
        <v>45470</v>
      </c>
      <c r="AT215" s="36">
        <v>45473</v>
      </c>
      <c r="AU215" s="228"/>
      <c r="AV215" s="151"/>
      <c r="AW215" s="151"/>
      <c r="AX215" s="151"/>
      <c r="AY215" s="151"/>
      <c r="AZ215" s="6" t="s">
        <v>264</v>
      </c>
      <c r="BA215" s="6">
        <v>4</v>
      </c>
    </row>
    <row r="216" spans="1:59" ht="18" customHeight="1">
      <c r="A216" s="40">
        <v>812867</v>
      </c>
      <c r="B216" s="41"/>
      <c r="C216" s="42"/>
      <c r="D216" s="42"/>
      <c r="E216" s="42"/>
      <c r="F216" s="43" t="s">
        <v>48</v>
      </c>
      <c r="G216" s="59"/>
      <c r="H216" s="59"/>
      <c r="I216" s="44"/>
      <c r="J216" s="52"/>
      <c r="K216" s="53"/>
      <c r="L216" s="537"/>
      <c r="M216" s="42"/>
      <c r="N216" s="42"/>
      <c r="O216" s="42"/>
      <c r="P216" s="42"/>
      <c r="Q216" s="42"/>
      <c r="R216" s="42"/>
      <c r="S216" s="42"/>
      <c r="T216" s="41"/>
      <c r="U216" s="42"/>
      <c r="V216" s="53">
        <v>45348</v>
      </c>
      <c r="W216" s="53">
        <v>45383</v>
      </c>
      <c r="X216" s="53">
        <v>45363</v>
      </c>
      <c r="Y216" s="53">
        <v>45386</v>
      </c>
      <c r="Z216" s="158"/>
      <c r="AA216" s="43"/>
      <c r="AB216" s="43"/>
      <c r="AC216" s="54"/>
      <c r="AD216" s="43"/>
      <c r="AE216" s="116">
        <v>45448</v>
      </c>
      <c r="AF216" s="118" t="s">
        <v>523</v>
      </c>
      <c r="AG216" s="366">
        <v>45454</v>
      </c>
      <c r="AH216" s="367" t="s">
        <v>532</v>
      </c>
      <c r="AI216" s="367" t="s">
        <v>529</v>
      </c>
      <c r="AJ216" s="223">
        <v>45357</v>
      </c>
      <c r="AK216" s="223">
        <v>45365</v>
      </c>
      <c r="AL216" s="223">
        <v>45468</v>
      </c>
      <c r="AM216" s="223">
        <v>45468</v>
      </c>
      <c r="AN216" s="223">
        <v>45397</v>
      </c>
      <c r="AO216" s="223" t="s">
        <v>533</v>
      </c>
      <c r="AP216" s="223"/>
      <c r="AQ216" s="223" t="s">
        <v>533</v>
      </c>
      <c r="AR216" s="223">
        <v>45470</v>
      </c>
      <c r="AS216" s="223">
        <v>45475</v>
      </c>
      <c r="AT216" s="223">
        <v>45478</v>
      </c>
      <c r="AU216" s="47"/>
      <c r="AV216" s="151"/>
      <c r="AW216" s="151"/>
      <c r="AX216" s="151"/>
      <c r="AY216" s="151"/>
      <c r="AZ216" s="6" t="s">
        <v>265</v>
      </c>
      <c r="BA216" s="6">
        <v>1</v>
      </c>
      <c r="BD216" t="s">
        <v>579</v>
      </c>
      <c r="BE216" t="s">
        <v>264</v>
      </c>
      <c r="BF216" t="s">
        <v>265</v>
      </c>
      <c r="BG216" t="s">
        <v>252</v>
      </c>
    </row>
    <row r="217" spans="1:59" ht="20.25" customHeight="1">
      <c r="A217" s="152">
        <v>812869</v>
      </c>
      <c r="B217" s="29">
        <v>812869</v>
      </c>
      <c r="C217" s="30" t="s">
        <v>42</v>
      </c>
      <c r="D217" s="153"/>
      <c r="E217" s="30"/>
      <c r="F217" s="31" t="s">
        <v>43</v>
      </c>
      <c r="G217" s="33">
        <v>240</v>
      </c>
      <c r="H217" s="33">
        <v>220</v>
      </c>
      <c r="I217" s="34">
        <v>1</v>
      </c>
      <c r="J217" s="430" t="s">
        <v>396</v>
      </c>
      <c r="K217" s="32" t="s">
        <v>66</v>
      </c>
      <c r="L217" s="547"/>
      <c r="M217" s="30"/>
      <c r="N217" s="323" t="s">
        <v>336</v>
      </c>
      <c r="O217" s="323" t="s">
        <v>72</v>
      </c>
      <c r="P217" s="323" t="s">
        <v>394</v>
      </c>
      <c r="Q217" s="30"/>
      <c r="R217" s="30" t="s">
        <v>354</v>
      </c>
      <c r="S217" s="30" t="s">
        <v>361</v>
      </c>
      <c r="T217" s="29" t="s">
        <v>397</v>
      </c>
      <c r="U217" s="316" t="s">
        <v>354</v>
      </c>
      <c r="V217" s="36">
        <v>45394</v>
      </c>
      <c r="W217" s="36">
        <f>V217+30</f>
        <v>45424</v>
      </c>
      <c r="X217" s="36">
        <v>45394</v>
      </c>
      <c r="Y217" s="36">
        <f>X217+30</f>
        <v>45424</v>
      </c>
      <c r="Z217" s="161"/>
      <c r="AA217" s="31"/>
      <c r="AB217" s="31"/>
      <c r="AC217" s="37">
        <v>1</v>
      </c>
      <c r="AD217" s="31"/>
      <c r="AE217" s="36">
        <v>45461</v>
      </c>
      <c r="AF217" s="36">
        <v>45461</v>
      </c>
      <c r="AG217" s="36">
        <v>45467</v>
      </c>
      <c r="AH217" s="36">
        <v>45467</v>
      </c>
      <c r="AI217" s="36">
        <v>45470</v>
      </c>
      <c r="AJ217" s="36">
        <v>45364</v>
      </c>
      <c r="AK217" s="36" t="s">
        <v>398</v>
      </c>
      <c r="AL217" s="36">
        <v>45470</v>
      </c>
      <c r="AM217" s="36">
        <v>45470</v>
      </c>
      <c r="AN217" s="36">
        <v>45427</v>
      </c>
      <c r="AO217" s="36">
        <v>45470</v>
      </c>
      <c r="AP217" s="36"/>
      <c r="AQ217" s="36">
        <v>45470</v>
      </c>
      <c r="AR217" s="36">
        <v>45470</v>
      </c>
      <c r="AS217" s="36">
        <v>45470</v>
      </c>
      <c r="AT217" s="36">
        <v>45473</v>
      </c>
      <c r="AU217" s="150"/>
      <c r="AV217" s="151"/>
      <c r="AW217" s="151"/>
      <c r="AX217" s="151"/>
      <c r="AY217" s="151"/>
      <c r="BE217" s="6">
        <v>37</v>
      </c>
      <c r="BF217" s="6">
        <v>21</v>
      </c>
      <c r="BG217" s="398">
        <f>BE217/58</f>
        <v>0.63793103448275867</v>
      </c>
    </row>
    <row r="218" spans="1:59" ht="18.75" customHeight="1">
      <c r="A218" s="40">
        <v>812869</v>
      </c>
      <c r="B218" s="41"/>
      <c r="C218" s="42"/>
      <c r="D218" s="42"/>
      <c r="E218" s="42"/>
      <c r="F218" s="43" t="s">
        <v>48</v>
      </c>
      <c r="G218" s="59"/>
      <c r="H218" s="59"/>
      <c r="I218" s="44"/>
      <c r="J218" s="52"/>
      <c r="K218" s="53"/>
      <c r="L218" s="537"/>
      <c r="M218" s="42"/>
      <c r="N218" s="42"/>
      <c r="O218" s="42"/>
      <c r="P218" s="42"/>
      <c r="Q218" s="42"/>
      <c r="R218" s="42"/>
      <c r="S218" s="42"/>
      <c r="T218" s="41"/>
      <c r="U218" s="42"/>
      <c r="V218" s="53">
        <v>45399</v>
      </c>
      <c r="W218" s="53">
        <v>45420</v>
      </c>
      <c r="X218" s="53">
        <v>45399</v>
      </c>
      <c r="Y218" s="53" t="s">
        <v>520</v>
      </c>
      <c r="Z218" s="158"/>
      <c r="AA218" s="43"/>
      <c r="AB218" s="43"/>
      <c r="AC218" s="54"/>
      <c r="AD218" s="43"/>
      <c r="AE218" s="46">
        <v>45460</v>
      </c>
      <c r="AF218" s="46">
        <v>45460</v>
      </c>
      <c r="AG218" s="46">
        <v>45460</v>
      </c>
      <c r="AH218" s="46">
        <v>45460</v>
      </c>
      <c r="AI218" s="46">
        <v>45467</v>
      </c>
      <c r="AJ218" s="223">
        <v>45351</v>
      </c>
      <c r="AK218" s="116">
        <v>45303</v>
      </c>
      <c r="AL218" s="223">
        <v>45461</v>
      </c>
      <c r="AM218" s="223">
        <v>45470</v>
      </c>
      <c r="AN218" s="223">
        <v>45404</v>
      </c>
      <c r="AO218" s="46">
        <v>45458</v>
      </c>
      <c r="AP218" s="46"/>
      <c r="AQ218" s="46">
        <v>45458</v>
      </c>
      <c r="AR218" s="46">
        <v>45470</v>
      </c>
      <c r="AS218" s="46">
        <v>45470</v>
      </c>
      <c r="AT218" s="46">
        <v>45473</v>
      </c>
      <c r="AU218" s="47" t="s">
        <v>496</v>
      </c>
      <c r="AV218" s="151"/>
      <c r="AW218" s="151"/>
      <c r="AX218" s="151"/>
      <c r="AY218" s="151"/>
    </row>
    <row r="219" spans="1:59" ht="22.5" customHeight="1">
      <c r="A219" s="152">
        <v>812901</v>
      </c>
      <c r="B219" s="29" t="s">
        <v>387</v>
      </c>
      <c r="C219" s="30" t="s">
        <v>42</v>
      </c>
      <c r="D219" s="153"/>
      <c r="E219" s="30"/>
      <c r="F219" s="31" t="s">
        <v>43</v>
      </c>
      <c r="G219" s="33">
        <v>140</v>
      </c>
      <c r="H219" s="33">
        <v>220</v>
      </c>
      <c r="I219" s="34">
        <v>10</v>
      </c>
      <c r="J219" s="428" t="s">
        <v>388</v>
      </c>
      <c r="K219" s="32" t="s">
        <v>45</v>
      </c>
      <c r="L219" s="547"/>
      <c r="M219" s="30"/>
      <c r="N219" s="323" t="s">
        <v>336</v>
      </c>
      <c r="O219" s="323" t="s">
        <v>72</v>
      </c>
      <c r="P219" s="316" t="s">
        <v>389</v>
      </c>
      <c r="Q219" s="30"/>
      <c r="R219" s="30" t="s">
        <v>354</v>
      </c>
      <c r="S219" s="30" t="s">
        <v>361</v>
      </c>
      <c r="T219" s="29" t="s">
        <v>390</v>
      </c>
      <c r="U219" s="323" t="s">
        <v>354</v>
      </c>
      <c r="V219" s="36">
        <v>45350</v>
      </c>
      <c r="W219" s="36">
        <f>V219+30</f>
        <v>45380</v>
      </c>
      <c r="X219" s="36">
        <v>45350</v>
      </c>
      <c r="Y219" s="36">
        <f>X219+30</f>
        <v>45380</v>
      </c>
      <c r="Z219" s="161"/>
      <c r="AA219" s="31"/>
      <c r="AB219" s="31"/>
      <c r="AC219" s="37">
        <v>1</v>
      </c>
      <c r="AD219" s="31"/>
      <c r="AE219" s="378" t="s">
        <v>523</v>
      </c>
      <c r="AF219" s="378" t="s">
        <v>524</v>
      </c>
      <c r="AG219" s="378" t="s">
        <v>524</v>
      </c>
      <c r="AH219" s="378" t="s">
        <v>524</v>
      </c>
      <c r="AI219" s="378" t="s">
        <v>524</v>
      </c>
      <c r="AJ219" s="379">
        <v>37857</v>
      </c>
      <c r="AK219" s="379">
        <v>37949</v>
      </c>
      <c r="AL219" s="378" t="s">
        <v>525</v>
      </c>
      <c r="AM219" s="36">
        <v>45473</v>
      </c>
      <c r="AN219" s="378" t="s">
        <v>526</v>
      </c>
      <c r="AO219" s="378" t="s">
        <v>525</v>
      </c>
      <c r="AP219" s="378"/>
      <c r="AQ219" s="378" t="s">
        <v>525</v>
      </c>
      <c r="AR219" s="379">
        <v>45483</v>
      </c>
      <c r="AS219" s="378" t="s">
        <v>527</v>
      </c>
      <c r="AT219" s="378" t="s">
        <v>528</v>
      </c>
      <c r="AU219" s="150"/>
      <c r="AV219" s="151"/>
      <c r="AW219" s="151"/>
      <c r="AX219" s="151"/>
      <c r="AY219" s="151"/>
    </row>
    <row r="220" spans="1:59" ht="21.75" customHeight="1">
      <c r="A220" s="40">
        <v>812901</v>
      </c>
      <c r="B220" s="41"/>
      <c r="C220" s="42"/>
      <c r="D220" s="42"/>
      <c r="E220" s="42"/>
      <c r="F220" s="43" t="s">
        <v>48</v>
      </c>
      <c r="G220" s="59"/>
      <c r="H220" s="59"/>
      <c r="I220" s="44"/>
      <c r="J220" s="52"/>
      <c r="K220" s="53"/>
      <c r="L220" s="537"/>
      <c r="M220" s="42"/>
      <c r="N220" s="42"/>
      <c r="O220" s="42"/>
      <c r="P220" s="42"/>
      <c r="Q220" s="42"/>
      <c r="R220" s="42"/>
      <c r="S220" s="42"/>
      <c r="T220" s="41"/>
      <c r="U220" s="42"/>
      <c r="V220" s="53">
        <v>45352</v>
      </c>
      <c r="W220" s="53">
        <v>45463</v>
      </c>
      <c r="X220" s="53">
        <v>45362</v>
      </c>
      <c r="Y220" s="53" t="s">
        <v>512</v>
      </c>
      <c r="Z220" s="158"/>
      <c r="AA220" s="343" t="s">
        <v>391</v>
      </c>
      <c r="AB220" s="343" t="s">
        <v>466</v>
      </c>
      <c r="AC220" s="54"/>
      <c r="AD220" s="43"/>
      <c r="AE220" s="116">
        <v>45454</v>
      </c>
      <c r="AF220" s="116">
        <v>45471</v>
      </c>
      <c r="AG220" s="366">
        <v>45464</v>
      </c>
      <c r="AH220" s="366">
        <v>45469</v>
      </c>
      <c r="AI220" s="366">
        <v>45469</v>
      </c>
      <c r="AJ220" s="366">
        <v>45344</v>
      </c>
      <c r="AK220" s="116">
        <v>45362</v>
      </c>
      <c r="AL220" s="366">
        <v>45103</v>
      </c>
      <c r="AM220" s="366">
        <v>45473</v>
      </c>
      <c r="AN220" s="366">
        <v>45372</v>
      </c>
      <c r="AO220" s="366">
        <v>45103</v>
      </c>
      <c r="AP220" s="366"/>
      <c r="AQ220" s="366">
        <v>45103</v>
      </c>
      <c r="AR220" s="366">
        <v>45482</v>
      </c>
      <c r="AS220" s="366">
        <v>45490</v>
      </c>
      <c r="AT220" s="366">
        <v>45491</v>
      </c>
      <c r="AU220" s="150"/>
      <c r="AV220" s="151"/>
      <c r="AW220" s="151"/>
      <c r="AX220" s="151"/>
      <c r="AY220" s="151"/>
    </row>
    <row r="221" spans="1:59" ht="18.75" customHeight="1">
      <c r="A221" s="95">
        <v>812973</v>
      </c>
      <c r="B221" s="29">
        <v>812973</v>
      </c>
      <c r="C221" s="30" t="s">
        <v>483</v>
      </c>
      <c r="D221" s="153">
        <v>1</v>
      </c>
      <c r="E221" s="153">
        <v>0.9</v>
      </c>
      <c r="F221" s="31" t="s">
        <v>43</v>
      </c>
      <c r="G221" s="33">
        <v>315</v>
      </c>
      <c r="H221" s="33">
        <v>275</v>
      </c>
      <c r="I221" s="34">
        <v>1</v>
      </c>
      <c r="J221" s="446" t="s">
        <v>485</v>
      </c>
      <c r="K221" s="66"/>
      <c r="L221" s="157"/>
      <c r="M221" s="30"/>
      <c r="N221" s="323" t="s">
        <v>486</v>
      </c>
      <c r="O221" s="323" t="s">
        <v>72</v>
      </c>
      <c r="P221" s="323" t="s">
        <v>487</v>
      </c>
      <c r="Q221" s="323" t="s">
        <v>488</v>
      </c>
      <c r="R221" s="30"/>
      <c r="S221" s="30"/>
      <c r="T221" s="29"/>
      <c r="U221" s="30" t="s">
        <v>354</v>
      </c>
      <c r="V221" s="36">
        <v>45441</v>
      </c>
      <c r="W221" s="36">
        <f>V221+15</f>
        <v>45456</v>
      </c>
      <c r="X221" s="36">
        <v>45449</v>
      </c>
      <c r="Y221" s="36">
        <f>X221+15</f>
        <v>45464</v>
      </c>
      <c r="Z221" s="66"/>
      <c r="AA221" s="31"/>
      <c r="AB221" s="31"/>
      <c r="AC221" s="37">
        <v>1</v>
      </c>
      <c r="AD221" s="31"/>
      <c r="AE221" s="36">
        <v>45455</v>
      </c>
      <c r="AF221" s="36">
        <v>45471</v>
      </c>
      <c r="AG221" s="36">
        <v>45471</v>
      </c>
      <c r="AH221" s="36">
        <v>45471</v>
      </c>
      <c r="AI221" s="36">
        <v>45471</v>
      </c>
      <c r="AJ221" s="38">
        <v>45442</v>
      </c>
      <c r="AK221" s="38">
        <v>45442</v>
      </c>
      <c r="AL221" s="36">
        <v>45471</v>
      </c>
      <c r="AM221" s="36">
        <v>45471</v>
      </c>
      <c r="AN221" s="38">
        <v>45442</v>
      </c>
      <c r="AO221" s="36">
        <v>45471</v>
      </c>
      <c r="AP221" s="36"/>
      <c r="AQ221" s="36">
        <v>45471</v>
      </c>
      <c r="AR221" s="36">
        <v>45471</v>
      </c>
      <c r="AS221" s="36">
        <v>45471</v>
      </c>
      <c r="AT221" s="36">
        <v>45471</v>
      </c>
      <c r="AU221" s="150"/>
      <c r="AV221" s="151"/>
      <c r="AW221" s="151"/>
      <c r="AX221" s="151"/>
      <c r="AY221" s="151"/>
    </row>
    <row r="222" spans="1:59" ht="18" customHeight="1" thickBot="1">
      <c r="A222" s="40">
        <f>IF(A221="","",A221)</f>
        <v>812973</v>
      </c>
      <c r="B222" s="41"/>
      <c r="C222" s="42">
        <v>812788</v>
      </c>
      <c r="D222" s="42"/>
      <c r="E222" s="42"/>
      <c r="F222" s="43" t="s">
        <v>48</v>
      </c>
      <c r="G222" s="59"/>
      <c r="H222" s="59"/>
      <c r="I222" s="44"/>
      <c r="J222" s="52"/>
      <c r="K222" s="53"/>
      <c r="L222" s="537"/>
      <c r="M222" s="42"/>
      <c r="N222" s="42"/>
      <c r="O222" s="42"/>
      <c r="P222" s="42"/>
      <c r="Q222" s="42"/>
      <c r="R222" s="42"/>
      <c r="S222" s="42"/>
      <c r="T222" s="41"/>
      <c r="U222" s="42"/>
      <c r="V222" s="53">
        <v>45441</v>
      </c>
      <c r="W222" s="53">
        <v>45457</v>
      </c>
      <c r="X222" s="53">
        <v>45449</v>
      </c>
      <c r="Y222" s="53">
        <v>45499</v>
      </c>
      <c r="Z222" s="43"/>
      <c r="AA222" s="43"/>
      <c r="AB222" s="43"/>
      <c r="AC222" s="54"/>
      <c r="AD222" s="43"/>
      <c r="AE222" s="116">
        <v>45455</v>
      </c>
      <c r="AF222" s="366">
        <v>45469</v>
      </c>
      <c r="AG222" s="366">
        <v>45469</v>
      </c>
      <c r="AH222" s="366">
        <v>45469</v>
      </c>
      <c r="AI222" s="366">
        <v>45469</v>
      </c>
      <c r="AJ222" s="367" t="s">
        <v>531</v>
      </c>
      <c r="AK222" s="367" t="s">
        <v>531</v>
      </c>
      <c r="AL222" s="367" t="s">
        <v>530</v>
      </c>
      <c r="AM222" s="367" t="s">
        <v>532</v>
      </c>
      <c r="AN222" s="367" t="s">
        <v>531</v>
      </c>
      <c r="AO222" s="366">
        <v>45469</v>
      </c>
      <c r="AP222" s="366"/>
      <c r="AQ222" s="366">
        <v>45469</v>
      </c>
      <c r="AR222" s="366">
        <v>45469</v>
      </c>
      <c r="AS222" s="366">
        <v>45469</v>
      </c>
      <c r="AT222" s="366">
        <v>45469</v>
      </c>
      <c r="AU222" s="194"/>
      <c r="AV222" s="151"/>
      <c r="AW222" s="151"/>
      <c r="AX222" s="151"/>
      <c r="AY222" s="151"/>
    </row>
    <row r="223" spans="1:59" ht="16.5" customHeight="1" thickBot="1">
      <c r="A223" s="364"/>
      <c r="B223" s="364"/>
      <c r="C223" s="364"/>
      <c r="D223" s="364"/>
      <c r="E223" s="364"/>
      <c r="F223" s="364"/>
      <c r="G223" s="364"/>
      <c r="H223" s="364"/>
      <c r="I223" s="364"/>
      <c r="J223" s="444"/>
      <c r="K223" s="364"/>
      <c r="L223" s="364"/>
      <c r="M223" s="364"/>
      <c r="N223" s="364"/>
      <c r="O223" s="364"/>
      <c r="P223" s="364"/>
      <c r="Q223" s="364"/>
      <c r="R223" s="364"/>
      <c r="S223" s="364"/>
      <c r="T223" s="364"/>
      <c r="U223" s="364"/>
      <c r="V223" s="364"/>
      <c r="W223" s="364"/>
      <c r="X223" s="364"/>
      <c r="Y223" s="364"/>
      <c r="Z223" s="364"/>
      <c r="AA223" s="364"/>
      <c r="AB223" s="364"/>
      <c r="AC223" s="364"/>
      <c r="AD223" s="364"/>
      <c r="AE223" s="364"/>
      <c r="AF223" s="364"/>
      <c r="AG223" s="364"/>
      <c r="AH223" s="364"/>
      <c r="AI223" s="364"/>
      <c r="AJ223" s="364"/>
      <c r="AK223" s="364"/>
      <c r="AL223" s="364"/>
      <c r="AM223" s="364"/>
      <c r="AN223" s="364"/>
      <c r="AO223" s="364"/>
      <c r="AP223" s="364"/>
      <c r="AQ223" s="364"/>
      <c r="AR223" s="364"/>
      <c r="AS223" s="364"/>
      <c r="AT223" s="364"/>
      <c r="AU223" s="371"/>
      <c r="AV223" s="27"/>
      <c r="AW223" s="27"/>
      <c r="AX223" s="27"/>
      <c r="AY223" s="27"/>
    </row>
    <row r="224" spans="1:59" ht="22.5" customHeight="1">
      <c r="A224" s="327">
        <v>850521</v>
      </c>
      <c r="B224" s="177">
        <v>850521</v>
      </c>
      <c r="C224" s="167" t="s">
        <v>55</v>
      </c>
      <c r="D224" s="153">
        <v>1</v>
      </c>
      <c r="E224" s="153">
        <v>0.2</v>
      </c>
      <c r="F224" s="31" t="s">
        <v>43</v>
      </c>
      <c r="G224" s="50">
        <v>150</v>
      </c>
      <c r="H224" s="50">
        <v>220</v>
      </c>
      <c r="I224" s="34">
        <v>1</v>
      </c>
      <c r="J224" s="299" t="s">
        <v>80</v>
      </c>
      <c r="K224" s="81" t="s">
        <v>463</v>
      </c>
      <c r="L224" s="538"/>
      <c r="M224" s="178"/>
      <c r="N224" s="316" t="s">
        <v>377</v>
      </c>
      <c r="O224" s="178" t="s">
        <v>296</v>
      </c>
      <c r="P224" s="387" t="s">
        <v>412</v>
      </c>
      <c r="Q224" s="178"/>
      <c r="R224" s="178"/>
      <c r="S224" s="178"/>
      <c r="T224" s="346"/>
      <c r="U224" s="323" t="s">
        <v>354</v>
      </c>
      <c r="V224" s="89" t="s">
        <v>82</v>
      </c>
      <c r="W224" s="89" t="s">
        <v>82</v>
      </c>
      <c r="X224" s="89" t="s">
        <v>82</v>
      </c>
      <c r="Y224" s="89" t="s">
        <v>82</v>
      </c>
      <c r="Z224" s="161"/>
      <c r="AA224" s="31"/>
      <c r="AB224" s="31"/>
      <c r="AC224" s="37">
        <v>1</v>
      </c>
      <c r="AD224" s="31"/>
      <c r="AE224" s="36">
        <v>45474</v>
      </c>
      <c r="AF224" s="36">
        <v>45474</v>
      </c>
      <c r="AG224" s="36">
        <v>45474</v>
      </c>
      <c r="AH224" s="36">
        <v>45474</v>
      </c>
      <c r="AI224" s="36">
        <v>45491</v>
      </c>
      <c r="AJ224" s="56" t="s">
        <v>62</v>
      </c>
      <c r="AK224" s="38">
        <v>45469</v>
      </c>
      <c r="AL224" s="36">
        <v>45478</v>
      </c>
      <c r="AM224" s="36">
        <v>45491</v>
      </c>
      <c r="AN224" s="38">
        <v>45469</v>
      </c>
      <c r="AO224" s="36">
        <v>45478</v>
      </c>
      <c r="AP224" s="36"/>
      <c r="AQ224" s="36">
        <v>45478</v>
      </c>
      <c r="AR224" s="36">
        <v>45495</v>
      </c>
      <c r="AS224" s="36">
        <v>45497</v>
      </c>
      <c r="AT224" s="36">
        <v>45498</v>
      </c>
      <c r="AU224" s="195"/>
      <c r="AV224" s="151"/>
      <c r="AW224" s="151"/>
      <c r="AX224" s="151"/>
      <c r="AY224" s="151"/>
    </row>
    <row r="225" spans="1:53" ht="21" customHeight="1">
      <c r="A225" s="180">
        <v>850521</v>
      </c>
      <c r="B225" s="328" t="s">
        <v>509</v>
      </c>
      <c r="C225" s="182">
        <v>850539</v>
      </c>
      <c r="D225" s="182"/>
      <c r="E225" s="182"/>
      <c r="F225" s="43" t="s">
        <v>48</v>
      </c>
      <c r="G225" s="183"/>
      <c r="H225" s="183"/>
      <c r="I225" s="184"/>
      <c r="J225" s="429"/>
      <c r="K225" s="53"/>
      <c r="L225" s="537"/>
      <c r="M225" s="185"/>
      <c r="N225" s="185"/>
      <c r="O225" s="185"/>
      <c r="P225" s="185"/>
      <c r="Q225" s="185"/>
      <c r="R225" s="185"/>
      <c r="S225" s="185"/>
      <c r="T225" s="181"/>
      <c r="U225" s="185"/>
      <c r="V225" s="89" t="s">
        <v>82</v>
      </c>
      <c r="W225" s="89" t="s">
        <v>82</v>
      </c>
      <c r="X225" s="89" t="s">
        <v>82</v>
      </c>
      <c r="Y225" s="89" t="s">
        <v>82</v>
      </c>
      <c r="Z225" s="158"/>
      <c r="AA225" s="43"/>
      <c r="AB225" s="43"/>
      <c r="AC225" s="54"/>
      <c r="AD225" s="43"/>
      <c r="AE225" s="116">
        <v>45474</v>
      </c>
      <c r="AF225" s="170">
        <v>45479</v>
      </c>
      <c r="AG225" s="366">
        <v>45469</v>
      </c>
      <c r="AH225" s="366">
        <v>45469</v>
      </c>
      <c r="AI225" s="366">
        <v>45491</v>
      </c>
      <c r="AJ225" s="367" t="s">
        <v>81</v>
      </c>
      <c r="AK225" s="116">
        <v>45469</v>
      </c>
      <c r="AL225" s="116">
        <v>45478</v>
      </c>
      <c r="AM225" s="116">
        <v>45491</v>
      </c>
      <c r="AN225" s="170">
        <v>45492</v>
      </c>
      <c r="AO225" s="116">
        <v>45478</v>
      </c>
      <c r="AP225" s="116"/>
      <c r="AQ225" s="116">
        <v>45478</v>
      </c>
      <c r="AR225" s="116">
        <v>45495</v>
      </c>
      <c r="AS225" s="116">
        <v>45497</v>
      </c>
      <c r="AT225" s="170">
        <v>45499</v>
      </c>
      <c r="AU225" s="150"/>
      <c r="AV225" s="151"/>
      <c r="AW225" s="151"/>
      <c r="AX225" s="151"/>
      <c r="AY225" s="151"/>
    </row>
    <row r="226" spans="1:53" ht="20.25" customHeight="1">
      <c r="A226" s="340">
        <v>812965</v>
      </c>
      <c r="B226" s="29" t="s">
        <v>470</v>
      </c>
      <c r="C226" s="30" t="s">
        <v>42</v>
      </c>
      <c r="D226" s="30"/>
      <c r="E226" s="30"/>
      <c r="F226" s="31" t="s">
        <v>43</v>
      </c>
      <c r="G226" s="33">
        <v>250</v>
      </c>
      <c r="H226" s="33">
        <v>330</v>
      </c>
      <c r="I226" s="34">
        <v>2</v>
      </c>
      <c r="J226" s="288" t="s">
        <v>471</v>
      </c>
      <c r="K226" s="66" t="s">
        <v>327</v>
      </c>
      <c r="L226" s="157"/>
      <c r="M226" s="30"/>
      <c r="N226" s="323" t="s">
        <v>352</v>
      </c>
      <c r="O226" s="323" t="s">
        <v>72</v>
      </c>
      <c r="P226" s="323" t="s">
        <v>475</v>
      </c>
      <c r="Q226" s="333"/>
      <c r="R226" s="333" t="s">
        <v>354</v>
      </c>
      <c r="S226" s="333" t="s">
        <v>361</v>
      </c>
      <c r="T226" s="333"/>
      <c r="U226" s="30" t="s">
        <v>354</v>
      </c>
      <c r="V226" s="36">
        <v>45462</v>
      </c>
      <c r="W226" s="36">
        <f>V226+15</f>
        <v>45477</v>
      </c>
      <c r="X226" s="36">
        <v>45476</v>
      </c>
      <c r="Y226" s="36">
        <f>X226+15</f>
        <v>45491</v>
      </c>
      <c r="Z226" s="66"/>
      <c r="AA226" s="31"/>
      <c r="AB226" s="31"/>
      <c r="AC226" s="37"/>
      <c r="AD226" s="31"/>
      <c r="AE226" s="36">
        <v>45481</v>
      </c>
      <c r="AF226" s="36">
        <v>45481</v>
      </c>
      <c r="AG226" s="36">
        <v>45481</v>
      </c>
      <c r="AH226" s="36">
        <v>45481</v>
      </c>
      <c r="AI226" s="36">
        <v>45514</v>
      </c>
      <c r="AJ226" s="38">
        <v>45461</v>
      </c>
      <c r="AK226" s="38">
        <v>45461</v>
      </c>
      <c r="AL226" s="36">
        <v>45495</v>
      </c>
      <c r="AM226" s="36">
        <v>45514</v>
      </c>
      <c r="AN226" s="36">
        <v>45474</v>
      </c>
      <c r="AO226" s="36">
        <v>45495</v>
      </c>
      <c r="AP226" s="36"/>
      <c r="AQ226" s="36">
        <v>45495</v>
      </c>
      <c r="AR226" s="36">
        <v>45519</v>
      </c>
      <c r="AS226" s="36">
        <v>45519</v>
      </c>
      <c r="AT226" s="36">
        <v>45522</v>
      </c>
      <c r="AU226" s="150"/>
      <c r="AV226" s="151"/>
      <c r="AW226" s="151"/>
      <c r="AX226" s="151"/>
      <c r="AY226" s="151"/>
      <c r="AZ226" s="6" t="s">
        <v>264</v>
      </c>
      <c r="BA226" s="6">
        <v>5</v>
      </c>
    </row>
    <row r="227" spans="1:53" ht="21.75" customHeight="1">
      <c r="A227" s="40">
        <v>812965</v>
      </c>
      <c r="B227" s="41"/>
      <c r="C227" s="42"/>
      <c r="D227" s="42"/>
      <c r="E227" s="42"/>
      <c r="F227" s="43" t="s">
        <v>48</v>
      </c>
      <c r="G227" s="59"/>
      <c r="H227" s="59"/>
      <c r="I227" s="44"/>
      <c r="J227" s="52"/>
      <c r="K227" s="53"/>
      <c r="L227" s="537"/>
      <c r="M227" s="42"/>
      <c r="N227" s="375">
        <v>45461</v>
      </c>
      <c r="O227" s="42"/>
      <c r="P227" s="42"/>
      <c r="Q227" s="42"/>
      <c r="R227" s="42"/>
      <c r="S227" s="42"/>
      <c r="T227" s="41"/>
      <c r="U227" s="42"/>
      <c r="V227" s="116">
        <v>45462</v>
      </c>
      <c r="W227" s="116">
        <v>45527</v>
      </c>
      <c r="X227" s="116">
        <v>45478</v>
      </c>
      <c r="Y227" s="116">
        <v>45504</v>
      </c>
      <c r="Z227" s="43"/>
      <c r="AA227" s="43"/>
      <c r="AB227" s="43"/>
      <c r="AC227" s="54"/>
      <c r="AD227" s="43"/>
      <c r="AE227" s="366">
        <v>45474</v>
      </c>
      <c r="AF227" s="170">
        <v>45482</v>
      </c>
      <c r="AG227" s="366">
        <v>45470</v>
      </c>
      <c r="AH227" s="366">
        <v>45475</v>
      </c>
      <c r="AI227" s="116">
        <v>45495</v>
      </c>
      <c r="AJ227" s="116">
        <v>45467</v>
      </c>
      <c r="AK227" s="116">
        <v>45476</v>
      </c>
      <c r="AL227" s="116">
        <v>45502</v>
      </c>
      <c r="AM227" s="170">
        <v>45506</v>
      </c>
      <c r="AN227" s="170">
        <v>45491</v>
      </c>
      <c r="AO227" s="116">
        <v>45502</v>
      </c>
      <c r="AP227" s="116"/>
      <c r="AQ227" s="116">
        <v>45502</v>
      </c>
      <c r="AR227" s="116">
        <v>45493</v>
      </c>
      <c r="AS227" s="116">
        <v>45510</v>
      </c>
      <c r="AT227" s="366">
        <v>45522</v>
      </c>
      <c r="AU227" s="150"/>
      <c r="AV227" s="151"/>
      <c r="AW227" s="151"/>
      <c r="AX227" s="151"/>
      <c r="AY227" s="151"/>
      <c r="AZ227" s="6" t="s">
        <v>265</v>
      </c>
      <c r="BA227" s="6">
        <v>1</v>
      </c>
    </row>
    <row r="228" spans="1:53" ht="21" customHeight="1">
      <c r="A228" s="340">
        <v>812967</v>
      </c>
      <c r="B228" s="96" t="s">
        <v>494</v>
      </c>
      <c r="C228" s="349" t="s">
        <v>55</v>
      </c>
      <c r="D228" s="350">
        <v>0.9</v>
      </c>
      <c r="E228" s="350">
        <v>0.5</v>
      </c>
      <c r="F228" s="66" t="s">
        <v>43</v>
      </c>
      <c r="G228" s="33">
        <v>400</v>
      </c>
      <c r="H228" s="33">
        <v>500</v>
      </c>
      <c r="I228" s="76">
        <v>6</v>
      </c>
      <c r="J228" s="446" t="s">
        <v>472</v>
      </c>
      <c r="K228" s="66" t="s">
        <v>77</v>
      </c>
      <c r="L228" s="157"/>
      <c r="M228" s="97"/>
      <c r="N228" s="372" t="s">
        <v>336</v>
      </c>
      <c r="O228" s="323" t="s">
        <v>72</v>
      </c>
      <c r="P228" s="372" t="s">
        <v>505</v>
      </c>
      <c r="Q228" s="333"/>
      <c r="R228" s="333" t="s">
        <v>354</v>
      </c>
      <c r="S228" s="333" t="s">
        <v>406</v>
      </c>
      <c r="T228" s="333"/>
      <c r="U228" s="372" t="s">
        <v>354</v>
      </c>
      <c r="V228" s="36">
        <v>45443</v>
      </c>
      <c r="W228" s="36">
        <f>V228+15</f>
        <v>45458</v>
      </c>
      <c r="X228" s="36">
        <v>45457</v>
      </c>
      <c r="Y228" s="336"/>
      <c r="Z228" s="66"/>
      <c r="AA228" s="66"/>
      <c r="AB228" s="66"/>
      <c r="AC228" s="68"/>
      <c r="AD228" s="66"/>
      <c r="AE228" s="36">
        <v>45483</v>
      </c>
      <c r="AF228" s="36">
        <v>45484</v>
      </c>
      <c r="AG228" s="348">
        <v>45440</v>
      </c>
      <c r="AH228" s="348">
        <v>45440</v>
      </c>
      <c r="AI228" s="36">
        <v>45497</v>
      </c>
      <c r="AJ228" s="38">
        <v>45436</v>
      </c>
      <c r="AK228" s="38">
        <v>45436</v>
      </c>
      <c r="AL228" s="36">
        <v>45497</v>
      </c>
      <c r="AM228" s="36">
        <v>45497</v>
      </c>
      <c r="AN228" s="36">
        <v>45474</v>
      </c>
      <c r="AO228" s="36">
        <v>45497</v>
      </c>
      <c r="AP228" s="36"/>
      <c r="AQ228" s="36">
        <v>45497</v>
      </c>
      <c r="AR228" s="36">
        <v>45497</v>
      </c>
      <c r="AS228" s="36">
        <v>45497</v>
      </c>
      <c r="AT228" s="36">
        <v>45510</v>
      </c>
      <c r="AU228" s="228"/>
      <c r="AV228" s="151"/>
      <c r="AW228" s="151"/>
      <c r="AX228" s="151"/>
      <c r="AY228" s="151"/>
    </row>
    <row r="229" spans="1:53" ht="20.25" customHeight="1">
      <c r="A229" s="40">
        <v>812967</v>
      </c>
      <c r="B229" s="41"/>
      <c r="C229" s="42">
        <v>812796</v>
      </c>
      <c r="D229" s="42"/>
      <c r="E229" s="42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374" t="s">
        <v>508</v>
      </c>
      <c r="Q229" s="42"/>
      <c r="R229" s="41"/>
      <c r="S229" s="41"/>
      <c r="T229" s="41"/>
      <c r="U229" s="41"/>
      <c r="V229" s="397">
        <v>45443</v>
      </c>
      <c r="W229" s="397">
        <v>45490</v>
      </c>
      <c r="X229" s="397">
        <v>45457</v>
      </c>
      <c r="Y229" s="41"/>
      <c r="Z229" s="41"/>
      <c r="AA229" s="41"/>
      <c r="AB229" s="41"/>
      <c r="AC229" s="41"/>
      <c r="AD229" s="41"/>
      <c r="AE229" s="366">
        <v>45474</v>
      </c>
      <c r="AF229" s="366">
        <v>45483</v>
      </c>
      <c r="AG229" s="116">
        <v>45435</v>
      </c>
      <c r="AH229" s="116">
        <v>45435</v>
      </c>
      <c r="AI229" s="366">
        <v>45490</v>
      </c>
      <c r="AJ229" s="116">
        <v>45436</v>
      </c>
      <c r="AK229" s="116">
        <v>45436</v>
      </c>
      <c r="AL229" s="366">
        <v>45485</v>
      </c>
      <c r="AM229" s="116">
        <v>45497</v>
      </c>
      <c r="AN229" s="116">
        <v>45474</v>
      </c>
      <c r="AO229" s="366">
        <v>45485</v>
      </c>
      <c r="AP229" s="366"/>
      <c r="AQ229" s="366">
        <v>45485</v>
      </c>
      <c r="AR229" s="116">
        <v>45497</v>
      </c>
      <c r="AS229" s="116">
        <v>45497</v>
      </c>
      <c r="AT229" s="366">
        <v>45510</v>
      </c>
      <c r="AU229" s="47" t="s">
        <v>521</v>
      </c>
      <c r="AV229" s="151"/>
      <c r="AW229" s="151"/>
      <c r="AX229" s="151"/>
      <c r="AY229" s="151"/>
    </row>
    <row r="230" spans="1:53" ht="21" customHeight="1">
      <c r="A230" s="149">
        <v>812923</v>
      </c>
      <c r="B230" s="29">
        <v>812923</v>
      </c>
      <c r="C230" s="167" t="s">
        <v>173</v>
      </c>
      <c r="D230" s="153">
        <v>1</v>
      </c>
      <c r="E230" s="153">
        <v>1</v>
      </c>
      <c r="F230" s="31" t="s">
        <v>43</v>
      </c>
      <c r="G230" s="33">
        <v>150</v>
      </c>
      <c r="H230" s="33">
        <v>240</v>
      </c>
      <c r="I230" s="34">
        <v>1</v>
      </c>
      <c r="J230" s="447" t="s">
        <v>400</v>
      </c>
      <c r="K230" s="32" t="s">
        <v>45</v>
      </c>
      <c r="L230" s="547"/>
      <c r="M230" s="30"/>
      <c r="N230" s="323" t="s">
        <v>336</v>
      </c>
      <c r="O230" s="323" t="s">
        <v>72</v>
      </c>
      <c r="P230" s="316" t="s">
        <v>364</v>
      </c>
      <c r="Q230" s="323" t="s">
        <v>401</v>
      </c>
      <c r="R230" s="30" t="s">
        <v>354</v>
      </c>
      <c r="S230" s="30" t="s">
        <v>361</v>
      </c>
      <c r="T230" s="29" t="s">
        <v>402</v>
      </c>
      <c r="U230" s="323" t="s">
        <v>354</v>
      </c>
      <c r="V230" s="36" t="s">
        <v>402</v>
      </c>
      <c r="W230" s="36" t="s">
        <v>402</v>
      </c>
      <c r="X230" s="36" t="s">
        <v>402</v>
      </c>
      <c r="Y230" s="36" t="s">
        <v>402</v>
      </c>
      <c r="Z230" s="161"/>
      <c r="AA230" s="31"/>
      <c r="AB230" s="31"/>
      <c r="AC230" s="37"/>
      <c r="AD230" s="31"/>
      <c r="AE230" s="36">
        <v>45477</v>
      </c>
      <c r="AF230" s="36">
        <v>45491</v>
      </c>
      <c r="AG230" s="36">
        <v>45491</v>
      </c>
      <c r="AH230" s="36">
        <v>45491</v>
      </c>
      <c r="AI230" s="36">
        <v>45502</v>
      </c>
      <c r="AJ230" s="36">
        <v>45366</v>
      </c>
      <c r="AK230" s="36">
        <v>45385</v>
      </c>
      <c r="AL230" s="36">
        <v>45502</v>
      </c>
      <c r="AM230" s="36">
        <v>45502</v>
      </c>
      <c r="AN230" s="36">
        <v>45432</v>
      </c>
      <c r="AO230" s="36">
        <v>45502</v>
      </c>
      <c r="AP230" s="36"/>
      <c r="AQ230" s="36">
        <v>45502</v>
      </c>
      <c r="AR230" s="36">
        <v>45502</v>
      </c>
      <c r="AS230" s="36">
        <v>45502</v>
      </c>
      <c r="AT230" s="36">
        <v>45504</v>
      </c>
      <c r="AU230" s="150"/>
      <c r="AV230" s="151"/>
      <c r="AW230" s="151"/>
      <c r="AX230" s="151"/>
      <c r="AY230" s="151"/>
    </row>
    <row r="231" spans="1:53" ht="21.75" customHeight="1">
      <c r="A231" s="40">
        <v>812923</v>
      </c>
      <c r="B231" s="41"/>
      <c r="C231" s="42" t="s">
        <v>484</v>
      </c>
      <c r="D231" s="42"/>
      <c r="E231" s="42"/>
      <c r="F231" s="43" t="s">
        <v>48</v>
      </c>
      <c r="G231" s="59"/>
      <c r="H231" s="59"/>
      <c r="I231" s="44"/>
      <c r="J231" s="52"/>
      <c r="K231" s="53"/>
      <c r="L231" s="537"/>
      <c r="M231" s="42"/>
      <c r="N231" s="42"/>
      <c r="O231" s="42"/>
      <c r="P231" s="42"/>
      <c r="Q231" s="42"/>
      <c r="R231" s="42"/>
      <c r="S231" s="42"/>
      <c r="T231" s="41"/>
      <c r="U231" s="42"/>
      <c r="V231" s="36" t="s">
        <v>402</v>
      </c>
      <c r="W231" s="36" t="s">
        <v>402</v>
      </c>
      <c r="X231" s="36" t="s">
        <v>402</v>
      </c>
      <c r="Y231" s="36" t="s">
        <v>402</v>
      </c>
      <c r="Z231" s="158"/>
      <c r="AA231" s="43"/>
      <c r="AB231" s="43"/>
      <c r="AC231" s="54"/>
      <c r="AD231" s="43"/>
      <c r="AE231" s="366">
        <v>45474</v>
      </c>
      <c r="AF231" s="366">
        <v>45482</v>
      </c>
      <c r="AG231" s="366">
        <v>45474</v>
      </c>
      <c r="AH231" s="366">
        <v>45474</v>
      </c>
      <c r="AI231" s="170">
        <v>45502</v>
      </c>
      <c r="AJ231" s="116">
        <v>45366</v>
      </c>
      <c r="AK231" s="223">
        <v>45019</v>
      </c>
      <c r="AL231" s="223">
        <v>45502</v>
      </c>
      <c r="AM231" s="223">
        <v>45387</v>
      </c>
      <c r="AN231" s="223">
        <v>45387</v>
      </c>
      <c r="AO231" s="223">
        <v>45502</v>
      </c>
      <c r="AP231" s="223"/>
      <c r="AQ231" s="223">
        <v>45502</v>
      </c>
      <c r="AR231" s="223">
        <v>45502</v>
      </c>
      <c r="AS231" s="223">
        <v>45502</v>
      </c>
      <c r="AT231" s="223">
        <v>45504</v>
      </c>
      <c r="AU231" s="150"/>
      <c r="AV231" s="151"/>
      <c r="AW231" s="151"/>
      <c r="AX231" s="151"/>
      <c r="AY231" s="151"/>
    </row>
    <row r="232" spans="1:53" ht="23.25" customHeight="1">
      <c r="A232" s="149">
        <v>812870</v>
      </c>
      <c r="B232" s="177">
        <v>812870</v>
      </c>
      <c r="C232" s="30" t="s">
        <v>42</v>
      </c>
      <c r="D232" s="153"/>
      <c r="E232" s="30"/>
      <c r="F232" s="31" t="s">
        <v>43</v>
      </c>
      <c r="G232" s="33">
        <v>250</v>
      </c>
      <c r="H232" s="33">
        <v>220</v>
      </c>
      <c r="I232" s="34">
        <v>1</v>
      </c>
      <c r="J232" s="448" t="s">
        <v>407</v>
      </c>
      <c r="K232" s="81" t="s">
        <v>108</v>
      </c>
      <c r="L232" s="538"/>
      <c r="M232" s="30"/>
      <c r="N232" s="323" t="s">
        <v>336</v>
      </c>
      <c r="O232" s="376" t="s">
        <v>72</v>
      </c>
      <c r="P232" s="323" t="s">
        <v>373</v>
      </c>
      <c r="Q232" s="333" t="s">
        <v>538</v>
      </c>
      <c r="R232" s="333" t="s">
        <v>354</v>
      </c>
      <c r="S232" s="333" t="s">
        <v>361</v>
      </c>
      <c r="T232" s="377" t="s">
        <v>515</v>
      </c>
      <c r="U232" s="323" t="s">
        <v>354</v>
      </c>
      <c r="V232" s="36">
        <v>45392</v>
      </c>
      <c r="W232" s="36">
        <f>V232+30</f>
        <v>45422</v>
      </c>
      <c r="X232" s="36">
        <v>45392</v>
      </c>
      <c r="Y232" s="36">
        <f>X232+30</f>
        <v>45422</v>
      </c>
      <c r="Z232" s="161"/>
      <c r="AA232" s="31"/>
      <c r="AB232" s="31"/>
      <c r="AC232" s="37">
        <v>3</v>
      </c>
      <c r="AD232" s="31" t="s">
        <v>72</v>
      </c>
      <c r="AE232" s="36">
        <v>45488</v>
      </c>
      <c r="AF232" s="36">
        <v>45498</v>
      </c>
      <c r="AG232" s="36">
        <v>45498</v>
      </c>
      <c r="AH232" s="36">
        <v>45498</v>
      </c>
      <c r="AI232" s="36">
        <v>45504</v>
      </c>
      <c r="AJ232" s="36">
        <v>45376</v>
      </c>
      <c r="AK232" s="36" t="s">
        <v>409</v>
      </c>
      <c r="AL232" s="36">
        <v>45511</v>
      </c>
      <c r="AM232" s="36">
        <v>45504</v>
      </c>
      <c r="AN232" s="36">
        <v>45478</v>
      </c>
      <c r="AO232" s="36">
        <v>45511</v>
      </c>
      <c r="AP232" s="36"/>
      <c r="AQ232" s="36">
        <v>45511</v>
      </c>
      <c r="AR232" s="36">
        <v>45512</v>
      </c>
      <c r="AS232" s="36">
        <v>45512</v>
      </c>
      <c r="AT232" s="36">
        <v>45516</v>
      </c>
      <c r="AU232" s="150"/>
      <c r="AV232" s="151"/>
      <c r="AW232" s="151"/>
      <c r="AX232" s="151"/>
      <c r="AY232" s="151"/>
    </row>
    <row r="233" spans="1:53" ht="21" customHeight="1">
      <c r="A233" s="40">
        <v>812870</v>
      </c>
      <c r="B233" s="181"/>
      <c r="C233" s="42"/>
      <c r="D233" s="42"/>
      <c r="E233" s="42"/>
      <c r="F233" s="43" t="s">
        <v>48</v>
      </c>
      <c r="G233" s="59"/>
      <c r="H233" s="59"/>
      <c r="I233" s="44"/>
      <c r="J233" s="52"/>
      <c r="K233" s="53"/>
      <c r="L233" s="537"/>
      <c r="M233" s="42"/>
      <c r="N233" s="42"/>
      <c r="O233" s="42"/>
      <c r="P233" s="42"/>
      <c r="Q233" s="42"/>
      <c r="R233" s="42"/>
      <c r="S233" s="42"/>
      <c r="T233" s="41"/>
      <c r="U233" s="42"/>
      <c r="V233" s="116">
        <v>45392</v>
      </c>
      <c r="W233" s="116">
        <v>45524</v>
      </c>
      <c r="X233" s="116">
        <v>45410</v>
      </c>
      <c r="Y233" s="116">
        <v>45524</v>
      </c>
      <c r="Z233" s="158"/>
      <c r="AA233" s="43"/>
      <c r="AB233" s="43"/>
      <c r="AC233" s="54"/>
      <c r="AD233" s="43"/>
      <c r="AE233" s="366">
        <v>45484</v>
      </c>
      <c r="AF233" s="366">
        <v>45490</v>
      </c>
      <c r="AG233" s="366">
        <v>45492</v>
      </c>
      <c r="AH233" s="170">
        <v>45498</v>
      </c>
      <c r="AI233" s="170">
        <v>45504</v>
      </c>
      <c r="AJ233" s="366">
        <v>45371</v>
      </c>
      <c r="AK233" s="366">
        <v>45366</v>
      </c>
      <c r="AL233" s="366">
        <v>45510</v>
      </c>
      <c r="AM233" s="392" t="s">
        <v>254</v>
      </c>
      <c r="AN233" s="116">
        <v>45478</v>
      </c>
      <c r="AO233" s="116">
        <v>45509</v>
      </c>
      <c r="AP233" s="116"/>
      <c r="AQ233" s="116">
        <v>45509</v>
      </c>
      <c r="AR233" s="366">
        <v>45513</v>
      </c>
      <c r="AS233" s="116">
        <v>45513</v>
      </c>
      <c r="AT233" s="366">
        <v>45516</v>
      </c>
      <c r="AU233" s="150"/>
      <c r="AV233" s="151"/>
      <c r="AW233" s="151"/>
      <c r="AX233" s="151"/>
      <c r="AY233" s="151"/>
    </row>
    <row r="234" spans="1:53" ht="23.25" customHeight="1">
      <c r="A234" s="149">
        <v>812977</v>
      </c>
      <c r="B234" s="29">
        <v>812977</v>
      </c>
      <c r="C234" s="30" t="s">
        <v>483</v>
      </c>
      <c r="D234" s="153">
        <v>1</v>
      </c>
      <c r="E234" s="153">
        <v>1</v>
      </c>
      <c r="F234" s="31" t="s">
        <v>43</v>
      </c>
      <c r="G234" s="33">
        <v>300</v>
      </c>
      <c r="H234" s="33">
        <v>380</v>
      </c>
      <c r="I234" s="34">
        <v>1</v>
      </c>
      <c r="J234" s="417" t="s">
        <v>500</v>
      </c>
      <c r="K234" s="31" t="s">
        <v>66</v>
      </c>
      <c r="L234" s="161"/>
      <c r="M234" s="30"/>
      <c r="N234" s="323" t="s">
        <v>336</v>
      </c>
      <c r="O234" s="323" t="s">
        <v>72</v>
      </c>
      <c r="P234" s="323" t="s">
        <v>502</v>
      </c>
      <c r="Q234" s="30"/>
      <c r="R234" s="30" t="s">
        <v>406</v>
      </c>
      <c r="S234" s="30" t="s">
        <v>406</v>
      </c>
      <c r="T234" s="29" t="s">
        <v>514</v>
      </c>
      <c r="U234" s="30" t="s">
        <v>406</v>
      </c>
      <c r="V234" s="36" t="s">
        <v>402</v>
      </c>
      <c r="W234" s="36" t="s">
        <v>402</v>
      </c>
      <c r="X234" s="36" t="s">
        <v>402</v>
      </c>
      <c r="Y234" s="36" t="s">
        <v>402</v>
      </c>
      <c r="Z234" s="31" t="s">
        <v>72</v>
      </c>
      <c r="AA234" s="31" t="s">
        <v>72</v>
      </c>
      <c r="AB234" s="31" t="s">
        <v>535</v>
      </c>
      <c r="AC234" s="37">
        <v>1</v>
      </c>
      <c r="AD234" s="31" t="s">
        <v>72</v>
      </c>
      <c r="AE234" s="36">
        <v>45490</v>
      </c>
      <c r="AF234" s="36">
        <v>45502</v>
      </c>
      <c r="AG234" s="36">
        <v>45502</v>
      </c>
      <c r="AH234" s="36">
        <v>45502</v>
      </c>
      <c r="AI234" s="36">
        <v>45502</v>
      </c>
      <c r="AJ234" s="38">
        <v>45457</v>
      </c>
      <c r="AK234" s="36">
        <v>45502</v>
      </c>
      <c r="AL234" s="36">
        <v>45502</v>
      </c>
      <c r="AM234" s="36">
        <v>45502</v>
      </c>
      <c r="AN234" s="36">
        <v>45502</v>
      </c>
      <c r="AO234" s="36">
        <v>45502</v>
      </c>
      <c r="AP234" s="36"/>
      <c r="AQ234" s="36">
        <v>45502</v>
      </c>
      <c r="AR234" s="36">
        <v>45502</v>
      </c>
      <c r="AS234" s="36">
        <v>45502</v>
      </c>
      <c r="AT234" s="36">
        <v>45502</v>
      </c>
      <c r="AU234" s="150"/>
      <c r="AV234" s="151"/>
      <c r="AW234" s="151"/>
      <c r="AX234" s="151"/>
      <c r="AY234" s="151"/>
    </row>
    <row r="235" spans="1:53" ht="20.25" customHeight="1" thickBot="1">
      <c r="A235" s="40">
        <v>812977</v>
      </c>
      <c r="B235" s="41"/>
      <c r="C235" s="42">
        <v>812657</v>
      </c>
      <c r="D235" s="42"/>
      <c r="E235" s="42"/>
      <c r="F235" s="43" t="s">
        <v>48</v>
      </c>
      <c r="G235" s="59"/>
      <c r="H235" s="59"/>
      <c r="I235" s="44"/>
      <c r="J235" s="52"/>
      <c r="K235" s="53"/>
      <c r="L235" s="537"/>
      <c r="M235" s="42"/>
      <c r="N235" s="375">
        <v>45457</v>
      </c>
      <c r="O235" s="42"/>
      <c r="P235" s="42"/>
      <c r="Q235" s="42"/>
      <c r="R235" s="333"/>
      <c r="S235" s="333"/>
      <c r="T235" s="333"/>
      <c r="U235" s="372"/>
      <c r="V235" s="36" t="s">
        <v>402</v>
      </c>
      <c r="W235" s="36" t="s">
        <v>402</v>
      </c>
      <c r="X235" s="36" t="s">
        <v>402</v>
      </c>
      <c r="Y235" s="36" t="s">
        <v>402</v>
      </c>
      <c r="Z235" s="43"/>
      <c r="AA235" s="43"/>
      <c r="AB235" s="43"/>
      <c r="AC235" s="54"/>
      <c r="AD235" s="43"/>
      <c r="AE235" s="116">
        <v>45490</v>
      </c>
      <c r="AF235" s="392" t="s">
        <v>81</v>
      </c>
      <c r="AG235" s="392" t="s">
        <v>81</v>
      </c>
      <c r="AH235" s="392" t="s">
        <v>81</v>
      </c>
      <c r="AI235" s="392" t="s">
        <v>81</v>
      </c>
      <c r="AJ235" s="366">
        <v>45456</v>
      </c>
      <c r="AK235" s="392" t="s">
        <v>81</v>
      </c>
      <c r="AL235" s="392" t="s">
        <v>81</v>
      </c>
      <c r="AM235" s="366">
        <v>45495</v>
      </c>
      <c r="AN235" s="366">
        <v>45493</v>
      </c>
      <c r="AO235" s="392" t="s">
        <v>81</v>
      </c>
      <c r="AP235" s="392"/>
      <c r="AQ235" s="392" t="s">
        <v>81</v>
      </c>
      <c r="AR235" s="366">
        <v>45501</v>
      </c>
      <c r="AS235" s="366">
        <v>45501</v>
      </c>
      <c r="AT235" s="366">
        <v>45501</v>
      </c>
      <c r="AU235" s="194"/>
      <c r="AV235" s="151"/>
      <c r="AW235" s="151"/>
      <c r="AX235" s="151"/>
      <c r="AY235" s="151"/>
    </row>
    <row r="236" spans="1:53" ht="16.5" customHeight="1" thickBot="1">
      <c r="A236" s="364"/>
      <c r="B236" s="364"/>
      <c r="C236" s="364"/>
      <c r="D236" s="364"/>
      <c r="E236" s="364"/>
      <c r="F236" s="364"/>
      <c r="G236" s="364"/>
      <c r="H236" s="364"/>
      <c r="I236" s="364"/>
      <c r="J236" s="444"/>
      <c r="K236" s="364"/>
      <c r="L236" s="364"/>
      <c r="M236" s="364"/>
      <c r="N236" s="364"/>
      <c r="O236" s="364"/>
      <c r="P236" s="364"/>
      <c r="Q236" s="364"/>
      <c r="R236" s="364"/>
      <c r="S236" s="364"/>
      <c r="T236" s="364"/>
      <c r="U236" s="364"/>
      <c r="V236" s="364"/>
      <c r="W236" s="364"/>
      <c r="X236" s="364"/>
      <c r="Y236" s="364"/>
      <c r="Z236" s="364"/>
      <c r="AA236" s="364"/>
      <c r="AB236" s="364"/>
      <c r="AC236" s="364"/>
      <c r="AD236" s="364"/>
      <c r="AE236" s="364"/>
      <c r="AF236" s="364"/>
      <c r="AG236" s="364"/>
      <c r="AH236" s="364"/>
      <c r="AI236" s="364"/>
      <c r="AJ236" s="364"/>
      <c r="AK236" s="364"/>
      <c r="AL236" s="364"/>
      <c r="AM236" s="364"/>
      <c r="AN236" s="364"/>
      <c r="AO236" s="364"/>
      <c r="AP236" s="364"/>
      <c r="AQ236" s="364"/>
      <c r="AR236" s="364"/>
      <c r="AS236" s="364"/>
      <c r="AT236" s="364"/>
      <c r="AU236" s="371"/>
      <c r="AV236" s="27"/>
      <c r="AW236" s="27"/>
      <c r="AX236" s="27"/>
      <c r="AY236" s="27"/>
    </row>
    <row r="237" spans="1:53" ht="20.25" customHeight="1">
      <c r="A237" s="302">
        <v>822863</v>
      </c>
      <c r="B237" s="177">
        <v>822863</v>
      </c>
      <c r="C237" s="178" t="s">
        <v>42</v>
      </c>
      <c r="D237" s="30"/>
      <c r="E237" s="30"/>
      <c r="F237" s="31" t="s">
        <v>43</v>
      </c>
      <c r="G237" s="50">
        <v>322</v>
      </c>
      <c r="H237" s="50">
        <v>525</v>
      </c>
      <c r="I237" s="34">
        <v>1</v>
      </c>
      <c r="J237" s="329" t="s">
        <v>380</v>
      </c>
      <c r="K237" s="81" t="s">
        <v>327</v>
      </c>
      <c r="L237" s="538"/>
      <c r="M237" s="178"/>
      <c r="N237" s="316" t="s">
        <v>336</v>
      </c>
      <c r="O237" s="316" t="s">
        <v>72</v>
      </c>
      <c r="P237" s="316" t="s">
        <v>364</v>
      </c>
      <c r="Q237" s="326" t="s">
        <v>381</v>
      </c>
      <c r="R237" s="178" t="s">
        <v>354</v>
      </c>
      <c r="S237" s="178" t="s">
        <v>361</v>
      </c>
      <c r="T237" s="177"/>
      <c r="U237" s="316" t="s">
        <v>354</v>
      </c>
      <c r="V237" s="36">
        <v>45331</v>
      </c>
      <c r="W237" s="36">
        <f>V237+30</f>
        <v>45361</v>
      </c>
      <c r="X237" s="36">
        <v>45331</v>
      </c>
      <c r="Y237" s="36">
        <f>X237+30</f>
        <v>45361</v>
      </c>
      <c r="Z237" s="161"/>
      <c r="AA237" s="31"/>
      <c r="AB237" s="31"/>
      <c r="AC237" s="37"/>
      <c r="AD237" s="31"/>
      <c r="AE237" s="379">
        <v>45491</v>
      </c>
      <c r="AF237" s="379">
        <v>45509</v>
      </c>
      <c r="AG237" s="379">
        <v>45503</v>
      </c>
      <c r="AH237" s="379">
        <v>45503</v>
      </c>
      <c r="AI237" s="379">
        <v>45519</v>
      </c>
      <c r="AJ237" s="379">
        <v>45469</v>
      </c>
      <c r="AK237" s="379">
        <v>45366</v>
      </c>
      <c r="AL237" s="378" t="s">
        <v>382</v>
      </c>
      <c r="AM237" s="379">
        <v>45519</v>
      </c>
      <c r="AN237" s="379">
        <v>45373</v>
      </c>
      <c r="AO237" s="379">
        <v>45519</v>
      </c>
      <c r="AP237" s="379"/>
      <c r="AQ237" s="379">
        <v>45519</v>
      </c>
      <c r="AR237" s="379">
        <v>45519</v>
      </c>
      <c r="AS237" s="379">
        <v>45519</v>
      </c>
      <c r="AT237" s="379">
        <v>45534</v>
      </c>
      <c r="AU237" s="391"/>
    </row>
    <row r="238" spans="1:53" ht="19.5" customHeight="1">
      <c r="A238" s="180">
        <v>822863</v>
      </c>
      <c r="B238" s="370"/>
      <c r="C238" s="182"/>
      <c r="D238" s="182"/>
      <c r="E238" s="182"/>
      <c r="F238" s="43" t="s">
        <v>48</v>
      </c>
      <c r="G238" s="183"/>
      <c r="H238" s="183"/>
      <c r="I238" s="184"/>
      <c r="J238" s="429"/>
      <c r="K238" s="53"/>
      <c r="L238" s="537"/>
      <c r="M238" s="185"/>
      <c r="N238" s="388"/>
      <c r="O238" s="185"/>
      <c r="P238" s="185"/>
      <c r="Q238" s="185"/>
      <c r="R238" s="185"/>
      <c r="S238" s="185"/>
      <c r="T238" s="181"/>
      <c r="U238" s="185"/>
      <c r="V238" s="116">
        <v>45330</v>
      </c>
      <c r="W238" s="116">
        <v>45458</v>
      </c>
      <c r="X238" s="116">
        <v>45366</v>
      </c>
      <c r="Y238" s="116">
        <v>45457</v>
      </c>
      <c r="Z238" s="158"/>
      <c r="AA238" s="43"/>
      <c r="AB238" s="43"/>
      <c r="AC238" s="54"/>
      <c r="AD238" s="43"/>
      <c r="AE238" s="116">
        <v>45491</v>
      </c>
      <c r="AF238" s="116">
        <v>45509</v>
      </c>
      <c r="AG238" s="116">
        <v>45503</v>
      </c>
      <c r="AH238" s="116">
        <v>45503</v>
      </c>
      <c r="AI238" s="116">
        <v>45511</v>
      </c>
      <c r="AJ238" s="118" t="s">
        <v>534</v>
      </c>
      <c r="AK238" s="170">
        <v>45370</v>
      </c>
      <c r="AL238" s="116">
        <v>45341</v>
      </c>
      <c r="AM238" s="116">
        <v>45480</v>
      </c>
      <c r="AN238" s="366">
        <v>45372</v>
      </c>
      <c r="AO238" s="366">
        <v>45407</v>
      </c>
      <c r="AP238" s="366"/>
      <c r="AQ238" s="366">
        <v>45407</v>
      </c>
      <c r="AR238" s="116">
        <v>45530</v>
      </c>
      <c r="AS238" s="116">
        <v>45534</v>
      </c>
      <c r="AT238" s="116">
        <v>45534</v>
      </c>
      <c r="AU238" s="150"/>
      <c r="AV238" s="151"/>
      <c r="AW238" s="151"/>
      <c r="AX238" s="151"/>
      <c r="AY238" s="151"/>
    </row>
    <row r="239" spans="1:53" ht="20.25" customHeight="1">
      <c r="A239" s="209">
        <v>812941</v>
      </c>
      <c r="B239" s="177" t="s">
        <v>410</v>
      </c>
      <c r="C239" s="178" t="s">
        <v>42</v>
      </c>
      <c r="D239" s="30"/>
      <c r="E239" s="30"/>
      <c r="F239" s="31" t="s">
        <v>43</v>
      </c>
      <c r="G239" s="50">
        <v>250</v>
      </c>
      <c r="H239" s="50">
        <v>400</v>
      </c>
      <c r="I239" s="6">
        <v>2</v>
      </c>
      <c r="J239" s="428" t="s">
        <v>411</v>
      </c>
      <c r="K239" s="81" t="s">
        <v>478</v>
      </c>
      <c r="L239" s="538"/>
      <c r="M239" s="178"/>
      <c r="N239" s="316" t="s">
        <v>336</v>
      </c>
      <c r="O239" s="316" t="s">
        <v>72</v>
      </c>
      <c r="P239" s="316" t="s">
        <v>412</v>
      </c>
      <c r="Q239" s="178"/>
      <c r="R239" s="333" t="s">
        <v>354</v>
      </c>
      <c r="S239" s="333" t="s">
        <v>361</v>
      </c>
      <c r="T239" s="345"/>
      <c r="U239" s="323" t="s">
        <v>354</v>
      </c>
      <c r="V239" s="36">
        <v>45427</v>
      </c>
      <c r="W239" s="36">
        <f>V239+15</f>
        <v>45442</v>
      </c>
      <c r="X239" s="36">
        <v>45427</v>
      </c>
      <c r="Y239" s="36">
        <f>X239+15</f>
        <v>45442</v>
      </c>
      <c r="Z239" s="161"/>
      <c r="AA239" s="31"/>
      <c r="AB239" s="31"/>
      <c r="AC239" s="37">
        <v>1</v>
      </c>
      <c r="AD239" s="31"/>
      <c r="AE239" s="379">
        <v>45503</v>
      </c>
      <c r="AF239" s="379">
        <v>45511</v>
      </c>
      <c r="AG239" s="379">
        <v>45511</v>
      </c>
      <c r="AH239" s="379">
        <v>45511</v>
      </c>
      <c r="AI239" s="379">
        <v>45524</v>
      </c>
      <c r="AJ239" s="379">
        <v>45407</v>
      </c>
      <c r="AK239" s="379">
        <v>45407</v>
      </c>
      <c r="AL239" s="379">
        <v>45524</v>
      </c>
      <c r="AM239" s="379">
        <v>45524</v>
      </c>
      <c r="AN239" s="379">
        <v>45478</v>
      </c>
      <c r="AO239" s="379">
        <v>45524</v>
      </c>
      <c r="AP239" s="379"/>
      <c r="AQ239" s="379">
        <v>45524</v>
      </c>
      <c r="AR239" s="379">
        <v>45524</v>
      </c>
      <c r="AS239" s="379">
        <v>45524</v>
      </c>
      <c r="AT239" s="379">
        <v>45527</v>
      </c>
      <c r="AU239" s="228"/>
      <c r="AZ239" s="6" t="s">
        <v>264</v>
      </c>
      <c r="BA239" s="6">
        <v>4</v>
      </c>
    </row>
    <row r="240" spans="1:53" ht="19.5" customHeight="1">
      <c r="A240" s="180">
        <v>812941</v>
      </c>
      <c r="B240" s="181"/>
      <c r="C240" s="182"/>
      <c r="D240" s="182"/>
      <c r="E240" s="182"/>
      <c r="F240" s="43" t="s">
        <v>48</v>
      </c>
      <c r="G240" s="183"/>
      <c r="H240" s="183"/>
      <c r="I240" s="184"/>
      <c r="J240" s="429"/>
      <c r="K240" s="53"/>
      <c r="L240" s="537"/>
      <c r="M240" s="185"/>
      <c r="N240" s="185"/>
      <c r="O240" s="185"/>
      <c r="P240" s="185"/>
      <c r="Q240" s="185"/>
      <c r="R240" s="185"/>
      <c r="S240" s="185"/>
      <c r="T240" s="181"/>
      <c r="U240" s="185"/>
      <c r="V240" s="116">
        <v>45426</v>
      </c>
      <c r="W240" s="116">
        <v>45460</v>
      </c>
      <c r="X240" s="116">
        <v>45439</v>
      </c>
      <c r="Y240" s="116">
        <v>45553</v>
      </c>
      <c r="Z240" s="158"/>
      <c r="AA240" s="43"/>
      <c r="AB240" s="43"/>
      <c r="AC240" s="54"/>
      <c r="AD240" s="43"/>
      <c r="AE240" s="170">
        <v>45504</v>
      </c>
      <c r="AF240" s="116">
        <v>45511</v>
      </c>
      <c r="AG240" s="116">
        <v>45511</v>
      </c>
      <c r="AH240" s="116">
        <v>45511</v>
      </c>
      <c r="AI240" s="366">
        <v>45523</v>
      </c>
      <c r="AJ240" s="116">
        <v>45383</v>
      </c>
      <c r="AK240" s="116">
        <v>45383</v>
      </c>
      <c r="AL240" s="116">
        <v>45524</v>
      </c>
      <c r="AM240" s="116">
        <v>45524</v>
      </c>
      <c r="AN240" s="366">
        <v>45469</v>
      </c>
      <c r="AO240" s="116">
        <v>45524</v>
      </c>
      <c r="AP240" s="116"/>
      <c r="AQ240" s="116">
        <v>45524</v>
      </c>
      <c r="AR240" s="366">
        <v>45519</v>
      </c>
      <c r="AS240" s="366">
        <v>45523</v>
      </c>
      <c r="AT240" s="116">
        <v>45527</v>
      </c>
      <c r="AU240" s="150"/>
      <c r="AV240" s="151"/>
      <c r="AW240" s="151"/>
      <c r="AX240" s="151"/>
      <c r="AY240" s="151"/>
      <c r="AZ240" s="6" t="s">
        <v>265</v>
      </c>
      <c r="BA240" s="6">
        <v>1</v>
      </c>
    </row>
    <row r="241" spans="1:53" ht="21.75" customHeight="1">
      <c r="A241" s="149">
        <v>812836</v>
      </c>
      <c r="B241" s="29" t="s">
        <v>413</v>
      </c>
      <c r="C241" s="178" t="s">
        <v>42</v>
      </c>
      <c r="D241" s="153"/>
      <c r="E241" s="30"/>
      <c r="F241" s="31" t="s">
        <v>43</v>
      </c>
      <c r="G241" s="33">
        <v>150</v>
      </c>
      <c r="H241" s="33">
        <v>400</v>
      </c>
      <c r="I241" s="34">
        <v>2</v>
      </c>
      <c r="J241" s="449" t="s">
        <v>414</v>
      </c>
      <c r="K241" s="81" t="s">
        <v>108</v>
      </c>
      <c r="L241" s="538"/>
      <c r="M241" s="30"/>
      <c r="N241" s="323" t="s">
        <v>361</v>
      </c>
      <c r="O241" s="323" t="s">
        <v>361</v>
      </c>
      <c r="P241" s="323" t="s">
        <v>373</v>
      </c>
      <c r="Q241" s="30"/>
      <c r="R241" s="30" t="s">
        <v>354</v>
      </c>
      <c r="S241" s="30" t="s">
        <v>361</v>
      </c>
      <c r="T241" s="29"/>
      <c r="U241" s="323" t="s">
        <v>354</v>
      </c>
      <c r="V241" s="36">
        <v>45283</v>
      </c>
      <c r="W241" s="36">
        <v>45301</v>
      </c>
      <c r="X241" s="36">
        <v>45283</v>
      </c>
      <c r="Y241" s="36">
        <v>45301</v>
      </c>
      <c r="Z241" s="161"/>
      <c r="AA241" s="31"/>
      <c r="AB241" s="31"/>
      <c r="AC241" s="37">
        <v>0</v>
      </c>
      <c r="AD241" s="31"/>
      <c r="AE241" s="379">
        <v>45506</v>
      </c>
      <c r="AF241" s="379">
        <v>45520</v>
      </c>
      <c r="AG241" s="379">
        <v>45520</v>
      </c>
      <c r="AH241" s="379">
        <v>45520</v>
      </c>
      <c r="AI241" s="379">
        <v>45547</v>
      </c>
      <c r="AJ241" s="378" t="s">
        <v>271</v>
      </c>
      <c r="AK241" s="378" t="s">
        <v>415</v>
      </c>
      <c r="AL241" s="379">
        <v>45529</v>
      </c>
      <c r="AM241" s="379">
        <v>45529</v>
      </c>
      <c r="AN241" s="379">
        <v>45478</v>
      </c>
      <c r="AO241" s="379">
        <v>45529</v>
      </c>
      <c r="AP241" s="379"/>
      <c r="AQ241" s="379">
        <v>45529</v>
      </c>
      <c r="AR241" s="379">
        <v>45529</v>
      </c>
      <c r="AS241" s="379">
        <v>45529</v>
      </c>
      <c r="AT241" s="379">
        <v>45534</v>
      </c>
      <c r="AU241" s="47" t="s">
        <v>547</v>
      </c>
      <c r="AV241" s="151"/>
      <c r="AW241" s="151"/>
      <c r="AX241" s="151"/>
      <c r="AY241" s="151"/>
    </row>
    <row r="242" spans="1:53" ht="19.5" customHeight="1">
      <c r="A242" s="40">
        <v>812836</v>
      </c>
      <c r="B242" s="41"/>
      <c r="C242" s="42"/>
      <c r="D242" s="42"/>
      <c r="E242" s="42"/>
      <c r="F242" s="43" t="s">
        <v>48</v>
      </c>
      <c r="G242" s="59"/>
      <c r="H242" s="59"/>
      <c r="I242" s="44"/>
      <c r="J242" s="52"/>
      <c r="K242" s="53"/>
      <c r="L242" s="537"/>
      <c r="M242" s="42"/>
      <c r="N242" s="42"/>
      <c r="O242" s="42"/>
      <c r="P242" s="42"/>
      <c r="Q242" s="42"/>
      <c r="R242" s="42"/>
      <c r="S242" s="42"/>
      <c r="T242" s="41"/>
      <c r="U242" s="42"/>
      <c r="V242" s="116">
        <v>45282</v>
      </c>
      <c r="W242" s="116">
        <v>45425</v>
      </c>
      <c r="X242" s="116">
        <v>45282</v>
      </c>
      <c r="Y242" s="116">
        <v>45498</v>
      </c>
      <c r="Z242" s="158"/>
      <c r="AA242" s="43"/>
      <c r="AB242" s="43"/>
      <c r="AC242" s="54"/>
      <c r="AD242" s="43"/>
      <c r="AE242" s="116">
        <v>45506</v>
      </c>
      <c r="AF242" s="116">
        <v>45520</v>
      </c>
      <c r="AG242" s="116">
        <v>45520</v>
      </c>
      <c r="AH242" s="116">
        <v>45520</v>
      </c>
      <c r="AI242" s="366">
        <v>45547</v>
      </c>
      <c r="AJ242" s="392" t="s">
        <v>270</v>
      </c>
      <c r="AK242" s="366">
        <v>45340</v>
      </c>
      <c r="AL242" s="116">
        <v>45529</v>
      </c>
      <c r="AM242" s="366">
        <v>45528</v>
      </c>
      <c r="AN242" s="366">
        <v>45474</v>
      </c>
      <c r="AO242" s="116">
        <v>45529</v>
      </c>
      <c r="AP242" s="116"/>
      <c r="AQ242" s="116">
        <v>45529</v>
      </c>
      <c r="AR242" s="116">
        <v>45531</v>
      </c>
      <c r="AS242" s="116">
        <v>45533</v>
      </c>
      <c r="AT242" s="116">
        <v>45534</v>
      </c>
      <c r="AU242" s="150"/>
      <c r="AV242" s="151"/>
      <c r="AW242" s="151"/>
      <c r="AX242" s="151"/>
      <c r="AY242" s="151"/>
    </row>
    <row r="243" spans="1:53" ht="18.75" customHeight="1">
      <c r="A243" s="149">
        <v>812865</v>
      </c>
      <c r="B243" s="29" t="s">
        <v>420</v>
      </c>
      <c r="C243" s="178" t="s">
        <v>42</v>
      </c>
      <c r="D243" s="153"/>
      <c r="E243" s="30"/>
      <c r="F243" s="31" t="s">
        <v>43</v>
      </c>
      <c r="G243" s="33">
        <v>250</v>
      </c>
      <c r="H243" s="33">
        <v>220</v>
      </c>
      <c r="I243" s="34">
        <v>2</v>
      </c>
      <c r="J243" s="445" t="s">
        <v>421</v>
      </c>
      <c r="K243" s="81" t="s">
        <v>464</v>
      </c>
      <c r="L243" s="538"/>
      <c r="M243" s="30"/>
      <c r="N243" s="323" t="s">
        <v>336</v>
      </c>
      <c r="O243" s="323" t="s">
        <v>72</v>
      </c>
      <c r="P243" s="323" t="s">
        <v>394</v>
      </c>
      <c r="Q243" s="30"/>
      <c r="R243" s="30" t="s">
        <v>354</v>
      </c>
      <c r="S243" s="30" t="s">
        <v>361</v>
      </c>
      <c r="T243" s="29" t="s">
        <v>370</v>
      </c>
      <c r="U243" s="323" t="s">
        <v>354</v>
      </c>
      <c r="V243" s="36">
        <v>45361</v>
      </c>
      <c r="W243" s="36">
        <v>45392</v>
      </c>
      <c r="X243" s="36">
        <v>45361</v>
      </c>
      <c r="Y243" s="36">
        <f>X243+30</f>
        <v>45391</v>
      </c>
      <c r="Z243" s="161"/>
      <c r="AA243" s="31"/>
      <c r="AB243" s="31"/>
      <c r="AC243" s="37"/>
      <c r="AD243" s="31"/>
      <c r="AE243" s="379">
        <v>45509</v>
      </c>
      <c r="AF243" s="379">
        <v>45526</v>
      </c>
      <c r="AG243" s="379">
        <v>45526</v>
      </c>
      <c r="AH243" s="379">
        <v>45526</v>
      </c>
      <c r="AI243" s="379">
        <v>45534</v>
      </c>
      <c r="AJ243" s="379">
        <v>45410</v>
      </c>
      <c r="AK243" s="378" t="s">
        <v>422</v>
      </c>
      <c r="AL243" s="379">
        <v>45532</v>
      </c>
      <c r="AM243" s="379">
        <v>45532</v>
      </c>
      <c r="AN243" s="379">
        <v>45483</v>
      </c>
      <c r="AO243" s="379">
        <v>45532</v>
      </c>
      <c r="AP243" s="379"/>
      <c r="AQ243" s="379">
        <v>45532</v>
      </c>
      <c r="AR243" s="379">
        <v>45532</v>
      </c>
      <c r="AS243" s="379">
        <v>45532</v>
      </c>
      <c r="AT243" s="379">
        <v>45535</v>
      </c>
      <c r="AU243" s="150"/>
      <c r="AV243" s="151"/>
      <c r="AW243" s="151"/>
      <c r="AX243" s="151"/>
      <c r="AY243" s="151"/>
    </row>
    <row r="244" spans="1:53" ht="18" customHeight="1">
      <c r="A244" s="40">
        <v>812865</v>
      </c>
      <c r="B244" s="41"/>
      <c r="C244" s="42"/>
      <c r="D244" s="42"/>
      <c r="E244" s="42"/>
      <c r="F244" s="43" t="s">
        <v>48</v>
      </c>
      <c r="G244" s="59"/>
      <c r="H244" s="59"/>
      <c r="I244" s="44"/>
      <c r="J244" s="52"/>
      <c r="K244" s="53"/>
      <c r="L244" s="537"/>
      <c r="M244" s="42"/>
      <c r="N244" s="42"/>
      <c r="O244" s="42"/>
      <c r="P244" s="42"/>
      <c r="Q244" s="42"/>
      <c r="R244" s="42"/>
      <c r="S244" s="42"/>
      <c r="T244" s="41"/>
      <c r="U244" s="42"/>
      <c r="V244" s="116">
        <v>45362</v>
      </c>
      <c r="W244" s="116">
        <v>45383</v>
      </c>
      <c r="X244" s="116">
        <v>45376</v>
      </c>
      <c r="Y244" s="116">
        <v>45393</v>
      </c>
      <c r="Z244" s="158"/>
      <c r="AA244" s="43"/>
      <c r="AB244" s="43"/>
      <c r="AC244" s="54"/>
      <c r="AD244" s="43"/>
      <c r="AE244" s="116">
        <v>45509</v>
      </c>
      <c r="AF244" s="366">
        <v>45510</v>
      </c>
      <c r="AG244" s="116">
        <v>45526</v>
      </c>
      <c r="AH244" s="116">
        <v>45526</v>
      </c>
      <c r="AI244" s="366">
        <v>45532</v>
      </c>
      <c r="AJ244" s="223">
        <v>45410</v>
      </c>
      <c r="AK244" s="223">
        <v>45357</v>
      </c>
      <c r="AL244" s="366">
        <v>45524</v>
      </c>
      <c r="AM244" s="116">
        <v>45532</v>
      </c>
      <c r="AN244" s="366">
        <v>45480</v>
      </c>
      <c r="AO244" s="366">
        <v>45531</v>
      </c>
      <c r="AP244" s="366"/>
      <c r="AQ244" s="366">
        <v>45531</v>
      </c>
      <c r="AR244" s="116">
        <v>45532</v>
      </c>
      <c r="AS244" s="116">
        <v>45532</v>
      </c>
      <c r="AT244" s="116">
        <v>45534</v>
      </c>
      <c r="AU244" s="150"/>
      <c r="AV244" s="151"/>
      <c r="AW244" s="151"/>
      <c r="AX244" s="151"/>
      <c r="AY244" s="151"/>
    </row>
    <row r="245" spans="1:53" ht="18.75" customHeight="1">
      <c r="A245" s="344">
        <v>812985</v>
      </c>
      <c r="B245" s="29" t="s">
        <v>539</v>
      </c>
      <c r="C245" s="178" t="s">
        <v>42</v>
      </c>
      <c r="D245" s="30"/>
      <c r="E245" s="30"/>
      <c r="F245" s="31" t="s">
        <v>43</v>
      </c>
      <c r="G245" s="33">
        <v>500</v>
      </c>
      <c r="H245" s="33">
        <v>750</v>
      </c>
      <c r="I245" s="34">
        <v>9</v>
      </c>
      <c r="J245" s="430" t="s">
        <v>540</v>
      </c>
      <c r="K245" s="66" t="s">
        <v>45</v>
      </c>
      <c r="L245" s="157"/>
      <c r="M245" s="30"/>
      <c r="N245" s="323" t="s">
        <v>336</v>
      </c>
      <c r="O245" s="323" t="s">
        <v>72</v>
      </c>
      <c r="P245" s="323" t="s">
        <v>412</v>
      </c>
      <c r="Q245" s="30"/>
      <c r="R245" s="333" t="s">
        <v>354</v>
      </c>
      <c r="S245" s="333" t="s">
        <v>406</v>
      </c>
      <c r="T245" s="333"/>
      <c r="U245" s="372" t="s">
        <v>354</v>
      </c>
      <c r="V245" s="36">
        <v>45513</v>
      </c>
      <c r="W245" s="36">
        <v>45519</v>
      </c>
      <c r="X245" s="36">
        <v>45534</v>
      </c>
      <c r="Y245" s="36">
        <f>X245+15</f>
        <v>45549</v>
      </c>
      <c r="Z245" s="66"/>
      <c r="AA245" s="31"/>
      <c r="AB245" s="31"/>
      <c r="AC245" s="37"/>
      <c r="AD245" s="31"/>
      <c r="AE245" s="379">
        <v>45514</v>
      </c>
      <c r="AF245" s="401">
        <v>45540</v>
      </c>
      <c r="AG245" s="379">
        <v>45534</v>
      </c>
      <c r="AH245" s="379">
        <v>45540</v>
      </c>
      <c r="AI245" s="379">
        <v>45540</v>
      </c>
      <c r="AJ245" s="379">
        <v>45503</v>
      </c>
      <c r="AK245" s="379">
        <v>45503</v>
      </c>
      <c r="AL245" s="379">
        <v>45541</v>
      </c>
      <c r="AM245" s="379">
        <v>45541</v>
      </c>
      <c r="AN245" s="379">
        <v>45511</v>
      </c>
      <c r="AO245" s="379">
        <v>45509</v>
      </c>
      <c r="AP245" s="379"/>
      <c r="AQ245" s="379">
        <v>45509</v>
      </c>
      <c r="AR245" s="379">
        <v>45541</v>
      </c>
      <c r="AS245" s="379">
        <v>45541</v>
      </c>
      <c r="AT245" s="379">
        <v>45545</v>
      </c>
      <c r="AU245" s="150"/>
      <c r="AV245" s="151"/>
      <c r="AW245" s="151"/>
      <c r="AX245" s="151"/>
      <c r="AY245" s="151"/>
    </row>
    <row r="246" spans="1:53" ht="18" customHeight="1" thickBot="1">
      <c r="A246" s="40">
        <v>812985</v>
      </c>
      <c r="B246" s="41"/>
      <c r="C246" s="42"/>
      <c r="D246" s="42"/>
      <c r="E246" s="42"/>
      <c r="F246" s="43" t="s">
        <v>48</v>
      </c>
      <c r="G246" s="59"/>
      <c r="H246" s="59"/>
      <c r="I246" s="44"/>
      <c r="J246" s="52"/>
      <c r="K246" s="53"/>
      <c r="L246" s="537"/>
      <c r="M246" s="42"/>
      <c r="N246" s="42"/>
      <c r="O246" s="42"/>
      <c r="P246" s="42"/>
      <c r="Q246" s="42"/>
      <c r="R246" s="42"/>
      <c r="S246" s="42"/>
      <c r="T246" s="41"/>
      <c r="U246" s="42"/>
      <c r="V246" s="116">
        <v>45513</v>
      </c>
      <c r="W246" s="116">
        <v>45541</v>
      </c>
      <c r="X246" s="116">
        <v>45565</v>
      </c>
      <c r="Y246" s="116"/>
      <c r="Z246" s="43"/>
      <c r="AA246" s="43"/>
      <c r="AB246" s="43"/>
      <c r="AC246" s="54"/>
      <c r="AD246" s="43"/>
      <c r="AE246" s="46">
        <v>45517</v>
      </c>
      <c r="AF246" s="401">
        <v>45540</v>
      </c>
      <c r="AG246" s="379">
        <v>45534</v>
      </c>
      <c r="AH246" s="46" t="s">
        <v>573</v>
      </c>
      <c r="AI246" s="46" t="s">
        <v>574</v>
      </c>
      <c r="AJ246" s="46">
        <v>45503</v>
      </c>
      <c r="AK246" s="46">
        <v>45509</v>
      </c>
      <c r="AL246" s="379">
        <v>45541</v>
      </c>
      <c r="AM246" s="46">
        <v>45588</v>
      </c>
      <c r="AN246" s="46">
        <v>45545</v>
      </c>
      <c r="AO246" s="46">
        <v>45509</v>
      </c>
      <c r="AP246" s="46"/>
      <c r="AQ246" s="46">
        <v>45509</v>
      </c>
      <c r="AR246" s="46">
        <v>45541</v>
      </c>
      <c r="AS246" s="46">
        <v>45541</v>
      </c>
      <c r="AT246" s="46">
        <v>45545</v>
      </c>
      <c r="AU246" s="194"/>
      <c r="AV246" s="151"/>
      <c r="AW246" s="151"/>
      <c r="AX246" s="151"/>
      <c r="AY246" s="151"/>
    </row>
    <row r="247" spans="1:53" ht="16.5" customHeight="1" thickBot="1">
      <c r="A247" s="364"/>
      <c r="B247" s="364"/>
      <c r="C247" s="364"/>
      <c r="D247" s="364"/>
      <c r="E247" s="364"/>
      <c r="F247" s="364"/>
      <c r="G247" s="364"/>
      <c r="H247" s="364"/>
      <c r="I247" s="364"/>
      <c r="J247" s="444"/>
      <c r="K247" s="364"/>
      <c r="L247" s="364"/>
      <c r="M247" s="364"/>
      <c r="N247" s="364"/>
      <c r="O247" s="364"/>
      <c r="P247" s="364"/>
      <c r="Q247" s="364"/>
      <c r="R247" s="364"/>
      <c r="S247" s="364"/>
      <c r="T247" s="364"/>
      <c r="U247" s="364"/>
      <c r="V247" s="364"/>
      <c r="W247" s="364"/>
      <c r="X247" s="364"/>
      <c r="Y247" s="364"/>
      <c r="Z247" s="364"/>
      <c r="AA247" s="364"/>
      <c r="AB247" s="364"/>
      <c r="AC247" s="364"/>
      <c r="AD247" s="364"/>
      <c r="AE247" s="364"/>
      <c r="AF247" s="364"/>
      <c r="AG247" s="364"/>
      <c r="AH247" s="364"/>
      <c r="AI247" s="364"/>
      <c r="AJ247" s="364"/>
      <c r="AK247" s="364"/>
      <c r="AL247" s="364"/>
      <c r="AM247" s="364"/>
      <c r="AN247" s="364"/>
      <c r="AO247" s="364"/>
      <c r="AP247" s="364"/>
      <c r="AQ247" s="364"/>
      <c r="AR247" s="364"/>
      <c r="AS247" s="364"/>
      <c r="AT247" s="364"/>
      <c r="AU247" s="371"/>
      <c r="AV247" s="27"/>
      <c r="AW247" s="27"/>
      <c r="AX247" s="27"/>
      <c r="AY247" s="27"/>
    </row>
    <row r="248" spans="1:53" ht="19.5" customHeight="1">
      <c r="A248" s="209">
        <v>812755</v>
      </c>
      <c r="B248" s="177" t="s">
        <v>441</v>
      </c>
      <c r="C248" s="178" t="s">
        <v>42</v>
      </c>
      <c r="D248" s="30"/>
      <c r="E248" s="30"/>
      <c r="F248" s="31" t="s">
        <v>43</v>
      </c>
      <c r="G248" s="50">
        <v>334</v>
      </c>
      <c r="H248" s="50">
        <v>500</v>
      </c>
      <c r="I248" s="34">
        <v>3</v>
      </c>
      <c r="J248" s="450" t="s">
        <v>442</v>
      </c>
      <c r="K248" s="81" t="s">
        <v>60</v>
      </c>
      <c r="L248" s="538"/>
      <c r="M248" s="178"/>
      <c r="N248" s="323" t="s">
        <v>336</v>
      </c>
      <c r="O248" s="323" t="s">
        <v>72</v>
      </c>
      <c r="P248" s="323" t="s">
        <v>418</v>
      </c>
      <c r="Q248" s="178"/>
      <c r="R248" s="178" t="s">
        <v>354</v>
      </c>
      <c r="S248" s="178" t="s">
        <v>354</v>
      </c>
      <c r="T248" s="334"/>
      <c r="U248" s="178" t="s">
        <v>354</v>
      </c>
      <c r="V248" s="36">
        <v>45076</v>
      </c>
      <c r="W248" s="36">
        <v>45107</v>
      </c>
      <c r="X248" s="36">
        <v>45092</v>
      </c>
      <c r="Y248" s="89">
        <v>45122</v>
      </c>
      <c r="Z248" s="161"/>
      <c r="AA248" s="200"/>
      <c r="AB248" s="200"/>
      <c r="AC248" s="200"/>
      <c r="AD248" s="200" t="s">
        <v>72</v>
      </c>
      <c r="AE248" s="379">
        <v>45524</v>
      </c>
      <c r="AF248" s="379">
        <v>45534</v>
      </c>
      <c r="AG248" s="379">
        <v>45524</v>
      </c>
      <c r="AH248" s="379">
        <v>45524</v>
      </c>
      <c r="AI248" s="379">
        <v>45540</v>
      </c>
      <c r="AJ248" s="379">
        <v>45516</v>
      </c>
      <c r="AK248" s="379">
        <v>45516</v>
      </c>
      <c r="AL248" s="379">
        <v>45516</v>
      </c>
      <c r="AM248" s="379">
        <v>45516</v>
      </c>
      <c r="AN248" s="379">
        <v>45516</v>
      </c>
      <c r="AO248" s="379">
        <v>45519</v>
      </c>
      <c r="AP248" s="379"/>
      <c r="AQ248" s="379">
        <v>45519</v>
      </c>
      <c r="AR248" s="379">
        <v>45547</v>
      </c>
      <c r="AS248" s="379">
        <v>45548</v>
      </c>
      <c r="AT248" s="379">
        <v>45551</v>
      </c>
      <c r="AU248" s="637" t="s">
        <v>560</v>
      </c>
      <c r="AV248" s="151"/>
      <c r="AW248" s="151"/>
      <c r="AX248" s="151"/>
      <c r="AY248" s="151"/>
    </row>
    <row r="249" spans="1:53" ht="18" customHeight="1">
      <c r="A249" s="180">
        <v>812755</v>
      </c>
      <c r="B249" s="181"/>
      <c r="C249" s="182"/>
      <c r="D249" s="182"/>
      <c r="E249" s="182"/>
      <c r="F249" s="43" t="s">
        <v>48</v>
      </c>
      <c r="G249" s="183"/>
      <c r="H249" s="183"/>
      <c r="I249" s="184"/>
      <c r="J249" s="429"/>
      <c r="K249" s="53"/>
      <c r="L249" s="537"/>
      <c r="M249" s="185"/>
      <c r="N249" s="185"/>
      <c r="O249" s="185"/>
      <c r="P249" s="185"/>
      <c r="Q249" s="185"/>
      <c r="R249" s="185"/>
      <c r="S249" s="185"/>
      <c r="T249" s="181"/>
      <c r="U249" s="185"/>
      <c r="V249" s="116">
        <v>45076</v>
      </c>
      <c r="W249" s="116">
        <v>45135</v>
      </c>
      <c r="X249" s="116">
        <v>45092</v>
      </c>
      <c r="Y249" s="46">
        <v>45229</v>
      </c>
      <c r="Z249" s="158"/>
      <c r="AA249" s="128"/>
      <c r="AB249" s="128"/>
      <c r="AC249" s="128"/>
      <c r="AD249" s="128"/>
      <c r="AE249" s="366">
        <v>45519</v>
      </c>
      <c r="AF249" s="116">
        <v>45534</v>
      </c>
      <c r="AG249" s="366">
        <v>45520</v>
      </c>
      <c r="AH249" s="366">
        <v>45520</v>
      </c>
      <c r="AI249" s="366">
        <v>45534</v>
      </c>
      <c r="AJ249" s="366">
        <v>45251</v>
      </c>
      <c r="AK249" s="366">
        <v>45253</v>
      </c>
      <c r="AL249" s="366">
        <v>45295</v>
      </c>
      <c r="AM249" s="366">
        <v>45191</v>
      </c>
      <c r="AN249" s="366">
        <v>45191</v>
      </c>
      <c r="AO249" s="366">
        <v>45518</v>
      </c>
      <c r="AP249" s="366"/>
      <c r="AQ249" s="366">
        <v>45518</v>
      </c>
      <c r="AR249" s="366">
        <v>45545</v>
      </c>
      <c r="AS249" s="116">
        <v>45548</v>
      </c>
      <c r="AT249" s="116">
        <v>45551</v>
      </c>
      <c r="AU249" s="638"/>
      <c r="AV249" s="151"/>
      <c r="AW249" s="151"/>
      <c r="AX249" s="151"/>
      <c r="AY249" s="151"/>
      <c r="AZ249" s="6" t="s">
        <v>264</v>
      </c>
      <c r="BA249" s="6">
        <v>4</v>
      </c>
    </row>
    <row r="250" spans="1:53" ht="21.75" customHeight="1">
      <c r="A250" s="209">
        <v>812928</v>
      </c>
      <c r="B250" s="177">
        <v>812928</v>
      </c>
      <c r="C250" s="178" t="s">
        <v>42</v>
      </c>
      <c r="D250" s="153"/>
      <c r="E250" s="153"/>
      <c r="F250" s="31" t="s">
        <v>43</v>
      </c>
      <c r="G250" s="50">
        <v>115</v>
      </c>
      <c r="H250" s="50">
        <v>330</v>
      </c>
      <c r="I250" s="34">
        <v>1</v>
      </c>
      <c r="J250" s="434" t="s">
        <v>425</v>
      </c>
      <c r="K250" s="81" t="s">
        <v>477</v>
      </c>
      <c r="L250" s="538"/>
      <c r="M250" s="178"/>
      <c r="N250" s="316" t="s">
        <v>426</v>
      </c>
      <c r="O250" s="316" t="s">
        <v>72</v>
      </c>
      <c r="P250" s="316" t="s">
        <v>412</v>
      </c>
      <c r="Q250" s="178"/>
      <c r="R250" s="178" t="s">
        <v>354</v>
      </c>
      <c r="S250" s="178" t="s">
        <v>361</v>
      </c>
      <c r="T250" s="177"/>
      <c r="U250" s="323" t="s">
        <v>354</v>
      </c>
      <c r="V250" s="36">
        <v>45442</v>
      </c>
      <c r="W250" s="36">
        <f>V250+15</f>
        <v>45457</v>
      </c>
      <c r="X250" s="36">
        <v>45442</v>
      </c>
      <c r="Y250" s="36">
        <f>X250+15</f>
        <v>45457</v>
      </c>
      <c r="Z250" s="161"/>
      <c r="AA250" s="200" t="s">
        <v>72</v>
      </c>
      <c r="AB250" s="200" t="s">
        <v>571</v>
      </c>
      <c r="AC250" s="200"/>
      <c r="AD250" s="200"/>
      <c r="AE250" s="379">
        <v>45544</v>
      </c>
      <c r="AF250" s="379">
        <v>45540</v>
      </c>
      <c r="AG250" s="379">
        <v>45544</v>
      </c>
      <c r="AH250" s="379">
        <v>45541</v>
      </c>
      <c r="AI250" s="379">
        <v>45545</v>
      </c>
      <c r="AJ250" s="379">
        <v>45458</v>
      </c>
      <c r="AK250" s="379">
        <v>45448</v>
      </c>
      <c r="AL250" s="379">
        <v>45545</v>
      </c>
      <c r="AM250" s="379">
        <v>45545</v>
      </c>
      <c r="AN250" s="379">
        <v>45509</v>
      </c>
      <c r="AO250" s="379">
        <v>45545</v>
      </c>
      <c r="AP250" s="379"/>
      <c r="AQ250" s="379">
        <v>45545</v>
      </c>
      <c r="AR250" s="379">
        <v>45545</v>
      </c>
      <c r="AS250" s="379">
        <v>45547</v>
      </c>
      <c r="AT250" s="379">
        <v>45549</v>
      </c>
      <c r="AU250" s="638"/>
      <c r="AV250" s="151"/>
      <c r="AW250" s="151"/>
      <c r="AX250" s="151"/>
      <c r="AY250" s="151"/>
      <c r="AZ250" s="6" t="s">
        <v>265</v>
      </c>
      <c r="BA250" s="6">
        <v>2</v>
      </c>
    </row>
    <row r="251" spans="1:53" ht="16.5" customHeight="1">
      <c r="A251" s="180">
        <v>812928</v>
      </c>
      <c r="B251" s="181"/>
      <c r="C251" s="182"/>
      <c r="D251" s="182"/>
      <c r="E251" s="182"/>
      <c r="F251" s="43" t="s">
        <v>48</v>
      </c>
      <c r="G251" s="183"/>
      <c r="H251" s="183"/>
      <c r="I251" s="184"/>
      <c r="J251" s="429"/>
      <c r="K251" s="53"/>
      <c r="L251" s="537"/>
      <c r="M251" s="185"/>
      <c r="N251" s="185"/>
      <c r="O251" s="185"/>
      <c r="P251" s="185"/>
      <c r="Q251" s="185"/>
      <c r="R251" s="185"/>
      <c r="S251" s="185"/>
      <c r="T251" s="181"/>
      <c r="U251" s="185"/>
      <c r="V251" s="116">
        <v>45441</v>
      </c>
      <c r="W251" s="116">
        <v>45461</v>
      </c>
      <c r="X251" s="116" t="s">
        <v>513</v>
      </c>
      <c r="Y251" s="116">
        <v>45461</v>
      </c>
      <c r="Z251" s="158"/>
      <c r="AA251" s="128"/>
      <c r="AB251" s="128"/>
      <c r="AC251" s="128"/>
      <c r="AD251" s="128"/>
      <c r="AE251" s="366">
        <v>45513</v>
      </c>
      <c r="AF251" s="170">
        <v>45546</v>
      </c>
      <c r="AG251" s="116">
        <v>45544</v>
      </c>
      <c r="AH251" s="116">
        <v>45545</v>
      </c>
      <c r="AI251" s="116">
        <v>45545</v>
      </c>
      <c r="AJ251" s="170">
        <v>45503</v>
      </c>
      <c r="AK251" s="366">
        <v>45436</v>
      </c>
      <c r="AL251" s="116">
        <v>45525</v>
      </c>
      <c r="AM251" s="116">
        <v>45545</v>
      </c>
      <c r="AN251" s="366">
        <v>45484</v>
      </c>
      <c r="AO251" s="116">
        <v>45551</v>
      </c>
      <c r="AP251" s="116"/>
      <c r="AQ251" s="116">
        <v>45551</v>
      </c>
      <c r="AR251" s="116">
        <v>45541</v>
      </c>
      <c r="AS251" s="116">
        <v>45547</v>
      </c>
      <c r="AT251" s="116">
        <v>45549</v>
      </c>
      <c r="AU251" s="638"/>
      <c r="AV251" s="151"/>
      <c r="AW251" s="151"/>
      <c r="AX251" s="151"/>
      <c r="AY251" s="151"/>
    </row>
    <row r="252" spans="1:53" ht="21" customHeight="1">
      <c r="A252" s="209">
        <v>812945</v>
      </c>
      <c r="B252" s="177" t="s">
        <v>423</v>
      </c>
      <c r="C252" s="178" t="s">
        <v>42</v>
      </c>
      <c r="D252" s="153"/>
      <c r="E252" s="153"/>
      <c r="F252" s="31" t="s">
        <v>43</v>
      </c>
      <c r="G252" s="50">
        <v>100</v>
      </c>
      <c r="H252" s="50">
        <v>220</v>
      </c>
      <c r="I252" s="34">
        <v>2</v>
      </c>
      <c r="J252" s="451" t="s">
        <v>424</v>
      </c>
      <c r="K252" s="81" t="s">
        <v>476</v>
      </c>
      <c r="L252" s="538"/>
      <c r="M252" s="178"/>
      <c r="N252" s="316" t="s">
        <v>336</v>
      </c>
      <c r="O252" s="316" t="s">
        <v>72</v>
      </c>
      <c r="P252" s="316" t="s">
        <v>412</v>
      </c>
      <c r="Q252" s="324"/>
      <c r="R252" s="30" t="s">
        <v>354</v>
      </c>
      <c r="S252" s="30" t="s">
        <v>361</v>
      </c>
      <c r="T252" s="177"/>
      <c r="U252" s="323" t="s">
        <v>354</v>
      </c>
      <c r="V252" s="36">
        <v>45427</v>
      </c>
      <c r="W252" s="36">
        <f>V252+15</f>
        <v>45442</v>
      </c>
      <c r="X252" s="36">
        <v>45442</v>
      </c>
      <c r="Y252" s="36">
        <f>X252+15</f>
        <v>45457</v>
      </c>
      <c r="Z252" s="161"/>
      <c r="AA252" s="200" t="s">
        <v>72</v>
      </c>
      <c r="AB252" s="200" t="s">
        <v>490</v>
      </c>
      <c r="AC252" s="200"/>
      <c r="AD252" s="200" t="s">
        <v>72</v>
      </c>
      <c r="AE252" s="379">
        <v>45545</v>
      </c>
      <c r="AF252" s="379">
        <v>45548</v>
      </c>
      <c r="AG252" s="379">
        <v>45548</v>
      </c>
      <c r="AH252" s="379">
        <v>45546</v>
      </c>
      <c r="AI252" s="379">
        <v>45555</v>
      </c>
      <c r="AJ252" s="379">
        <v>45436</v>
      </c>
      <c r="AK252" s="379">
        <v>45436</v>
      </c>
      <c r="AL252" s="379">
        <v>45555</v>
      </c>
      <c r="AM252" s="379">
        <v>45555</v>
      </c>
      <c r="AN252" s="379">
        <v>45510</v>
      </c>
      <c r="AO252" s="379">
        <v>45555</v>
      </c>
      <c r="AP252" s="379"/>
      <c r="AQ252" s="379">
        <v>45555</v>
      </c>
      <c r="AR252" s="379">
        <v>45555</v>
      </c>
      <c r="AS252" s="379">
        <v>45558</v>
      </c>
      <c r="AT252" s="379">
        <v>45560</v>
      </c>
      <c r="AU252" s="638"/>
      <c r="AV252" s="151"/>
      <c r="AW252" s="151"/>
      <c r="AX252" s="151"/>
      <c r="AY252" s="151"/>
    </row>
    <row r="253" spans="1:53" ht="21" customHeight="1">
      <c r="A253" s="180">
        <v>812945</v>
      </c>
      <c r="B253" s="181"/>
      <c r="C253" s="182"/>
      <c r="D253" s="182"/>
      <c r="E253" s="182"/>
      <c r="F253" s="43" t="s">
        <v>48</v>
      </c>
      <c r="G253" s="183"/>
      <c r="H253" s="183"/>
      <c r="I253" s="184"/>
      <c r="J253" s="429"/>
      <c r="K253" s="53"/>
      <c r="L253" s="537"/>
      <c r="M253" s="185"/>
      <c r="N253" s="185"/>
      <c r="O253" s="185"/>
      <c r="P253" s="185"/>
      <c r="Q253" s="185"/>
      <c r="R253" s="185"/>
      <c r="S253" s="185"/>
      <c r="T253" s="181"/>
      <c r="U253" s="185"/>
      <c r="V253" s="116">
        <v>45441</v>
      </c>
      <c r="W253" s="116">
        <v>45512</v>
      </c>
      <c r="X253" s="116" t="s">
        <v>513</v>
      </c>
      <c r="Y253" s="116">
        <v>45525</v>
      </c>
      <c r="Z253" s="158"/>
      <c r="AA253" s="128"/>
      <c r="AB253" s="128"/>
      <c r="AC253" s="128"/>
      <c r="AD253" s="128"/>
      <c r="AE253" s="116">
        <v>45545</v>
      </c>
      <c r="AF253" s="170">
        <v>45549</v>
      </c>
      <c r="AG253" s="170">
        <v>45549</v>
      </c>
      <c r="AH253" s="170">
        <v>45550</v>
      </c>
      <c r="AI253" s="366">
        <v>45555</v>
      </c>
      <c r="AJ253" s="116">
        <v>45436</v>
      </c>
      <c r="AK253" s="116">
        <v>45436</v>
      </c>
      <c r="AL253" s="366">
        <v>45555</v>
      </c>
      <c r="AM253" s="170">
        <v>45557</v>
      </c>
      <c r="AN253" s="366">
        <v>45507</v>
      </c>
      <c r="AO253" s="366">
        <v>45555</v>
      </c>
      <c r="AP253" s="366"/>
      <c r="AQ253" s="366">
        <v>45555</v>
      </c>
      <c r="AR253" s="116">
        <v>45555</v>
      </c>
      <c r="AS253" s="116">
        <v>45558</v>
      </c>
      <c r="AT253" s="116">
        <v>45564</v>
      </c>
      <c r="AU253" s="638"/>
      <c r="AV253" s="151"/>
      <c r="AW253" s="151"/>
      <c r="AX253" s="151"/>
      <c r="AY253" s="151"/>
    </row>
    <row r="254" spans="1:53" ht="21.75" customHeight="1">
      <c r="A254" s="340">
        <v>812998</v>
      </c>
      <c r="B254" s="29" t="s">
        <v>548</v>
      </c>
      <c r="C254" s="30" t="s">
        <v>55</v>
      </c>
      <c r="D254" s="153">
        <v>0.5</v>
      </c>
      <c r="E254" s="153">
        <v>0.1</v>
      </c>
      <c r="F254" s="31" t="s">
        <v>43</v>
      </c>
      <c r="G254" s="33">
        <v>125</v>
      </c>
      <c r="H254" s="33">
        <v>275</v>
      </c>
      <c r="I254" s="34">
        <v>2</v>
      </c>
      <c r="J254" s="452" t="s">
        <v>551</v>
      </c>
      <c r="K254" s="66" t="s">
        <v>66</v>
      </c>
      <c r="L254" s="157"/>
      <c r="M254" s="30"/>
      <c r="N254" s="323" t="s">
        <v>562</v>
      </c>
      <c r="O254" s="319" t="s">
        <v>72</v>
      </c>
      <c r="P254" s="319" t="s">
        <v>360</v>
      </c>
      <c r="Q254" s="319" t="s">
        <v>270</v>
      </c>
      <c r="R254" s="30" t="s">
        <v>354</v>
      </c>
      <c r="S254" s="30" t="s">
        <v>361</v>
      </c>
      <c r="T254" s="29"/>
      <c r="U254" s="30" t="s">
        <v>354</v>
      </c>
      <c r="V254" s="36">
        <v>45517</v>
      </c>
      <c r="W254" s="36">
        <f>V254+15</f>
        <v>45532</v>
      </c>
      <c r="X254" s="36">
        <v>45534</v>
      </c>
      <c r="Y254" s="36">
        <f>X254+15</f>
        <v>45549</v>
      </c>
      <c r="Z254" s="66"/>
      <c r="AA254" s="200" t="s">
        <v>72</v>
      </c>
      <c r="AB254" s="200" t="s">
        <v>586</v>
      </c>
      <c r="AC254" s="200"/>
      <c r="AD254" s="200"/>
      <c r="AE254" s="379">
        <v>45548</v>
      </c>
      <c r="AF254" s="379">
        <v>45548</v>
      </c>
      <c r="AG254" s="379">
        <v>45548</v>
      </c>
      <c r="AH254" s="379">
        <v>45548</v>
      </c>
      <c r="AI254" s="379">
        <v>45559</v>
      </c>
      <c r="AJ254" s="379">
        <v>45534</v>
      </c>
      <c r="AK254" s="379">
        <v>45519</v>
      </c>
      <c r="AL254" s="379">
        <v>45559</v>
      </c>
      <c r="AM254" s="379">
        <v>45559</v>
      </c>
      <c r="AN254" s="379">
        <v>45540</v>
      </c>
      <c r="AO254" s="379">
        <v>45559</v>
      </c>
      <c r="AP254" s="379"/>
      <c r="AQ254" s="379">
        <v>45559</v>
      </c>
      <c r="AR254" s="379">
        <v>45559</v>
      </c>
      <c r="AS254" s="379">
        <v>45561</v>
      </c>
      <c r="AT254" s="379">
        <v>45563</v>
      </c>
      <c r="AU254" s="638"/>
      <c r="AV254" s="151"/>
      <c r="AW254" s="151"/>
      <c r="AX254" s="151"/>
      <c r="AY254" s="151"/>
    </row>
    <row r="255" spans="1:53" ht="18" customHeight="1">
      <c r="A255" s="40">
        <v>812998</v>
      </c>
      <c r="B255" s="41"/>
      <c r="C255" s="42">
        <v>812926</v>
      </c>
      <c r="D255" s="42"/>
      <c r="E255" s="42"/>
      <c r="F255" s="43" t="s">
        <v>48</v>
      </c>
      <c r="G255" s="59"/>
      <c r="H255" s="59"/>
      <c r="I255" s="44"/>
      <c r="J255" s="52"/>
      <c r="K255" s="53"/>
      <c r="L255" s="537"/>
      <c r="M255" s="42"/>
      <c r="N255" s="42"/>
      <c r="O255" s="42"/>
      <c r="P255" s="42"/>
      <c r="Q255" s="42"/>
      <c r="R255" s="42"/>
      <c r="S255" s="42"/>
      <c r="T255" s="41"/>
      <c r="U255" s="42"/>
      <c r="V255" s="116">
        <v>45517</v>
      </c>
      <c r="W255" s="116">
        <v>45574</v>
      </c>
      <c r="X255" s="116">
        <v>45549</v>
      </c>
      <c r="Y255" s="116" t="s">
        <v>587</v>
      </c>
      <c r="Z255" s="43"/>
      <c r="AA255" s="128"/>
      <c r="AB255" s="128"/>
      <c r="AC255" s="128"/>
      <c r="AD255" s="128"/>
      <c r="AE255" s="366">
        <v>45545</v>
      </c>
      <c r="AF255" s="366">
        <v>45548</v>
      </c>
      <c r="AG255" s="366">
        <v>45548</v>
      </c>
      <c r="AH255" s="366">
        <v>45548</v>
      </c>
      <c r="AI255" s="366">
        <v>45559</v>
      </c>
      <c r="AJ255" s="366">
        <v>45520</v>
      </c>
      <c r="AK255" s="366">
        <v>45516</v>
      </c>
      <c r="AL255" s="366">
        <v>45554</v>
      </c>
      <c r="AM255" s="366">
        <v>45562</v>
      </c>
      <c r="AN255" s="116">
        <v>45540</v>
      </c>
      <c r="AO255" s="366">
        <v>45554</v>
      </c>
      <c r="AP255" s="366"/>
      <c r="AQ255" s="366">
        <v>45554</v>
      </c>
      <c r="AR255" s="116">
        <v>45559</v>
      </c>
      <c r="AS255" s="366">
        <v>45561</v>
      </c>
      <c r="AT255" s="116">
        <v>45563</v>
      </c>
      <c r="AU255" s="638"/>
      <c r="AV255" s="151"/>
      <c r="AW255" s="151"/>
      <c r="AX255" s="151"/>
      <c r="AY255" s="151"/>
    </row>
    <row r="256" spans="1:53" ht="19.5" customHeight="1">
      <c r="A256" s="340">
        <v>812936</v>
      </c>
      <c r="B256" s="29" t="s">
        <v>443</v>
      </c>
      <c r="C256" s="178" t="s">
        <v>42</v>
      </c>
      <c r="D256" s="30"/>
      <c r="E256" s="30"/>
      <c r="F256" s="31" t="s">
        <v>43</v>
      </c>
      <c r="G256" s="33">
        <v>240</v>
      </c>
      <c r="H256" s="33">
        <v>220</v>
      </c>
      <c r="I256" s="34">
        <v>2</v>
      </c>
      <c r="J256" s="434" t="s">
        <v>444</v>
      </c>
      <c r="K256" s="198" t="s">
        <v>463</v>
      </c>
      <c r="L256" s="197"/>
      <c r="M256" s="30"/>
      <c r="N256" s="316" t="s">
        <v>336</v>
      </c>
      <c r="O256" s="319" t="s">
        <v>72</v>
      </c>
      <c r="P256" s="316" t="s">
        <v>418</v>
      </c>
      <c r="Q256" s="30"/>
      <c r="R256" s="178" t="s">
        <v>354</v>
      </c>
      <c r="S256" s="178" t="s">
        <v>354</v>
      </c>
      <c r="T256" s="29"/>
      <c r="U256" s="178" t="s">
        <v>354</v>
      </c>
      <c r="V256" s="36">
        <v>45392</v>
      </c>
      <c r="W256" s="36">
        <f>V256+15</f>
        <v>45407</v>
      </c>
      <c r="X256" s="36">
        <v>45407</v>
      </c>
      <c r="Y256" s="36">
        <f>X256+15</f>
        <v>45422</v>
      </c>
      <c r="Z256" s="66"/>
      <c r="AA256" s="200" t="s">
        <v>72</v>
      </c>
      <c r="AB256" s="200"/>
      <c r="AC256" s="200"/>
      <c r="AD256" s="200"/>
      <c r="AE256" s="379">
        <v>45549</v>
      </c>
      <c r="AF256" s="379">
        <v>45565</v>
      </c>
      <c r="AG256" s="379">
        <v>45562</v>
      </c>
      <c r="AH256" s="379">
        <v>45561</v>
      </c>
      <c r="AI256" s="379">
        <v>45562</v>
      </c>
      <c r="AJ256" s="402">
        <v>45471</v>
      </c>
      <c r="AK256" s="402">
        <v>39745</v>
      </c>
      <c r="AL256" s="379">
        <v>45562</v>
      </c>
      <c r="AM256" s="379">
        <v>45562</v>
      </c>
      <c r="AN256" s="379">
        <v>45544</v>
      </c>
      <c r="AO256" s="379">
        <v>45562</v>
      </c>
      <c r="AP256" s="379"/>
      <c r="AQ256" s="379">
        <v>45562</v>
      </c>
      <c r="AR256" s="379">
        <v>45562</v>
      </c>
      <c r="AS256" s="379">
        <v>45564</v>
      </c>
      <c r="AT256" s="379">
        <v>45565</v>
      </c>
      <c r="AU256" s="638"/>
      <c r="AV256" s="151"/>
      <c r="AW256" s="151"/>
      <c r="AX256" s="151"/>
      <c r="AY256" s="151"/>
    </row>
    <row r="257" spans="1:51" ht="19.5" customHeight="1" thickBot="1">
      <c r="A257" s="40">
        <v>812936</v>
      </c>
      <c r="B257" s="41"/>
      <c r="C257" s="42"/>
      <c r="D257" s="42"/>
      <c r="E257" s="42"/>
      <c r="F257" s="43" t="s">
        <v>48</v>
      </c>
      <c r="G257" s="59"/>
      <c r="H257" s="59"/>
      <c r="I257" s="44"/>
      <c r="J257" s="52"/>
      <c r="K257" s="53"/>
      <c r="L257" s="537"/>
      <c r="M257" s="42"/>
      <c r="N257" s="42"/>
      <c r="O257" s="42"/>
      <c r="P257" s="42"/>
      <c r="Q257" s="42"/>
      <c r="R257" s="42"/>
      <c r="S257" s="42"/>
      <c r="T257" s="41"/>
      <c r="U257" s="42"/>
      <c r="V257" s="116">
        <v>45392</v>
      </c>
      <c r="W257" s="116">
        <v>45469</v>
      </c>
      <c r="X257" s="116">
        <v>45407</v>
      </c>
      <c r="Y257" s="116">
        <v>45562</v>
      </c>
      <c r="Z257" s="43"/>
      <c r="AA257" s="128"/>
      <c r="AB257" s="128"/>
      <c r="AC257" s="128"/>
      <c r="AD257" s="128"/>
      <c r="AE257" s="116">
        <v>45549</v>
      </c>
      <c r="AF257" s="116">
        <v>45565</v>
      </c>
      <c r="AG257" s="116">
        <v>45559</v>
      </c>
      <c r="AH257" s="366">
        <v>45561</v>
      </c>
      <c r="AI257" s="366">
        <v>45562</v>
      </c>
      <c r="AJ257" s="403">
        <v>45471</v>
      </c>
      <c r="AK257" s="404">
        <v>45461</v>
      </c>
      <c r="AL257" s="404">
        <v>45553</v>
      </c>
      <c r="AM257" s="404">
        <v>45562</v>
      </c>
      <c r="AN257" s="170">
        <v>45562</v>
      </c>
      <c r="AO257" s="366">
        <v>45562</v>
      </c>
      <c r="AP257" s="366"/>
      <c r="AQ257" s="366">
        <v>45562</v>
      </c>
      <c r="AR257" s="366">
        <v>45562</v>
      </c>
      <c r="AS257" s="366">
        <v>45564</v>
      </c>
      <c r="AT257" s="366">
        <v>45565</v>
      </c>
      <c r="AU257" s="639"/>
      <c r="AV257" s="151"/>
      <c r="AW257" s="151"/>
      <c r="AX257" s="151"/>
      <c r="AY257" s="151"/>
    </row>
    <row r="258" spans="1:51" ht="16.5" customHeight="1" thickBot="1">
      <c r="A258" s="364"/>
      <c r="B258" s="364"/>
      <c r="C258" s="364"/>
      <c r="D258" s="364"/>
      <c r="E258" s="364"/>
      <c r="F258" s="364"/>
      <c r="G258" s="364"/>
      <c r="H258" s="364"/>
      <c r="I258" s="364"/>
      <c r="J258" s="444"/>
      <c r="K258" s="364"/>
      <c r="L258" s="364"/>
      <c r="M258" s="364"/>
      <c r="N258" s="364"/>
      <c r="O258" s="364"/>
      <c r="P258" s="364"/>
      <c r="Q258" s="364"/>
      <c r="R258" s="364"/>
      <c r="S258" s="364"/>
      <c r="T258" s="364"/>
      <c r="U258" s="364"/>
      <c r="V258" s="364"/>
      <c r="W258" s="364"/>
      <c r="X258" s="364"/>
      <c r="Y258" s="364"/>
      <c r="Z258" s="364"/>
      <c r="AA258" s="364"/>
      <c r="AB258" s="364"/>
      <c r="AC258" s="364"/>
      <c r="AD258" s="364"/>
      <c r="AE258" s="364"/>
      <c r="AF258" s="364"/>
      <c r="AG258" s="364"/>
      <c r="AH258" s="364"/>
      <c r="AI258" s="364"/>
      <c r="AJ258" s="364"/>
      <c r="AK258" s="364"/>
      <c r="AL258" s="364"/>
      <c r="AM258" s="364"/>
      <c r="AN258" s="364"/>
      <c r="AO258" s="364"/>
      <c r="AP258" s="364"/>
      <c r="AQ258" s="364"/>
      <c r="AR258" s="364"/>
      <c r="AS258" s="364"/>
      <c r="AT258" s="364"/>
      <c r="AU258" s="371"/>
      <c r="AV258" s="27"/>
      <c r="AW258" s="27"/>
      <c r="AX258" s="27"/>
      <c r="AY258" s="27"/>
    </row>
    <row r="259" spans="1:51" ht="18.75" customHeight="1">
      <c r="A259" s="340">
        <v>812955</v>
      </c>
      <c r="B259" s="29" t="s">
        <v>585</v>
      </c>
      <c r="C259" s="178" t="s">
        <v>42</v>
      </c>
      <c r="D259" s="30"/>
      <c r="E259" s="30"/>
      <c r="F259" s="31" t="s">
        <v>43</v>
      </c>
      <c r="G259" s="33">
        <v>170</v>
      </c>
      <c r="H259" s="33">
        <v>275</v>
      </c>
      <c r="I259" s="34">
        <v>3</v>
      </c>
      <c r="J259" s="446" t="s">
        <v>493</v>
      </c>
      <c r="K259" s="66" t="s">
        <v>108</v>
      </c>
      <c r="L259" s="157"/>
      <c r="M259" s="30"/>
      <c r="N259" s="323" t="s">
        <v>336</v>
      </c>
      <c r="O259" s="319" t="s">
        <v>72</v>
      </c>
      <c r="P259" s="323" t="s">
        <v>501</v>
      </c>
      <c r="Q259" s="30"/>
      <c r="R259" s="30" t="s">
        <v>354</v>
      </c>
      <c r="S259" s="30" t="s">
        <v>361</v>
      </c>
      <c r="T259" s="29"/>
      <c r="U259" s="30" t="s">
        <v>354</v>
      </c>
      <c r="V259" s="36">
        <v>45503</v>
      </c>
      <c r="W259" s="36">
        <f>V259+15</f>
        <v>45518</v>
      </c>
      <c r="X259" s="36">
        <v>45503</v>
      </c>
      <c r="Y259" s="36">
        <f>X259+15</f>
        <v>45518</v>
      </c>
      <c r="Z259" s="66"/>
      <c r="AA259" s="31"/>
      <c r="AB259" s="31"/>
      <c r="AC259" s="37"/>
      <c r="AD259" s="31"/>
      <c r="AE259" s="36">
        <v>45563</v>
      </c>
      <c r="AF259" s="36">
        <v>45577</v>
      </c>
      <c r="AG259" s="36">
        <v>45577</v>
      </c>
      <c r="AH259" s="36">
        <v>45577</v>
      </c>
      <c r="AI259" s="36">
        <v>45583</v>
      </c>
      <c r="AJ259" s="36">
        <v>45460</v>
      </c>
      <c r="AK259" s="36">
        <v>45460</v>
      </c>
      <c r="AL259" s="36">
        <v>45583</v>
      </c>
      <c r="AM259" s="36">
        <v>45583</v>
      </c>
      <c r="AN259" s="36">
        <v>45549</v>
      </c>
      <c r="AO259" s="36">
        <v>45583</v>
      </c>
      <c r="AP259" s="36"/>
      <c r="AQ259" s="36">
        <v>45583</v>
      </c>
      <c r="AR259" s="379">
        <v>45583</v>
      </c>
      <c r="AS259" s="379">
        <v>45583</v>
      </c>
      <c r="AT259" s="379">
        <v>45587</v>
      </c>
      <c r="AU259" s="150"/>
      <c r="AV259" s="27"/>
      <c r="AW259" s="27"/>
      <c r="AX259" s="27"/>
      <c r="AY259" s="27"/>
    </row>
    <row r="260" spans="1:51" ht="19.5" customHeight="1">
      <c r="A260" s="40">
        <v>812955</v>
      </c>
      <c r="B260" s="41"/>
      <c r="C260" s="41"/>
      <c r="D260" s="42"/>
      <c r="E260" s="42"/>
      <c r="F260" s="43" t="s">
        <v>48</v>
      </c>
      <c r="G260" s="59"/>
      <c r="H260" s="59"/>
      <c r="I260" s="44"/>
      <c r="J260" s="52"/>
      <c r="K260" s="53"/>
      <c r="L260" s="537"/>
      <c r="M260" s="42"/>
      <c r="N260" s="42"/>
      <c r="O260" s="42"/>
      <c r="P260" s="42"/>
      <c r="Q260" s="42"/>
      <c r="R260" s="42"/>
      <c r="S260" s="42"/>
      <c r="T260" s="41"/>
      <c r="U260" s="42"/>
      <c r="V260" s="116">
        <v>45513</v>
      </c>
      <c r="W260" s="116">
        <v>45565</v>
      </c>
      <c r="X260" s="116">
        <v>45539</v>
      </c>
      <c r="Y260" s="116">
        <v>45563</v>
      </c>
      <c r="Z260" s="43"/>
      <c r="AA260" s="43"/>
      <c r="AB260" s="43"/>
      <c r="AC260" s="54"/>
      <c r="AD260" s="43"/>
      <c r="AE260" s="116">
        <v>45546</v>
      </c>
      <c r="AF260" s="116">
        <v>40463</v>
      </c>
      <c r="AG260" s="366">
        <v>40506</v>
      </c>
      <c r="AH260" s="392" t="s">
        <v>597</v>
      </c>
      <c r="AI260" s="118" t="s">
        <v>598</v>
      </c>
      <c r="AJ260" s="366">
        <v>39075</v>
      </c>
      <c r="AK260" s="392" t="s">
        <v>524</v>
      </c>
      <c r="AL260" s="366">
        <v>40506</v>
      </c>
      <c r="AM260" s="118" t="s">
        <v>598</v>
      </c>
      <c r="AN260" s="170">
        <v>45564</v>
      </c>
      <c r="AO260" s="116">
        <v>45576</v>
      </c>
      <c r="AP260" s="116"/>
      <c r="AQ260" s="116">
        <v>45576</v>
      </c>
      <c r="AR260" s="116">
        <v>45580</v>
      </c>
      <c r="AS260" s="116">
        <v>45582</v>
      </c>
      <c r="AT260" s="116">
        <v>45595</v>
      </c>
      <c r="AU260" s="150"/>
      <c r="AV260" s="27"/>
      <c r="AW260" s="27"/>
      <c r="AX260" s="27"/>
      <c r="AY260" s="27"/>
    </row>
    <row r="261" spans="1:51" ht="21" customHeight="1">
      <c r="A261" s="340">
        <v>812958</v>
      </c>
      <c r="B261" s="29" t="s">
        <v>460</v>
      </c>
      <c r="C261" s="178" t="s">
        <v>42</v>
      </c>
      <c r="D261" s="30"/>
      <c r="E261" s="30"/>
      <c r="F261" s="31" t="s">
        <v>43</v>
      </c>
      <c r="G261" s="33">
        <v>180</v>
      </c>
      <c r="H261" s="33">
        <v>220</v>
      </c>
      <c r="I261" s="34">
        <v>5</v>
      </c>
      <c r="J261" s="329" t="s">
        <v>461</v>
      </c>
      <c r="K261" s="66" t="s">
        <v>384</v>
      </c>
      <c r="L261" s="157"/>
      <c r="M261" s="30"/>
      <c r="N261" s="323" t="s">
        <v>336</v>
      </c>
      <c r="O261" s="323" t="s">
        <v>72</v>
      </c>
      <c r="P261" s="323" t="s">
        <v>389</v>
      </c>
      <c r="Q261" s="30"/>
      <c r="R261" s="30" t="s">
        <v>354</v>
      </c>
      <c r="S261" s="30" t="s">
        <v>361</v>
      </c>
      <c r="T261" s="395"/>
      <c r="U261" s="316" t="s">
        <v>354</v>
      </c>
      <c r="V261" s="36">
        <v>45463</v>
      </c>
      <c r="W261" s="36">
        <f>V261+15</f>
        <v>45478</v>
      </c>
      <c r="X261" s="36">
        <v>45463</v>
      </c>
      <c r="Y261" s="36">
        <f>X261+15</f>
        <v>45478</v>
      </c>
      <c r="Z261" s="66"/>
      <c r="AA261" s="31"/>
      <c r="AB261" s="31"/>
      <c r="AC261" s="37" t="s">
        <v>570</v>
      </c>
      <c r="AD261" s="31" t="s">
        <v>72</v>
      </c>
      <c r="AE261" s="36">
        <v>45565</v>
      </c>
      <c r="AF261" s="36">
        <v>45582</v>
      </c>
      <c r="AG261" s="36">
        <v>45582</v>
      </c>
      <c r="AH261" s="36">
        <v>45582</v>
      </c>
      <c r="AI261" s="36">
        <v>45587</v>
      </c>
      <c r="AJ261" s="36">
        <v>45461</v>
      </c>
      <c r="AK261" s="36">
        <v>45471</v>
      </c>
      <c r="AL261" s="36">
        <v>45587</v>
      </c>
      <c r="AM261" s="36">
        <v>45587</v>
      </c>
      <c r="AN261" s="36">
        <v>45555</v>
      </c>
      <c r="AO261" s="36">
        <v>45587</v>
      </c>
      <c r="AP261" s="36"/>
      <c r="AQ261" s="36">
        <v>45587</v>
      </c>
      <c r="AR261" s="379">
        <v>45587</v>
      </c>
      <c r="AS261" s="379">
        <v>45587</v>
      </c>
      <c r="AT261" s="379">
        <v>45595</v>
      </c>
      <c r="AU261" s="150"/>
      <c r="AV261" s="151"/>
      <c r="AW261" s="151"/>
      <c r="AX261" s="151"/>
      <c r="AY261" s="151"/>
    </row>
    <row r="262" spans="1:51" ht="21" customHeight="1">
      <c r="A262" s="40">
        <v>812958</v>
      </c>
      <c r="B262" s="41"/>
      <c r="C262" s="42"/>
      <c r="D262" s="42"/>
      <c r="E262" s="42"/>
      <c r="F262" s="43" t="s">
        <v>48</v>
      </c>
      <c r="G262" s="59"/>
      <c r="H262" s="59"/>
      <c r="I262" s="44"/>
      <c r="J262" s="52"/>
      <c r="K262" s="53"/>
      <c r="L262" s="537"/>
      <c r="M262" s="42"/>
      <c r="N262" s="42"/>
      <c r="O262" s="42"/>
      <c r="P262" s="42"/>
      <c r="Q262" s="42"/>
      <c r="R262" s="42"/>
      <c r="S262" s="42"/>
      <c r="T262" s="41"/>
      <c r="U262" s="42"/>
      <c r="V262" s="116">
        <v>45460</v>
      </c>
      <c r="W262" s="116">
        <v>45530</v>
      </c>
      <c r="X262" s="116" t="s">
        <v>588</v>
      </c>
      <c r="Y262" s="116">
        <v>45530</v>
      </c>
      <c r="Z262" s="43"/>
      <c r="AA262" s="43"/>
      <c r="AB262" s="43"/>
      <c r="AC262" s="54"/>
      <c r="AD262" s="43"/>
      <c r="AE262" s="116">
        <v>45558</v>
      </c>
      <c r="AF262" s="392" t="s">
        <v>601</v>
      </c>
      <c r="AG262" s="367" t="s">
        <v>597</v>
      </c>
      <c r="AH262" s="367" t="s">
        <v>597</v>
      </c>
      <c r="AI262" s="366">
        <v>45589</v>
      </c>
      <c r="AJ262" s="118" t="s">
        <v>523</v>
      </c>
      <c r="AK262" s="392" t="s">
        <v>599</v>
      </c>
      <c r="AL262" s="366">
        <v>45587</v>
      </c>
      <c r="AM262" s="118" t="s">
        <v>596</v>
      </c>
      <c r="AN262" s="118" t="s">
        <v>600</v>
      </c>
      <c r="AO262" s="46">
        <v>45587</v>
      </c>
      <c r="AP262" s="46"/>
      <c r="AQ262" s="46">
        <v>45587</v>
      </c>
      <c r="AR262" s="116">
        <v>45585</v>
      </c>
      <c r="AS262" s="116">
        <v>45593</v>
      </c>
      <c r="AT262" s="116">
        <v>45625</v>
      </c>
      <c r="AU262" s="47" t="s">
        <v>582</v>
      </c>
      <c r="AV262" s="151"/>
      <c r="AW262" s="151"/>
      <c r="AX262" s="151"/>
      <c r="AY262" s="151"/>
    </row>
    <row r="263" spans="1:51" ht="20.25" customHeight="1">
      <c r="A263" s="209">
        <v>812950</v>
      </c>
      <c r="B263" s="399" t="s">
        <v>431</v>
      </c>
      <c r="C263" s="178" t="s">
        <v>42</v>
      </c>
      <c r="D263" s="153"/>
      <c r="E263" s="153"/>
      <c r="F263" s="31" t="s">
        <v>43</v>
      </c>
      <c r="G263" s="50">
        <v>170</v>
      </c>
      <c r="H263" s="50">
        <v>225</v>
      </c>
      <c r="I263" s="34">
        <v>2</v>
      </c>
      <c r="J263" s="453" t="s">
        <v>432</v>
      </c>
      <c r="K263" s="81" t="s">
        <v>476</v>
      </c>
      <c r="L263" s="538"/>
      <c r="M263" s="178"/>
      <c r="N263" s="316" t="s">
        <v>336</v>
      </c>
      <c r="O263" s="323" t="s">
        <v>72</v>
      </c>
      <c r="P263" s="326" t="s">
        <v>433</v>
      </c>
      <c r="Q263" s="178" t="s">
        <v>434</v>
      </c>
      <c r="R263" s="178" t="s">
        <v>354</v>
      </c>
      <c r="S263" s="178" t="s">
        <v>361</v>
      </c>
      <c r="T263" s="177"/>
      <c r="U263" s="316" t="s">
        <v>354</v>
      </c>
      <c r="V263" s="36">
        <v>45491</v>
      </c>
      <c r="W263" s="36">
        <f>V263+15</f>
        <v>45506</v>
      </c>
      <c r="X263" s="36">
        <v>45491</v>
      </c>
      <c r="Y263" s="36">
        <f>X263+15</f>
        <v>45506</v>
      </c>
      <c r="Z263" s="161"/>
      <c r="AA263" s="31"/>
      <c r="AB263" s="31"/>
      <c r="AC263" s="37"/>
      <c r="AD263" s="31"/>
      <c r="AE263" s="36">
        <v>45576</v>
      </c>
      <c r="AF263" s="36">
        <v>45588</v>
      </c>
      <c r="AG263" s="36">
        <v>45588</v>
      </c>
      <c r="AH263" s="36">
        <v>45588</v>
      </c>
      <c r="AI263" s="36">
        <v>45593</v>
      </c>
      <c r="AJ263" s="36">
        <v>45461</v>
      </c>
      <c r="AK263" s="36">
        <v>45470</v>
      </c>
      <c r="AL263" s="36">
        <v>45593</v>
      </c>
      <c r="AM263" s="36">
        <v>45593</v>
      </c>
      <c r="AN263" s="36">
        <v>45560</v>
      </c>
      <c r="AO263" s="36">
        <v>45593</v>
      </c>
      <c r="AP263" s="36"/>
      <c r="AQ263" s="36">
        <v>45593</v>
      </c>
      <c r="AR263" s="379">
        <v>45593</v>
      </c>
      <c r="AS263" s="379">
        <v>45593</v>
      </c>
      <c r="AT263" s="379">
        <v>45595</v>
      </c>
      <c r="AU263" s="150"/>
      <c r="AV263" s="151"/>
      <c r="AW263" s="151"/>
      <c r="AX263" s="151"/>
      <c r="AY263" s="151"/>
    </row>
    <row r="264" spans="1:51" ht="21" customHeight="1">
      <c r="A264" s="180">
        <v>812950</v>
      </c>
      <c r="B264" s="400"/>
      <c r="C264" s="182"/>
      <c r="D264" s="182"/>
      <c r="E264" s="182"/>
      <c r="F264" s="43" t="s">
        <v>48</v>
      </c>
      <c r="G264" s="183"/>
      <c r="H264" s="183"/>
      <c r="I264" s="184"/>
      <c r="J264" s="429"/>
      <c r="K264" s="53"/>
      <c r="L264" s="537"/>
      <c r="M264" s="185"/>
      <c r="N264" s="185"/>
      <c r="O264" s="185"/>
      <c r="P264" s="185" t="s">
        <v>508</v>
      </c>
      <c r="Q264" s="185"/>
      <c r="R264" s="185"/>
      <c r="S264" s="185"/>
      <c r="T264" s="181"/>
      <c r="U264" s="185"/>
      <c r="V264" s="116">
        <v>45495</v>
      </c>
      <c r="W264" s="116">
        <v>45506</v>
      </c>
      <c r="X264" s="116">
        <v>45497</v>
      </c>
      <c r="Y264" s="116">
        <v>45535</v>
      </c>
      <c r="Z264" s="158"/>
      <c r="AA264" s="43"/>
      <c r="AB264" s="43"/>
      <c r="AC264" s="54"/>
      <c r="AD264" s="43"/>
      <c r="AE264" s="116">
        <v>45579</v>
      </c>
      <c r="AF264" s="366">
        <v>45588</v>
      </c>
      <c r="AG264" s="367" t="s">
        <v>596</v>
      </c>
      <c r="AH264" s="367" t="s">
        <v>596</v>
      </c>
      <c r="AI264" s="366">
        <v>45593</v>
      </c>
      <c r="AJ264" s="118" t="s">
        <v>523</v>
      </c>
      <c r="AK264" s="156">
        <v>45470</v>
      </c>
      <c r="AL264" s="366">
        <v>45593</v>
      </c>
      <c r="AM264" s="392" t="s">
        <v>602</v>
      </c>
      <c r="AN264" s="118" t="s">
        <v>603</v>
      </c>
      <c r="AO264" s="46">
        <v>45593</v>
      </c>
      <c r="AP264" s="46"/>
      <c r="AQ264" s="46">
        <v>45593</v>
      </c>
      <c r="AR264" s="116">
        <v>45593</v>
      </c>
      <c r="AS264" s="116">
        <v>45595</v>
      </c>
      <c r="AT264" s="116">
        <v>45625</v>
      </c>
      <c r="AU264" s="150"/>
      <c r="AV264" s="151"/>
      <c r="AW264" s="151"/>
      <c r="AX264" s="151"/>
      <c r="AY264" s="151"/>
    </row>
    <row r="265" spans="1:51" ht="20.25" customHeight="1">
      <c r="A265" s="209">
        <v>812929</v>
      </c>
      <c r="B265" s="399" t="s">
        <v>427</v>
      </c>
      <c r="C265" s="178" t="s">
        <v>42</v>
      </c>
      <c r="D265" s="153"/>
      <c r="E265" s="153"/>
      <c r="F265" s="31" t="s">
        <v>43</v>
      </c>
      <c r="G265" s="50">
        <v>150</v>
      </c>
      <c r="H265" s="50">
        <v>220</v>
      </c>
      <c r="I265" s="34">
        <v>2</v>
      </c>
      <c r="J265" s="453" t="s">
        <v>428</v>
      </c>
      <c r="K265" s="81" t="s">
        <v>476</v>
      </c>
      <c r="L265" s="538"/>
      <c r="M265" s="178"/>
      <c r="N265" s="316" t="s">
        <v>336</v>
      </c>
      <c r="O265" s="323" t="s">
        <v>72</v>
      </c>
      <c r="P265" s="316" t="s">
        <v>506</v>
      </c>
      <c r="Q265" s="178"/>
      <c r="R265" s="178" t="s">
        <v>354</v>
      </c>
      <c r="S265" s="178" t="s">
        <v>361</v>
      </c>
      <c r="T265" s="177"/>
      <c r="U265" s="178" t="s">
        <v>354</v>
      </c>
      <c r="V265" s="36">
        <v>45412</v>
      </c>
      <c r="W265" s="36">
        <f>V265+30</f>
        <v>45442</v>
      </c>
      <c r="X265" s="36">
        <v>45412</v>
      </c>
      <c r="Y265" s="36">
        <v>45441</v>
      </c>
      <c r="Z265" s="161"/>
      <c r="AA265" s="31" t="s">
        <v>72</v>
      </c>
      <c r="AB265" s="31"/>
      <c r="AC265" s="37"/>
      <c r="AD265" s="31"/>
      <c r="AE265" s="36">
        <v>45580</v>
      </c>
      <c r="AF265" s="36">
        <v>45593</v>
      </c>
      <c r="AG265" s="36">
        <v>45593</v>
      </c>
      <c r="AH265" s="36">
        <v>45593</v>
      </c>
      <c r="AI265" s="36">
        <v>45595</v>
      </c>
      <c r="AJ265" s="36">
        <v>45434</v>
      </c>
      <c r="AK265" s="36">
        <v>45449</v>
      </c>
      <c r="AL265" s="36">
        <v>45595</v>
      </c>
      <c r="AM265" s="36">
        <v>45595</v>
      </c>
      <c r="AN265" s="36">
        <v>45563</v>
      </c>
      <c r="AO265" s="36">
        <v>45595</v>
      </c>
      <c r="AP265" s="36"/>
      <c r="AQ265" s="36">
        <v>45595</v>
      </c>
      <c r="AR265" s="379">
        <v>45595</v>
      </c>
      <c r="AS265" s="379">
        <v>45595</v>
      </c>
      <c r="AT265" s="379">
        <v>45600</v>
      </c>
      <c r="AU265" s="150"/>
      <c r="AV265" s="151"/>
      <c r="AW265" s="151"/>
      <c r="AX265" s="151"/>
      <c r="AY265" s="151"/>
    </row>
    <row r="266" spans="1:51" ht="21.75" customHeight="1" thickBot="1">
      <c r="A266" s="180">
        <v>812929</v>
      </c>
      <c r="B266" s="400"/>
      <c r="C266" s="182"/>
      <c r="D266" s="182"/>
      <c r="E266" s="182"/>
      <c r="F266" s="43" t="s">
        <v>48</v>
      </c>
      <c r="G266" s="183"/>
      <c r="H266" s="183"/>
      <c r="I266" s="184"/>
      <c r="J266" s="429"/>
      <c r="K266" s="53"/>
      <c r="L266" s="537"/>
      <c r="M266" s="185"/>
      <c r="N266" s="185"/>
      <c r="O266" s="185"/>
      <c r="P266" s="185"/>
      <c r="Q266" s="185"/>
      <c r="R266" s="185"/>
      <c r="S266" s="185"/>
      <c r="T266" s="181"/>
      <c r="U266" s="185"/>
      <c r="V266" s="116">
        <v>45412</v>
      </c>
      <c r="W266" s="116">
        <v>45530</v>
      </c>
      <c r="X266" s="116">
        <v>45441</v>
      </c>
      <c r="Y266" s="116">
        <v>45550</v>
      </c>
      <c r="Z266" s="158"/>
      <c r="AA266" s="43"/>
      <c r="AB266" s="43"/>
      <c r="AC266" s="54"/>
      <c r="AD266" s="43"/>
      <c r="AE266" s="116">
        <v>45580</v>
      </c>
      <c r="AF266" s="116">
        <v>45580</v>
      </c>
      <c r="AG266" s="367" t="s">
        <v>604</v>
      </c>
      <c r="AH266" s="367" t="s">
        <v>604</v>
      </c>
      <c r="AI266" s="366">
        <v>45595</v>
      </c>
      <c r="AJ266" s="367" t="s">
        <v>605</v>
      </c>
      <c r="AK266" s="116">
        <v>38892</v>
      </c>
      <c r="AL266" s="118" t="s">
        <v>606</v>
      </c>
      <c r="AM266" s="118" t="s">
        <v>606</v>
      </c>
      <c r="AN266" s="118" t="s">
        <v>607</v>
      </c>
      <c r="AO266" s="46">
        <v>45595</v>
      </c>
      <c r="AP266" s="46"/>
      <c r="AQ266" s="46">
        <v>45595</v>
      </c>
      <c r="AR266" s="116">
        <v>45595</v>
      </c>
      <c r="AS266" s="116">
        <v>45595</v>
      </c>
      <c r="AT266" s="116">
        <v>45600</v>
      </c>
      <c r="AU266" s="194"/>
      <c r="AV266" s="151"/>
      <c r="AW266" s="151"/>
      <c r="AX266" s="151"/>
      <c r="AY266" s="151"/>
    </row>
    <row r="267" spans="1:51" ht="16.5" customHeight="1" thickBot="1">
      <c r="A267" s="364"/>
      <c r="B267" s="364"/>
      <c r="C267" s="364"/>
      <c r="D267" s="364"/>
      <c r="E267" s="364"/>
      <c r="F267" s="364"/>
      <c r="G267" s="364"/>
      <c r="H267" s="364"/>
      <c r="I267" s="364"/>
      <c r="J267" s="444"/>
      <c r="K267" s="364"/>
      <c r="L267" s="364"/>
      <c r="M267" s="364"/>
      <c r="N267" s="364"/>
      <c r="O267" s="364"/>
      <c r="P267" s="364"/>
      <c r="Q267" s="364"/>
      <c r="R267" s="364"/>
      <c r="S267" s="364"/>
      <c r="T267" s="364"/>
      <c r="U267" s="364"/>
      <c r="V267" s="364"/>
      <c r="W267" s="364"/>
      <c r="X267" s="364"/>
      <c r="Y267" s="364"/>
      <c r="Z267" s="364"/>
      <c r="AA267" s="364"/>
      <c r="AB267" s="364"/>
      <c r="AC267" s="364"/>
      <c r="AD267" s="364"/>
      <c r="AE267" s="364"/>
      <c r="AF267" s="364"/>
      <c r="AG267" s="364"/>
      <c r="AH267" s="364"/>
      <c r="AI267" s="364"/>
      <c r="AJ267" s="364"/>
      <c r="AK267" s="364"/>
      <c r="AL267" s="364"/>
      <c r="AM267" s="364"/>
      <c r="AN267" s="364"/>
      <c r="AO267" s="364"/>
      <c r="AP267" s="364"/>
      <c r="AQ267" s="364"/>
      <c r="AR267" s="364"/>
      <c r="AS267" s="364"/>
      <c r="AT267" s="364"/>
      <c r="AU267" s="371"/>
      <c r="AV267" s="27"/>
      <c r="AW267" s="27"/>
      <c r="AX267" s="27"/>
      <c r="AY267" s="27"/>
    </row>
    <row r="268" spans="1:51" ht="22.5" customHeight="1">
      <c r="A268" s="149">
        <v>813020</v>
      </c>
      <c r="B268" s="29">
        <v>813020</v>
      </c>
      <c r="C268" s="178" t="s">
        <v>42</v>
      </c>
      <c r="D268" s="30"/>
      <c r="E268" s="30"/>
      <c r="F268" s="31" t="s">
        <v>43</v>
      </c>
      <c r="G268" s="33">
        <v>100</v>
      </c>
      <c r="H268" s="33">
        <v>400</v>
      </c>
      <c r="I268" s="34">
        <v>1</v>
      </c>
      <c r="J268" s="408" t="s">
        <v>575</v>
      </c>
      <c r="K268" s="31" t="s">
        <v>351</v>
      </c>
      <c r="L268" s="161"/>
      <c r="M268" s="30"/>
      <c r="N268" s="323" t="s">
        <v>352</v>
      </c>
      <c r="O268" s="323" t="s">
        <v>72</v>
      </c>
      <c r="P268" s="323" t="s">
        <v>480</v>
      </c>
      <c r="Q268" s="30" t="s">
        <v>589</v>
      </c>
      <c r="R268" s="30" t="s">
        <v>354</v>
      </c>
      <c r="S268" s="30" t="s">
        <v>361</v>
      </c>
      <c r="T268" s="29"/>
      <c r="U268" s="30" t="s">
        <v>354</v>
      </c>
      <c r="V268" s="36">
        <v>45595</v>
      </c>
      <c r="W268" s="36">
        <f>V268+15</f>
        <v>45610</v>
      </c>
      <c r="X268" s="36">
        <v>45595</v>
      </c>
      <c r="Y268" s="36">
        <f>X268+15</f>
        <v>45610</v>
      </c>
      <c r="Z268" s="31"/>
      <c r="AA268" s="31"/>
      <c r="AB268" s="31"/>
      <c r="AC268" s="37"/>
      <c r="AD268" s="31"/>
      <c r="AE268" s="36">
        <v>45594</v>
      </c>
      <c r="AF268" s="36">
        <v>45607</v>
      </c>
      <c r="AG268" s="36">
        <v>45607</v>
      </c>
      <c r="AH268" s="36">
        <v>45607</v>
      </c>
      <c r="AI268" s="36">
        <v>45618</v>
      </c>
      <c r="AJ268" s="36">
        <v>45577</v>
      </c>
      <c r="AK268" s="36">
        <v>45555</v>
      </c>
      <c r="AL268" s="379">
        <v>45618</v>
      </c>
      <c r="AM268" s="379">
        <v>45618</v>
      </c>
      <c r="AN268" s="379">
        <v>45597</v>
      </c>
      <c r="AO268" s="379">
        <v>45618</v>
      </c>
      <c r="AP268" s="379"/>
      <c r="AQ268" s="379">
        <v>45618</v>
      </c>
      <c r="AR268" s="379">
        <v>45618</v>
      </c>
      <c r="AS268" s="379">
        <v>45618</v>
      </c>
      <c r="AT268" s="379">
        <v>45621</v>
      </c>
      <c r="AU268" s="150"/>
      <c r="AV268" s="151"/>
      <c r="AW268" s="151"/>
      <c r="AX268" s="151"/>
      <c r="AY268" s="151"/>
    </row>
    <row r="269" spans="1:51" ht="18" customHeight="1">
      <c r="A269" s="40">
        <v>813020</v>
      </c>
      <c r="B269" s="41"/>
      <c r="C269" s="42"/>
      <c r="D269" s="42"/>
      <c r="E269" s="42"/>
      <c r="F269" s="43" t="s">
        <v>48</v>
      </c>
      <c r="G269" s="59"/>
      <c r="H269" s="59"/>
      <c r="I269" s="44"/>
      <c r="J269" s="52"/>
      <c r="K269" s="53"/>
      <c r="L269" s="537"/>
      <c r="M269" s="42"/>
      <c r="N269" s="42"/>
      <c r="O269" s="42"/>
      <c r="P269" s="42"/>
      <c r="Q269" s="42"/>
      <c r="R269" s="42"/>
      <c r="S269" s="42"/>
      <c r="T269" s="41"/>
      <c r="U269" s="42"/>
      <c r="V269" s="116">
        <v>45595</v>
      </c>
      <c r="W269" s="116">
        <v>45610</v>
      </c>
      <c r="X269" s="116">
        <v>45609</v>
      </c>
      <c r="Y269" s="116">
        <v>45629</v>
      </c>
      <c r="Z269" s="43"/>
      <c r="AA269" s="43"/>
      <c r="AB269" s="43"/>
      <c r="AC269" s="54"/>
      <c r="AD269" s="43"/>
      <c r="AE269" s="116">
        <v>45594</v>
      </c>
      <c r="AF269" s="366">
        <v>45603</v>
      </c>
      <c r="AG269" s="116">
        <v>45607</v>
      </c>
      <c r="AH269" s="366">
        <v>45604</v>
      </c>
      <c r="AI269" s="116">
        <v>45618</v>
      </c>
      <c r="AJ269" s="116">
        <v>45577</v>
      </c>
      <c r="AK269" s="170">
        <v>45561</v>
      </c>
      <c r="AL269" s="366">
        <v>45608</v>
      </c>
      <c r="AM269" s="392" t="s">
        <v>254</v>
      </c>
      <c r="AN269" s="392" t="s">
        <v>254</v>
      </c>
      <c r="AO269" s="366">
        <v>45608</v>
      </c>
      <c r="AP269" s="366"/>
      <c r="AQ269" s="366">
        <v>45608</v>
      </c>
      <c r="AR269" s="170">
        <v>45621</v>
      </c>
      <c r="AS269" s="170">
        <v>45623</v>
      </c>
      <c r="AT269" s="116">
        <v>45646</v>
      </c>
      <c r="AU269" s="150"/>
      <c r="AV269" s="151"/>
      <c r="AW269" s="151"/>
      <c r="AX269" s="151"/>
      <c r="AY269" s="151"/>
    </row>
    <row r="270" spans="1:51" ht="18.75" customHeight="1">
      <c r="A270" s="340">
        <v>813006</v>
      </c>
      <c r="B270" s="29" t="s">
        <v>556</v>
      </c>
      <c r="C270" s="178" t="s">
        <v>42</v>
      </c>
      <c r="D270" s="30"/>
      <c r="E270" s="30"/>
      <c r="F270" s="31" t="s">
        <v>43</v>
      </c>
      <c r="G270" s="33">
        <v>334</v>
      </c>
      <c r="H270" s="33">
        <v>500</v>
      </c>
      <c r="I270" s="34">
        <v>10</v>
      </c>
      <c r="J270" s="408" t="s">
        <v>557</v>
      </c>
      <c r="K270" s="66" t="s">
        <v>108</v>
      </c>
      <c r="L270" s="157"/>
      <c r="M270" s="30"/>
      <c r="N270" s="323" t="s">
        <v>610</v>
      </c>
      <c r="O270" s="30" t="s">
        <v>511</v>
      </c>
      <c r="P270" s="323" t="s">
        <v>506</v>
      </c>
      <c r="Q270" s="30"/>
      <c r="R270" s="30" t="s">
        <v>354</v>
      </c>
      <c r="S270" s="30" t="s">
        <v>406</v>
      </c>
      <c r="T270" s="29"/>
      <c r="U270" s="30" t="s">
        <v>354</v>
      </c>
      <c r="V270" s="36">
        <v>1010</v>
      </c>
      <c r="W270" s="36">
        <f>V270+15</f>
        <v>1025</v>
      </c>
      <c r="X270" s="36">
        <v>45575</v>
      </c>
      <c r="Y270" s="36">
        <f>X270+15</f>
        <v>45590</v>
      </c>
      <c r="Z270" s="66"/>
      <c r="AA270" s="31"/>
      <c r="AB270" s="31"/>
      <c r="AC270" s="37"/>
      <c r="AD270" s="31" t="s">
        <v>72</v>
      </c>
      <c r="AE270" s="36">
        <v>45596</v>
      </c>
      <c r="AF270" s="36">
        <v>45611</v>
      </c>
      <c r="AG270" s="36">
        <v>45611</v>
      </c>
      <c r="AH270" s="36">
        <v>45611</v>
      </c>
      <c r="AI270" s="36">
        <v>45621</v>
      </c>
      <c r="AJ270" s="36">
        <v>45538</v>
      </c>
      <c r="AK270" s="36">
        <v>45532</v>
      </c>
      <c r="AL270" s="379">
        <v>45621</v>
      </c>
      <c r="AM270" s="379">
        <v>45621</v>
      </c>
      <c r="AN270" s="379">
        <v>45600</v>
      </c>
      <c r="AO270" s="379">
        <v>45621</v>
      </c>
      <c r="AP270" s="379"/>
      <c r="AQ270" s="379">
        <v>45621</v>
      </c>
      <c r="AR270" s="379">
        <v>45621</v>
      </c>
      <c r="AS270" s="379">
        <v>45621</v>
      </c>
      <c r="AT270" s="379">
        <v>45623</v>
      </c>
      <c r="AU270" s="150"/>
      <c r="AV270" s="151"/>
      <c r="AW270" s="151"/>
      <c r="AX270" s="151"/>
      <c r="AY270" s="151"/>
    </row>
    <row r="271" spans="1:51" ht="18" customHeight="1">
      <c r="A271" s="40">
        <v>813006</v>
      </c>
      <c r="B271" s="41"/>
      <c r="C271" s="42"/>
      <c r="D271" s="42"/>
      <c r="E271" s="42"/>
      <c r="F271" s="43" t="s">
        <v>48</v>
      </c>
      <c r="G271" s="59"/>
      <c r="H271" s="59"/>
      <c r="I271" s="44"/>
      <c r="J271" s="52"/>
      <c r="K271" s="53"/>
      <c r="L271" s="537"/>
      <c r="M271" s="42"/>
      <c r="N271" s="42"/>
      <c r="O271" s="42"/>
      <c r="P271" s="42"/>
      <c r="Q271" s="42"/>
      <c r="R271" s="42"/>
      <c r="S271" s="42"/>
      <c r="T271" s="41"/>
      <c r="U271" s="42"/>
      <c r="V271" s="116">
        <v>45566</v>
      </c>
      <c r="W271" s="116">
        <v>45573</v>
      </c>
      <c r="X271" s="116">
        <v>45600</v>
      </c>
      <c r="Y271" s="116">
        <v>45991</v>
      </c>
      <c r="Z271" s="43"/>
      <c r="AA271" s="43"/>
      <c r="AB271" s="43"/>
      <c r="AC271" s="54"/>
      <c r="AD271" s="43"/>
      <c r="AE271" s="116">
        <v>45596</v>
      </c>
      <c r="AF271" s="170">
        <v>45623</v>
      </c>
      <c r="AG271" s="170">
        <v>45622</v>
      </c>
      <c r="AH271" s="170">
        <v>45621</v>
      </c>
      <c r="AI271" s="170">
        <v>45631</v>
      </c>
      <c r="AJ271" s="170" t="s">
        <v>629</v>
      </c>
      <c r="AK271" s="170" t="s">
        <v>630</v>
      </c>
      <c r="AL271" s="366">
        <v>45616</v>
      </c>
      <c r="AM271" s="392" t="s">
        <v>254</v>
      </c>
      <c r="AN271" s="170">
        <v>45624</v>
      </c>
      <c r="AO271" s="366">
        <v>45616</v>
      </c>
      <c r="AP271" s="366"/>
      <c r="AQ271" s="366">
        <v>45616</v>
      </c>
      <c r="AR271" s="170">
        <v>45625</v>
      </c>
      <c r="AS271" s="170">
        <v>45625</v>
      </c>
      <c r="AT271" s="116">
        <v>45646</v>
      </c>
      <c r="AU271" s="150"/>
      <c r="AV271" s="151"/>
      <c r="AW271" s="151"/>
      <c r="AX271" s="151"/>
      <c r="AY271" s="151"/>
    </row>
    <row r="272" spans="1:51" ht="18.75" customHeight="1">
      <c r="A272" s="209">
        <v>812938</v>
      </c>
      <c r="B272" s="177" t="s">
        <v>435</v>
      </c>
      <c r="C272" s="178" t="s">
        <v>42</v>
      </c>
      <c r="D272" s="153"/>
      <c r="E272" s="153"/>
      <c r="F272" s="31" t="s">
        <v>43</v>
      </c>
      <c r="G272" s="50">
        <v>160</v>
      </c>
      <c r="H272" s="50">
        <v>132</v>
      </c>
      <c r="I272" s="34">
        <v>3</v>
      </c>
      <c r="J272" s="446" t="s">
        <v>436</v>
      </c>
      <c r="K272" s="81" t="s">
        <v>478</v>
      </c>
      <c r="L272" s="538"/>
      <c r="M272" s="178"/>
      <c r="N272" s="316" t="s">
        <v>336</v>
      </c>
      <c r="O272" s="323" t="s">
        <v>72</v>
      </c>
      <c r="P272" s="316" t="s">
        <v>437</v>
      </c>
      <c r="Q272" s="316" t="s">
        <v>438</v>
      </c>
      <c r="R272" s="178" t="s">
        <v>354</v>
      </c>
      <c r="S272" s="178" t="s">
        <v>361</v>
      </c>
      <c r="T272" s="177" t="s">
        <v>519</v>
      </c>
      <c r="U272" s="316" t="s">
        <v>354</v>
      </c>
      <c r="V272" s="36">
        <v>45458</v>
      </c>
      <c r="W272" s="36">
        <f>V272+15</f>
        <v>45473</v>
      </c>
      <c r="X272" s="36">
        <v>45458</v>
      </c>
      <c r="Y272" s="36">
        <f>X272+15</f>
        <v>45473</v>
      </c>
      <c r="Z272" s="161" t="s">
        <v>608</v>
      </c>
      <c r="AA272" s="31" t="s">
        <v>72</v>
      </c>
      <c r="AB272" s="31" t="s">
        <v>572</v>
      </c>
      <c r="AC272" s="37">
        <v>3</v>
      </c>
      <c r="AD272" s="31"/>
      <c r="AE272" s="36">
        <v>45601</v>
      </c>
      <c r="AF272" s="36">
        <v>45617</v>
      </c>
      <c r="AG272" s="36">
        <v>45617</v>
      </c>
      <c r="AH272" s="36">
        <v>45617</v>
      </c>
      <c r="AI272" s="36">
        <v>45623</v>
      </c>
      <c r="AJ272" s="36">
        <v>45467</v>
      </c>
      <c r="AK272" s="36">
        <v>45526</v>
      </c>
      <c r="AL272" s="379">
        <v>45623</v>
      </c>
      <c r="AM272" s="379">
        <v>45623</v>
      </c>
      <c r="AN272" s="379">
        <v>45602</v>
      </c>
      <c r="AO272" s="379">
        <v>45623</v>
      </c>
      <c r="AP272" s="379"/>
      <c r="AQ272" s="379">
        <v>45623</v>
      </c>
      <c r="AR272" s="379">
        <v>45623</v>
      </c>
      <c r="AS272" s="379">
        <v>45623</v>
      </c>
      <c r="AT272" s="379">
        <v>45625</v>
      </c>
      <c r="AU272" s="47" t="s">
        <v>594</v>
      </c>
      <c r="AV272" s="151"/>
      <c r="AW272" s="151"/>
      <c r="AX272" s="151"/>
      <c r="AY272" s="151"/>
    </row>
    <row r="273" spans="1:51" ht="21" customHeight="1">
      <c r="A273" s="180">
        <v>812938</v>
      </c>
      <c r="B273" s="181"/>
      <c r="C273" s="182"/>
      <c r="D273" s="182"/>
      <c r="E273" s="182"/>
      <c r="F273" s="43" t="s">
        <v>48</v>
      </c>
      <c r="G273" s="183"/>
      <c r="H273" s="183"/>
      <c r="I273" s="184"/>
      <c r="J273" s="429"/>
      <c r="K273" s="53"/>
      <c r="L273" s="537"/>
      <c r="M273" s="185"/>
      <c r="N273" s="185"/>
      <c r="O273" s="185"/>
      <c r="P273" s="185"/>
      <c r="Q273" s="185"/>
      <c r="R273" s="185"/>
      <c r="S273" s="185"/>
      <c r="T273" s="181"/>
      <c r="U273" s="185"/>
      <c r="V273" s="116">
        <v>45460</v>
      </c>
      <c r="W273" s="116">
        <v>45583</v>
      </c>
      <c r="X273" s="116">
        <v>45454</v>
      </c>
      <c r="Y273" s="116">
        <v>45583</v>
      </c>
      <c r="Z273" s="158"/>
      <c r="AA273" s="43"/>
      <c r="AB273" s="43"/>
      <c r="AC273" s="54"/>
      <c r="AD273" s="43"/>
      <c r="AE273" s="116">
        <v>45601</v>
      </c>
      <c r="AF273" s="366">
        <v>45614</v>
      </c>
      <c r="AG273" s="366">
        <v>45611</v>
      </c>
      <c r="AH273" s="366">
        <v>45614</v>
      </c>
      <c r="AI273" s="366">
        <v>45622</v>
      </c>
      <c r="AJ273" s="366">
        <v>45400</v>
      </c>
      <c r="AK273" s="366">
        <v>45480</v>
      </c>
      <c r="AL273" s="366">
        <v>45616</v>
      </c>
      <c r="AM273" s="116">
        <v>45623</v>
      </c>
      <c r="AN273" s="116">
        <v>45602</v>
      </c>
      <c r="AO273" s="366">
        <v>45616</v>
      </c>
      <c r="AP273" s="366"/>
      <c r="AQ273" s="366">
        <v>45616</v>
      </c>
      <c r="AR273" s="116">
        <v>45623</v>
      </c>
      <c r="AS273" s="170">
        <v>45625</v>
      </c>
      <c r="AT273" s="116">
        <v>45625</v>
      </c>
      <c r="AU273" s="150"/>
      <c r="AV273" s="151"/>
      <c r="AW273" s="151"/>
      <c r="AX273" s="151"/>
      <c r="AY273" s="151"/>
    </row>
    <row r="274" spans="1:51" ht="18.75" customHeight="1">
      <c r="A274" s="340">
        <v>812978</v>
      </c>
      <c r="B274" s="29">
        <v>812978</v>
      </c>
      <c r="C274" s="30" t="s">
        <v>55</v>
      </c>
      <c r="D274" s="153">
        <v>0.6</v>
      </c>
      <c r="E274" s="153">
        <v>0.3</v>
      </c>
      <c r="F274" s="31" t="s">
        <v>43</v>
      </c>
      <c r="G274" s="33">
        <v>250</v>
      </c>
      <c r="H274" s="33">
        <v>400</v>
      </c>
      <c r="I274" s="34">
        <v>1</v>
      </c>
      <c r="J274" s="434" t="s">
        <v>537</v>
      </c>
      <c r="K274" s="66" t="s">
        <v>108</v>
      </c>
      <c r="L274" s="157"/>
      <c r="M274" s="30"/>
      <c r="N274" s="323" t="s">
        <v>336</v>
      </c>
      <c r="O274" s="323" t="s">
        <v>72</v>
      </c>
      <c r="P274" s="323" t="s">
        <v>567</v>
      </c>
      <c r="Q274" s="30"/>
      <c r="R274" s="30" t="s">
        <v>354</v>
      </c>
      <c r="S274" s="30" t="s">
        <v>568</v>
      </c>
      <c r="T274" s="29"/>
      <c r="U274" s="30" t="s">
        <v>354</v>
      </c>
      <c r="V274" s="36">
        <v>45523</v>
      </c>
      <c r="W274" s="36">
        <f>V274+15</f>
        <v>45538</v>
      </c>
      <c r="X274" s="36">
        <v>45523</v>
      </c>
      <c r="Y274" s="36">
        <f>X274+15</f>
        <v>45538</v>
      </c>
      <c r="Z274" s="66"/>
      <c r="AA274" s="31"/>
      <c r="AB274" s="31"/>
      <c r="AC274" s="37"/>
      <c r="AD274" s="31"/>
      <c r="AE274" s="36">
        <v>45601</v>
      </c>
      <c r="AF274" s="36">
        <v>45621</v>
      </c>
      <c r="AG274" s="36">
        <v>45621</v>
      </c>
      <c r="AH274" s="36">
        <v>45621</v>
      </c>
      <c r="AI274" s="36">
        <v>45624</v>
      </c>
      <c r="AJ274" s="36">
        <v>45512</v>
      </c>
      <c r="AK274" s="36">
        <v>45532</v>
      </c>
      <c r="AL274" s="379">
        <v>45624</v>
      </c>
      <c r="AM274" s="379">
        <v>45624</v>
      </c>
      <c r="AN274" s="379">
        <v>45604</v>
      </c>
      <c r="AO274" s="379">
        <v>45624</v>
      </c>
      <c r="AP274" s="379"/>
      <c r="AQ274" s="379">
        <v>45624</v>
      </c>
      <c r="AR274" s="379">
        <v>45624</v>
      </c>
      <c r="AS274" s="379">
        <v>45624</v>
      </c>
      <c r="AT274" s="379">
        <v>45626</v>
      </c>
      <c r="AU274" s="150"/>
      <c r="AV274" s="151"/>
      <c r="AW274" s="151"/>
      <c r="AX274" s="151"/>
      <c r="AY274" s="151"/>
    </row>
    <row r="275" spans="1:51" ht="17.25" customHeight="1">
      <c r="A275" s="40">
        <v>812978</v>
      </c>
      <c r="B275" s="41"/>
      <c r="C275" s="42">
        <v>812941</v>
      </c>
      <c r="D275" s="42"/>
      <c r="E275" s="42"/>
      <c r="F275" s="43" t="s">
        <v>48</v>
      </c>
      <c r="G275" s="59"/>
      <c r="H275" s="59"/>
      <c r="I275" s="44"/>
      <c r="J275" s="52"/>
      <c r="K275" s="53"/>
      <c r="L275" s="537"/>
      <c r="M275" s="42"/>
      <c r="N275" s="42"/>
      <c r="O275" s="42"/>
      <c r="P275" s="42"/>
      <c r="Q275" s="42"/>
      <c r="R275" s="42"/>
      <c r="S275" s="42"/>
      <c r="T275" s="41"/>
      <c r="U275" s="42"/>
      <c r="V275" s="116">
        <v>45523</v>
      </c>
      <c r="W275" s="116">
        <v>45610</v>
      </c>
      <c r="X275" s="116">
        <v>45523</v>
      </c>
      <c r="Y275" s="116">
        <v>45586</v>
      </c>
      <c r="Z275" s="43"/>
      <c r="AA275" s="43"/>
      <c r="AB275" s="43"/>
      <c r="AC275" s="54"/>
      <c r="AD275" s="43"/>
      <c r="AE275" s="116">
        <v>45601</v>
      </c>
      <c r="AF275" s="170">
        <v>45623</v>
      </c>
      <c r="AG275" s="170">
        <v>45625</v>
      </c>
      <c r="AH275" s="170">
        <v>45625</v>
      </c>
      <c r="AI275" s="116">
        <v>45624</v>
      </c>
      <c r="AJ275" s="116">
        <v>45512</v>
      </c>
      <c r="AK275" s="116">
        <v>45532</v>
      </c>
      <c r="AL275" s="366">
        <v>45623</v>
      </c>
      <c r="AM275" s="170">
        <v>45628</v>
      </c>
      <c r="AN275" s="366">
        <v>45603</v>
      </c>
      <c r="AO275" s="366">
        <v>45623</v>
      </c>
      <c r="AP275" s="366"/>
      <c r="AQ275" s="366">
        <v>45623</v>
      </c>
      <c r="AR275" s="116">
        <v>45642</v>
      </c>
      <c r="AS275" s="116">
        <v>45642</v>
      </c>
      <c r="AT275" s="116">
        <v>45656</v>
      </c>
      <c r="AU275" s="150"/>
      <c r="AV275" s="151"/>
      <c r="AW275" s="151"/>
      <c r="AX275" s="151"/>
      <c r="AY275" s="151"/>
    </row>
    <row r="276" spans="1:51" ht="20.25" customHeight="1">
      <c r="A276" s="335">
        <v>813001</v>
      </c>
      <c r="B276" s="321" t="s">
        <v>555</v>
      </c>
      <c r="C276" s="178" t="s">
        <v>42</v>
      </c>
      <c r="D276" s="30"/>
      <c r="E276" s="30"/>
      <c r="F276" s="31" t="s">
        <v>43</v>
      </c>
      <c r="G276" s="33">
        <v>150</v>
      </c>
      <c r="H276" s="33">
        <v>400</v>
      </c>
      <c r="I276" s="34">
        <v>3</v>
      </c>
      <c r="J276" s="329" t="s">
        <v>553</v>
      </c>
      <c r="K276" s="66" t="s">
        <v>108</v>
      </c>
      <c r="L276" s="157"/>
      <c r="M276" s="30"/>
      <c r="N276" s="393" t="s">
        <v>270</v>
      </c>
      <c r="O276" s="30" t="s">
        <v>271</v>
      </c>
      <c r="P276" s="323" t="s">
        <v>559</v>
      </c>
      <c r="Q276" s="30"/>
      <c r="R276" s="30" t="s">
        <v>354</v>
      </c>
      <c r="S276" s="30" t="s">
        <v>361</v>
      </c>
      <c r="T276" s="29"/>
      <c r="U276" s="30" t="s">
        <v>354</v>
      </c>
      <c r="V276" s="36">
        <v>45593</v>
      </c>
      <c r="W276" s="36">
        <f>V276+15</f>
        <v>45608</v>
      </c>
      <c r="X276" s="36">
        <v>45593</v>
      </c>
      <c r="Y276" s="36">
        <f>X276+15</f>
        <v>45608</v>
      </c>
      <c r="Z276" s="66"/>
      <c r="AA276" s="31"/>
      <c r="AB276" s="31"/>
      <c r="AC276" s="37" t="s">
        <v>270</v>
      </c>
      <c r="AD276" s="31"/>
      <c r="AE276" s="36" t="s">
        <v>609</v>
      </c>
      <c r="AF276" s="36">
        <v>45623</v>
      </c>
      <c r="AG276" s="36">
        <v>45623</v>
      </c>
      <c r="AH276" s="36">
        <v>45623</v>
      </c>
      <c r="AI276" s="36">
        <v>45626</v>
      </c>
      <c r="AJ276" s="36" t="s">
        <v>270</v>
      </c>
      <c r="AK276" s="38" t="s">
        <v>561</v>
      </c>
      <c r="AL276" s="379">
        <v>45626</v>
      </c>
      <c r="AM276" s="379">
        <v>45626</v>
      </c>
      <c r="AN276" s="379">
        <v>45577</v>
      </c>
      <c r="AO276" s="379">
        <v>45626</v>
      </c>
      <c r="AP276" s="379"/>
      <c r="AQ276" s="379">
        <v>45626</v>
      </c>
      <c r="AR276" s="379">
        <v>45626</v>
      </c>
      <c r="AS276" s="379">
        <v>45626</v>
      </c>
      <c r="AT276" s="379">
        <v>45631</v>
      </c>
      <c r="AU276" s="150"/>
      <c r="AV276" s="151"/>
      <c r="AW276" s="151"/>
      <c r="AX276" s="151"/>
      <c r="AY276" s="151"/>
    </row>
    <row r="277" spans="1:51" ht="20.25" customHeight="1" thickBot="1">
      <c r="A277" s="40">
        <v>813001</v>
      </c>
      <c r="B277" s="41"/>
      <c r="C277" s="42"/>
      <c r="D277" s="42"/>
      <c r="E277" s="42"/>
      <c r="F277" s="43" t="s">
        <v>48</v>
      </c>
      <c r="G277" s="59"/>
      <c r="H277" s="59"/>
      <c r="I277" s="44"/>
      <c r="J277" s="52"/>
      <c r="K277" s="53"/>
      <c r="L277" s="537"/>
      <c r="M277" s="42"/>
      <c r="N277" s="42"/>
      <c r="O277" s="42"/>
      <c r="P277" s="42"/>
      <c r="Q277" s="42"/>
      <c r="R277" s="42"/>
      <c r="S277" s="42"/>
      <c r="T277" s="41"/>
      <c r="U277" s="42"/>
      <c r="V277" s="116">
        <v>45593</v>
      </c>
      <c r="W277" s="116">
        <v>45615</v>
      </c>
      <c r="X277" s="116">
        <v>45593</v>
      </c>
      <c r="Y277" s="116">
        <v>45615</v>
      </c>
      <c r="Z277" s="43"/>
      <c r="AA277" s="43"/>
      <c r="AB277" s="43"/>
      <c r="AC277" s="54"/>
      <c r="AD277" s="43"/>
      <c r="AE277" s="46">
        <v>45606</v>
      </c>
      <c r="AF277" s="46">
        <v>45681</v>
      </c>
      <c r="AG277" s="46">
        <v>45681</v>
      </c>
      <c r="AH277" s="46">
        <v>45681</v>
      </c>
      <c r="AI277" s="46">
        <v>45681</v>
      </c>
      <c r="AJ277" s="46"/>
      <c r="AK277" s="46">
        <v>45525</v>
      </c>
      <c r="AL277" s="116">
        <v>45626</v>
      </c>
      <c r="AM277" s="170">
        <v>45632</v>
      </c>
      <c r="AN277" s="170">
        <v>45601</v>
      </c>
      <c r="AO277" s="392" t="s">
        <v>634</v>
      </c>
      <c r="AP277" s="392"/>
      <c r="AQ277" s="392" t="s">
        <v>634</v>
      </c>
      <c r="AR277" s="392" t="s">
        <v>634</v>
      </c>
      <c r="AS277" s="392" t="s">
        <v>634</v>
      </c>
      <c r="AT277" s="392" t="s">
        <v>634</v>
      </c>
      <c r="AU277" s="150"/>
      <c r="AV277" s="151"/>
      <c r="AW277" s="151"/>
      <c r="AX277" s="151"/>
      <c r="AY277" s="151"/>
    </row>
    <row r="278" spans="1:51" ht="16.5" customHeight="1" thickBot="1">
      <c r="A278" s="364"/>
      <c r="B278" s="364"/>
      <c r="C278" s="364"/>
      <c r="D278" s="364"/>
      <c r="E278" s="364"/>
      <c r="F278" s="364"/>
      <c r="G278" s="364"/>
      <c r="H278" s="364"/>
      <c r="I278" s="364"/>
      <c r="J278" s="444"/>
      <c r="K278" s="364"/>
      <c r="L278" s="364"/>
      <c r="M278" s="364"/>
      <c r="N278" s="364"/>
      <c r="O278" s="364"/>
      <c r="P278" s="364"/>
      <c r="Q278" s="364"/>
      <c r="R278" s="364"/>
      <c r="S278" s="364"/>
      <c r="T278" s="364"/>
      <c r="U278" s="364"/>
      <c r="V278" s="364"/>
      <c r="W278" s="364"/>
      <c r="X278" s="364"/>
      <c r="Y278" s="364"/>
      <c r="Z278" s="364"/>
      <c r="AA278" s="364"/>
      <c r="AB278" s="364"/>
      <c r="AC278" s="364"/>
      <c r="AD278" s="364"/>
      <c r="AE278" s="364"/>
      <c r="AF278" s="364"/>
      <c r="AG278" s="364"/>
      <c r="AH278" s="364"/>
      <c r="AI278" s="364"/>
      <c r="AJ278" s="364"/>
      <c r="AK278" s="364"/>
      <c r="AL278" s="483"/>
      <c r="AM278" s="483"/>
      <c r="AN278" s="483"/>
      <c r="AO278" s="483"/>
      <c r="AP278" s="483"/>
      <c r="AQ278" s="483"/>
      <c r="AR278" s="483"/>
      <c r="AS278" s="483"/>
      <c r="AT278" s="483"/>
      <c r="AU278" s="371"/>
      <c r="AV278" s="27"/>
      <c r="AW278" s="27"/>
      <c r="AX278" s="27"/>
      <c r="AY278" s="27"/>
    </row>
    <row r="279" spans="1:51" ht="18.75" customHeight="1">
      <c r="A279" s="209">
        <v>813046</v>
      </c>
      <c r="B279" s="177" t="s">
        <v>612</v>
      </c>
      <c r="C279" s="30" t="s">
        <v>617</v>
      </c>
      <c r="D279" s="153">
        <v>0.5</v>
      </c>
      <c r="E279" s="153">
        <v>0.1</v>
      </c>
      <c r="F279" s="31" t="s">
        <v>43</v>
      </c>
      <c r="G279" s="33">
        <v>334</v>
      </c>
      <c r="H279" s="33">
        <v>500</v>
      </c>
      <c r="I279" s="34">
        <v>3</v>
      </c>
      <c r="J279" s="431" t="s">
        <v>613</v>
      </c>
      <c r="K279" s="66" t="s">
        <v>231</v>
      </c>
      <c r="L279" s="157"/>
      <c r="M279" s="30"/>
      <c r="N279" s="323" t="s">
        <v>616</v>
      </c>
      <c r="O279" s="323" t="s">
        <v>511</v>
      </c>
      <c r="P279" s="331" t="s">
        <v>642</v>
      </c>
      <c r="Q279" s="30"/>
      <c r="R279" s="30"/>
      <c r="S279" s="30"/>
      <c r="T279" s="29"/>
      <c r="U279" s="316" t="s">
        <v>354</v>
      </c>
      <c r="V279" s="36">
        <v>45604</v>
      </c>
      <c r="W279" s="36">
        <v>45625</v>
      </c>
      <c r="X279" s="36">
        <v>45624</v>
      </c>
      <c r="Y279" s="36">
        <f>X279+15</f>
        <v>45639</v>
      </c>
      <c r="Z279" s="66"/>
      <c r="AA279" s="31"/>
      <c r="AB279" s="31"/>
      <c r="AC279" s="37"/>
      <c r="AD279" s="31"/>
      <c r="AE279" s="36">
        <v>45628</v>
      </c>
      <c r="AF279" s="99">
        <v>45636</v>
      </c>
      <c r="AG279" s="36">
        <v>45631</v>
      </c>
      <c r="AH279" s="36">
        <v>45631</v>
      </c>
      <c r="AI279" s="36">
        <v>45642</v>
      </c>
      <c r="AJ279" s="36">
        <v>45601</v>
      </c>
      <c r="AK279" s="36">
        <v>45601</v>
      </c>
      <c r="AL279" s="379">
        <v>45642</v>
      </c>
      <c r="AM279" s="379">
        <v>45642</v>
      </c>
      <c r="AN279" s="379">
        <v>45628</v>
      </c>
      <c r="AO279" s="379">
        <v>45642</v>
      </c>
      <c r="AP279" s="379"/>
      <c r="AQ279" s="379">
        <v>45642</v>
      </c>
      <c r="AR279" s="379">
        <v>45642</v>
      </c>
      <c r="AS279" s="379">
        <v>45642</v>
      </c>
      <c r="AT279" s="379">
        <v>45645</v>
      </c>
      <c r="AU279" s="195"/>
      <c r="AV279" s="151"/>
      <c r="AW279" s="151"/>
      <c r="AX279" s="151"/>
      <c r="AY279" s="151"/>
    </row>
    <row r="280" spans="1:51" ht="18" customHeight="1">
      <c r="A280" s="40">
        <f>IF(A279="","",A279)</f>
        <v>813046</v>
      </c>
      <c r="B280" s="41"/>
      <c r="C280" s="58">
        <v>812520</v>
      </c>
      <c r="D280" s="42"/>
      <c r="E280" s="42"/>
      <c r="F280" s="43" t="s">
        <v>48</v>
      </c>
      <c r="G280" s="59"/>
      <c r="H280" s="59"/>
      <c r="I280" s="44"/>
      <c r="J280" s="52"/>
      <c r="K280" s="53"/>
      <c r="L280" s="537"/>
      <c r="M280" s="42"/>
      <c r="N280" s="42"/>
      <c r="O280" s="42"/>
      <c r="P280" s="42"/>
      <c r="Q280" s="42"/>
      <c r="R280" s="42"/>
      <c r="S280" s="42"/>
      <c r="T280" s="41"/>
      <c r="U280" s="42"/>
      <c r="V280" s="116">
        <v>45604</v>
      </c>
      <c r="W280" s="116">
        <v>45625</v>
      </c>
      <c r="X280" s="116">
        <v>45624</v>
      </c>
      <c r="Y280" s="116">
        <v>45643</v>
      </c>
      <c r="Z280" s="43"/>
      <c r="AA280" s="43"/>
      <c r="AB280" s="43"/>
      <c r="AC280" s="54"/>
      <c r="AD280" s="43"/>
      <c r="AE280" s="46">
        <v>45628</v>
      </c>
      <c r="AF280" s="46">
        <v>45636</v>
      </c>
      <c r="AG280" s="46">
        <v>45631</v>
      </c>
      <c r="AH280" s="46">
        <v>45631</v>
      </c>
      <c r="AI280" s="46">
        <v>45642</v>
      </c>
      <c r="AJ280" s="46">
        <v>45601</v>
      </c>
      <c r="AK280" s="46">
        <v>45618</v>
      </c>
      <c r="AL280" s="116">
        <v>45642</v>
      </c>
      <c r="AM280" s="170">
        <v>45644</v>
      </c>
      <c r="AN280" s="484">
        <v>45632</v>
      </c>
      <c r="AO280" s="366">
        <v>45635</v>
      </c>
      <c r="AP280" s="366"/>
      <c r="AQ280" s="366">
        <v>45635</v>
      </c>
      <c r="AR280" s="116">
        <v>45642</v>
      </c>
      <c r="AS280" s="116">
        <v>45642</v>
      </c>
      <c r="AT280" s="170">
        <v>45649</v>
      </c>
      <c r="AU280" s="150"/>
      <c r="AV280" s="151"/>
      <c r="AW280" s="151"/>
      <c r="AX280" s="151"/>
      <c r="AY280" s="151"/>
    </row>
    <row r="281" spans="1:51" ht="18.75" customHeight="1">
      <c r="A281" s="209">
        <v>813036</v>
      </c>
      <c r="B281" s="177">
        <v>813036</v>
      </c>
      <c r="C281" s="178" t="s">
        <v>42</v>
      </c>
      <c r="D281" s="30"/>
      <c r="E281" s="30"/>
      <c r="F281" s="31" t="s">
        <v>43</v>
      </c>
      <c r="G281" s="33">
        <v>310</v>
      </c>
      <c r="H281" s="33">
        <v>220</v>
      </c>
      <c r="I281" s="34">
        <v>1</v>
      </c>
      <c r="J281" s="455" t="s">
        <v>593</v>
      </c>
      <c r="K281" s="66" t="s">
        <v>77</v>
      </c>
      <c r="L281" s="157"/>
      <c r="M281" s="30"/>
      <c r="N281" s="309" t="s">
        <v>336</v>
      </c>
      <c r="O281" s="309" t="s">
        <v>511</v>
      </c>
      <c r="P281" s="309" t="s">
        <v>641</v>
      </c>
      <c r="Q281" s="30"/>
      <c r="R281" s="30"/>
      <c r="S281" s="30"/>
      <c r="T281" s="29"/>
      <c r="U281" s="316" t="s">
        <v>354</v>
      </c>
      <c r="V281" s="36">
        <v>45610</v>
      </c>
      <c r="W281" s="36">
        <f>V281+15</f>
        <v>45625</v>
      </c>
      <c r="X281" s="36"/>
      <c r="Y281" s="36"/>
      <c r="Z281" s="31" t="s">
        <v>72</v>
      </c>
      <c r="AA281" s="31" t="s">
        <v>72</v>
      </c>
      <c r="AB281" s="31"/>
      <c r="AC281" s="37"/>
      <c r="AD281" s="31" t="s">
        <v>72</v>
      </c>
      <c r="AE281" s="99">
        <v>45630</v>
      </c>
      <c r="AF281" s="36">
        <v>45636</v>
      </c>
      <c r="AG281" s="36">
        <v>45639</v>
      </c>
      <c r="AH281" s="36">
        <v>45636</v>
      </c>
      <c r="AI281" s="36">
        <v>45653</v>
      </c>
      <c r="AJ281" s="36">
        <v>45596</v>
      </c>
      <c r="AK281" s="36">
        <v>45604</v>
      </c>
      <c r="AL281" s="379">
        <v>45653</v>
      </c>
      <c r="AM281" s="379">
        <v>45653</v>
      </c>
      <c r="AN281" s="379">
        <v>45609</v>
      </c>
      <c r="AO281" s="379">
        <v>45653</v>
      </c>
      <c r="AP281" s="379"/>
      <c r="AQ281" s="379">
        <v>45653</v>
      </c>
      <c r="AR281" s="379">
        <v>45653</v>
      </c>
      <c r="AS281" s="379">
        <v>45653</v>
      </c>
      <c r="AT281" s="314">
        <v>45656</v>
      </c>
      <c r="AU281" s="150"/>
      <c r="AV281" s="151"/>
      <c r="AW281" s="151"/>
      <c r="AX281" s="151"/>
      <c r="AY281" s="151"/>
    </row>
    <row r="282" spans="1:51" ht="18" customHeight="1">
      <c r="A282" s="40">
        <f>IF(A281="","",A281)</f>
        <v>813036</v>
      </c>
      <c r="B282" s="41"/>
      <c r="C282" s="42"/>
      <c r="D282" s="42"/>
      <c r="E282" s="42"/>
      <c r="F282" s="43" t="s">
        <v>48</v>
      </c>
      <c r="G282" s="59"/>
      <c r="H282" s="59"/>
      <c r="I282" s="44"/>
      <c r="J282" s="52"/>
      <c r="K282" s="53"/>
      <c r="L282" s="537"/>
      <c r="M282" s="42"/>
      <c r="N282" s="42"/>
      <c r="O282" s="42"/>
      <c r="P282" s="42"/>
      <c r="Q282" s="42"/>
      <c r="R282" s="42"/>
      <c r="S282" s="42"/>
      <c r="T282" s="41"/>
      <c r="U282" s="42"/>
      <c r="V282" s="116">
        <v>45610</v>
      </c>
      <c r="W282" s="116">
        <v>45755</v>
      </c>
      <c r="X282" s="116"/>
      <c r="Y282" s="116"/>
      <c r="Z282" s="43"/>
      <c r="AA282" s="43"/>
      <c r="AB282" s="43"/>
      <c r="AC282" s="54"/>
      <c r="AD282" s="43"/>
      <c r="AE282" s="116">
        <v>45626</v>
      </c>
      <c r="AF282" s="46">
        <v>45636</v>
      </c>
      <c r="AG282" s="46">
        <v>45639</v>
      </c>
      <c r="AH282" s="46">
        <v>45632</v>
      </c>
      <c r="AI282" s="46">
        <v>45645</v>
      </c>
      <c r="AJ282" s="46">
        <v>45596</v>
      </c>
      <c r="AK282" s="46" t="s">
        <v>631</v>
      </c>
      <c r="AL282" s="116">
        <v>45653</v>
      </c>
      <c r="AM282" s="392" t="s">
        <v>254</v>
      </c>
      <c r="AN282" s="484">
        <v>45649</v>
      </c>
      <c r="AO282" s="116">
        <v>45653</v>
      </c>
      <c r="AP282" s="116"/>
      <c r="AQ282" s="116">
        <v>45653</v>
      </c>
      <c r="AR282" s="116">
        <v>45653</v>
      </c>
      <c r="AS282" s="116">
        <v>45653</v>
      </c>
      <c r="AT282" s="367"/>
      <c r="AU282" s="150"/>
      <c r="AV282" s="151"/>
      <c r="AW282" s="151"/>
      <c r="AX282" s="151"/>
      <c r="AY282" s="151"/>
    </row>
    <row r="283" spans="1:51" ht="18.75" customHeight="1">
      <c r="A283" s="209">
        <v>813021</v>
      </c>
      <c r="B283" s="177" t="s">
        <v>580</v>
      </c>
      <c r="C283" s="178" t="s">
        <v>42</v>
      </c>
      <c r="D283" s="30"/>
      <c r="E283" s="30"/>
      <c r="F283" s="31" t="s">
        <v>43</v>
      </c>
      <c r="G283" s="33">
        <v>200</v>
      </c>
      <c r="H283" s="33">
        <v>220</v>
      </c>
      <c r="I283" s="34">
        <v>2</v>
      </c>
      <c r="J283" s="456" t="s">
        <v>581</v>
      </c>
      <c r="K283" s="66" t="s">
        <v>351</v>
      </c>
      <c r="L283" s="157"/>
      <c r="M283" s="30"/>
      <c r="N283" s="331" t="s">
        <v>352</v>
      </c>
      <c r="O283" s="323" t="s">
        <v>72</v>
      </c>
      <c r="P283" s="323" t="s">
        <v>591</v>
      </c>
      <c r="Q283" s="30"/>
      <c r="R283" s="30" t="s">
        <v>354</v>
      </c>
      <c r="S283" s="30" t="s">
        <v>361</v>
      </c>
      <c r="T283" s="29"/>
      <c r="U283" s="316" t="s">
        <v>354</v>
      </c>
      <c r="V283" s="36">
        <v>45592</v>
      </c>
      <c r="W283" s="36">
        <f>V283+15</f>
        <v>45607</v>
      </c>
      <c r="X283" s="36">
        <v>45592</v>
      </c>
      <c r="Y283" s="36">
        <f>X283+15</f>
        <v>45607</v>
      </c>
      <c r="Z283" s="66"/>
      <c r="AA283" s="31"/>
      <c r="AB283" s="31"/>
      <c r="AC283" s="37"/>
      <c r="AD283" s="31"/>
      <c r="AE283" s="36">
        <v>45631</v>
      </c>
      <c r="AF283" s="36">
        <v>45646</v>
      </c>
      <c r="AG283" s="36">
        <v>45642</v>
      </c>
      <c r="AH283" s="36">
        <v>45657</v>
      </c>
      <c r="AI283" s="482">
        <v>45657</v>
      </c>
      <c r="AJ283" s="89">
        <v>45595</v>
      </c>
      <c r="AK283" s="36">
        <v>45613</v>
      </c>
      <c r="AL283" s="379">
        <v>45653</v>
      </c>
      <c r="AM283" s="379">
        <v>45653</v>
      </c>
      <c r="AN283" s="379">
        <v>45616</v>
      </c>
      <c r="AO283" s="379">
        <v>45653</v>
      </c>
      <c r="AP283" s="379"/>
      <c r="AQ283" s="379">
        <v>45653</v>
      </c>
      <c r="AR283" s="379">
        <v>45653</v>
      </c>
      <c r="AS283" s="379">
        <v>45653</v>
      </c>
      <c r="AT283" s="379">
        <v>45656</v>
      </c>
      <c r="AU283" s="150"/>
      <c r="AV283" s="151"/>
      <c r="AW283" s="151"/>
      <c r="AX283" s="151"/>
      <c r="AY283" s="151"/>
    </row>
    <row r="284" spans="1:51" ht="18" customHeight="1">
      <c r="A284" s="40">
        <v>813021</v>
      </c>
      <c r="B284" s="41"/>
      <c r="C284" s="42"/>
      <c r="D284" s="42"/>
      <c r="E284" s="42"/>
      <c r="F284" s="43" t="s">
        <v>48</v>
      </c>
      <c r="G284" s="59"/>
      <c r="H284" s="59"/>
      <c r="I284" s="44"/>
      <c r="J284" s="52"/>
      <c r="K284" s="53"/>
      <c r="L284" s="537"/>
      <c r="M284" s="42"/>
      <c r="N284" s="42"/>
      <c r="O284" s="42"/>
      <c r="P284" s="42"/>
      <c r="Q284" s="42"/>
      <c r="R284" s="42"/>
      <c r="S284" s="42"/>
      <c r="T284" s="41"/>
      <c r="U284" s="42"/>
      <c r="V284" s="116">
        <v>45596</v>
      </c>
      <c r="W284" s="116">
        <v>45625</v>
      </c>
      <c r="X284" s="116">
        <v>45614</v>
      </c>
      <c r="Y284" s="116">
        <v>45632</v>
      </c>
      <c r="Z284" s="43"/>
      <c r="AA284" s="43"/>
      <c r="AB284" s="43"/>
      <c r="AC284" s="54"/>
      <c r="AD284" s="43"/>
      <c r="AE284" s="46">
        <v>45631</v>
      </c>
      <c r="AF284" s="46">
        <v>45646</v>
      </c>
      <c r="AG284" s="46">
        <v>45642</v>
      </c>
      <c r="AH284" s="46">
        <v>45657</v>
      </c>
      <c r="AI284" s="46">
        <v>45657</v>
      </c>
      <c r="AJ284" s="46">
        <v>45595</v>
      </c>
      <c r="AK284" s="46">
        <v>45613</v>
      </c>
      <c r="AL284" s="170">
        <v>45653</v>
      </c>
      <c r="AM284" s="170">
        <v>45652</v>
      </c>
      <c r="AN284" s="484">
        <v>45634</v>
      </c>
      <c r="AO284" s="170">
        <v>45636</v>
      </c>
      <c r="AP284" s="295"/>
      <c r="AQ284" s="170">
        <v>45636</v>
      </c>
      <c r="AR284" s="485">
        <v>45654</v>
      </c>
      <c r="AS284" s="170">
        <v>45653</v>
      </c>
      <c r="AT284" s="116">
        <v>45656</v>
      </c>
      <c r="AU284" s="47" t="s">
        <v>628</v>
      </c>
      <c r="AV284" s="151"/>
      <c r="AW284" s="151"/>
      <c r="AX284" s="151"/>
      <c r="AY284" s="151"/>
    </row>
    <row r="285" spans="1:51" ht="20.25" customHeight="1">
      <c r="A285" s="209">
        <v>812995</v>
      </c>
      <c r="B285" s="177">
        <v>812995</v>
      </c>
      <c r="C285" s="178" t="s">
        <v>42</v>
      </c>
      <c r="D285" s="30"/>
      <c r="E285" s="30"/>
      <c r="F285" s="31" t="s">
        <v>43</v>
      </c>
      <c r="G285" s="33">
        <v>290</v>
      </c>
      <c r="H285" s="33">
        <v>132</v>
      </c>
      <c r="I285" s="34">
        <v>1</v>
      </c>
      <c r="J285" s="329" t="s">
        <v>545</v>
      </c>
      <c r="K285" s="66" t="s">
        <v>351</v>
      </c>
      <c r="L285" s="157"/>
      <c r="M285" s="30"/>
      <c r="N285" s="323" t="s">
        <v>336</v>
      </c>
      <c r="O285" s="323" t="s">
        <v>72</v>
      </c>
      <c r="P285" s="323" t="s">
        <v>566</v>
      </c>
      <c r="Q285" s="30"/>
      <c r="R285" s="30" t="s">
        <v>354</v>
      </c>
      <c r="S285" s="30" t="s">
        <v>361</v>
      </c>
      <c r="T285" s="29"/>
      <c r="U285" s="316" t="s">
        <v>354</v>
      </c>
      <c r="V285" s="36">
        <v>45547</v>
      </c>
      <c r="W285" s="36">
        <f>V285+15</f>
        <v>45562</v>
      </c>
      <c r="X285" s="36">
        <v>45547</v>
      </c>
      <c r="Y285" s="36">
        <f>X285+15</f>
        <v>45562</v>
      </c>
      <c r="Z285" s="66"/>
      <c r="AA285" s="31"/>
      <c r="AB285" s="31"/>
      <c r="AC285" s="37"/>
      <c r="AD285" s="31"/>
      <c r="AE285" s="36">
        <v>45635</v>
      </c>
      <c r="AF285" s="36">
        <v>45646</v>
      </c>
      <c r="AG285" s="36">
        <v>45646</v>
      </c>
      <c r="AH285" s="36">
        <v>45657</v>
      </c>
      <c r="AI285" s="36">
        <v>45657</v>
      </c>
      <c r="AJ285" s="36">
        <v>45516</v>
      </c>
      <c r="AK285" s="36">
        <v>45545</v>
      </c>
      <c r="AL285" s="379">
        <v>45656</v>
      </c>
      <c r="AM285" s="379">
        <v>45656</v>
      </c>
      <c r="AN285" s="379">
        <v>45621</v>
      </c>
      <c r="AO285" s="379">
        <v>45656</v>
      </c>
      <c r="AP285" s="379"/>
      <c r="AQ285" s="379">
        <v>45656</v>
      </c>
      <c r="AR285" s="379">
        <v>45656</v>
      </c>
      <c r="AS285" s="471">
        <v>45657</v>
      </c>
      <c r="AT285" s="488">
        <v>45297</v>
      </c>
      <c r="AU285" s="150"/>
      <c r="AV285" s="151"/>
      <c r="AW285" s="151"/>
      <c r="AX285" s="151"/>
      <c r="AY285" s="151"/>
    </row>
    <row r="286" spans="1:51" ht="18" customHeight="1">
      <c r="A286" s="40">
        <v>812995</v>
      </c>
      <c r="B286" s="41"/>
      <c r="C286" s="42"/>
      <c r="D286" s="42"/>
      <c r="E286" s="42"/>
      <c r="F286" s="43" t="s">
        <v>48</v>
      </c>
      <c r="G286" s="59"/>
      <c r="H286" s="59"/>
      <c r="I286" s="44"/>
      <c r="J286" s="52"/>
      <c r="K286" s="53"/>
      <c r="L286" s="537"/>
      <c r="M286" s="42"/>
      <c r="N286" s="42"/>
      <c r="O286" s="42"/>
      <c r="P286" s="42"/>
      <c r="Q286" s="42"/>
      <c r="R286" s="42"/>
      <c r="S286" s="42"/>
      <c r="T286" s="41"/>
      <c r="U286" s="42"/>
      <c r="V286" s="116">
        <v>45547</v>
      </c>
      <c r="W286" s="116">
        <v>45737</v>
      </c>
      <c r="X286" s="116">
        <v>45549</v>
      </c>
      <c r="Y286" s="116">
        <v>45737</v>
      </c>
      <c r="Z286" s="43"/>
      <c r="AA286" s="43"/>
      <c r="AB286" s="43"/>
      <c r="AC286" s="54"/>
      <c r="AD286" s="43"/>
      <c r="AE286" s="46">
        <v>45635</v>
      </c>
      <c r="AF286" s="46">
        <v>45656</v>
      </c>
      <c r="AG286" s="46">
        <v>45646</v>
      </c>
      <c r="AH286" s="46">
        <v>45657</v>
      </c>
      <c r="AI286" s="46">
        <v>45657</v>
      </c>
      <c r="AJ286" s="46">
        <v>45469</v>
      </c>
      <c r="AK286" s="46">
        <v>45545</v>
      </c>
      <c r="AL286" s="46">
        <v>45656</v>
      </c>
      <c r="AM286" s="46" t="s">
        <v>254</v>
      </c>
      <c r="AN286" s="46" t="s">
        <v>254</v>
      </c>
      <c r="AO286" s="116">
        <v>45656</v>
      </c>
      <c r="AP286" s="116"/>
      <c r="AQ286" s="116">
        <v>45656</v>
      </c>
      <c r="AR286" s="116">
        <v>45656</v>
      </c>
      <c r="AS286" s="46">
        <v>45657</v>
      </c>
      <c r="AT286" s="46">
        <v>45663</v>
      </c>
      <c r="AU286" s="150"/>
      <c r="AV286" s="151"/>
      <c r="AW286" s="151"/>
      <c r="AX286" s="151"/>
      <c r="AY286" s="151"/>
    </row>
    <row r="287" spans="1:51" ht="18.75" customHeight="1">
      <c r="A287" s="209">
        <v>812838</v>
      </c>
      <c r="B287" s="177">
        <v>812838</v>
      </c>
      <c r="C287" s="178" t="s">
        <v>42</v>
      </c>
      <c r="D287" s="30"/>
      <c r="E287" s="30"/>
      <c r="F287" s="31" t="s">
        <v>43</v>
      </c>
      <c r="G287" s="50">
        <v>334</v>
      </c>
      <c r="H287" s="50">
        <v>500</v>
      </c>
      <c r="I287" s="34">
        <v>1</v>
      </c>
      <c r="J287" s="457" t="s">
        <v>449</v>
      </c>
      <c r="K287" s="81" t="s">
        <v>632</v>
      </c>
      <c r="L287" s="538"/>
      <c r="M287" s="178"/>
      <c r="N287" s="316" t="s">
        <v>336</v>
      </c>
      <c r="O287" s="316" t="s">
        <v>72</v>
      </c>
      <c r="P287" s="316" t="s">
        <v>569</v>
      </c>
      <c r="Q287" s="178"/>
      <c r="R287" s="178" t="s">
        <v>354</v>
      </c>
      <c r="S287" s="178" t="s">
        <v>354</v>
      </c>
      <c r="T287" s="332"/>
      <c r="U287" s="323" t="s">
        <v>354</v>
      </c>
      <c r="V287" s="36">
        <v>45618</v>
      </c>
      <c r="W287" s="36">
        <f>V287+15</f>
        <v>45633</v>
      </c>
      <c r="X287" s="36">
        <v>45626</v>
      </c>
      <c r="Y287" s="36">
        <f>X287+15</f>
        <v>45641</v>
      </c>
      <c r="Z287" s="161"/>
      <c r="AA287" s="31"/>
      <c r="AB287" s="31"/>
      <c r="AC287" s="37"/>
      <c r="AD287" s="31"/>
      <c r="AE287" s="89">
        <v>45637</v>
      </c>
      <c r="AF287" s="36">
        <v>45657</v>
      </c>
      <c r="AG287" s="36">
        <v>45653</v>
      </c>
      <c r="AH287" s="36">
        <v>45657</v>
      </c>
      <c r="AI287" s="36">
        <v>45657</v>
      </c>
      <c r="AJ287" s="36">
        <v>45597</v>
      </c>
      <c r="AK287" s="36">
        <v>45595</v>
      </c>
      <c r="AL287" s="36">
        <v>45657</v>
      </c>
      <c r="AM287" s="36">
        <v>45657</v>
      </c>
      <c r="AN287" s="36">
        <v>45626</v>
      </c>
      <c r="AO287" s="36">
        <v>45657</v>
      </c>
      <c r="AP287" s="36"/>
      <c r="AQ287" s="36">
        <v>45657</v>
      </c>
      <c r="AR287" s="36">
        <v>45657</v>
      </c>
      <c r="AS287" s="36">
        <v>45662</v>
      </c>
      <c r="AT287" s="36">
        <v>45662</v>
      </c>
      <c r="AU287" s="150"/>
      <c r="AV287" s="151"/>
      <c r="AW287" s="151"/>
      <c r="AX287" s="151"/>
      <c r="AY287" s="151"/>
    </row>
    <row r="288" spans="1:51" ht="21" customHeight="1" thickBot="1">
      <c r="A288" s="180">
        <v>812838</v>
      </c>
      <c r="B288" s="181"/>
      <c r="C288" s="182"/>
      <c r="D288" s="182"/>
      <c r="E288" s="182"/>
      <c r="F288" s="43" t="s">
        <v>48</v>
      </c>
      <c r="G288" s="183"/>
      <c r="H288" s="183"/>
      <c r="I288" s="184"/>
      <c r="J288" s="184"/>
      <c r="K288" s="184"/>
      <c r="L288" s="184"/>
      <c r="M288" s="184"/>
      <c r="N288" s="184"/>
      <c r="O288" s="185"/>
      <c r="P288" s="185"/>
      <c r="Q288" s="185"/>
      <c r="R288" s="185"/>
      <c r="S288" s="185"/>
      <c r="T288" s="181"/>
      <c r="U288" s="185"/>
      <c r="V288" s="116">
        <v>45618</v>
      </c>
      <c r="W288" s="116">
        <v>45628</v>
      </c>
      <c r="X288" s="116">
        <v>45635</v>
      </c>
      <c r="Y288" s="116">
        <v>45660</v>
      </c>
      <c r="Z288" s="158"/>
      <c r="AA288" s="43"/>
      <c r="AB288" s="43"/>
      <c r="AC288" s="54"/>
      <c r="AD288" s="43"/>
      <c r="AE288" s="46">
        <v>45637</v>
      </c>
      <c r="AF288" s="46">
        <v>45657</v>
      </c>
      <c r="AG288" s="46">
        <v>45657</v>
      </c>
      <c r="AH288" s="46">
        <v>45657</v>
      </c>
      <c r="AI288" s="46">
        <v>45657</v>
      </c>
      <c r="AJ288" s="46">
        <v>45597</v>
      </c>
      <c r="AK288" s="46">
        <v>45595</v>
      </c>
      <c r="AL288" s="46">
        <v>45657</v>
      </c>
      <c r="AM288" s="46">
        <v>45657</v>
      </c>
      <c r="AN288" s="46">
        <v>45653</v>
      </c>
      <c r="AO288" s="46">
        <v>45657</v>
      </c>
      <c r="AP288" s="46"/>
      <c r="AQ288" s="46">
        <v>45657</v>
      </c>
      <c r="AR288" s="46">
        <v>45657</v>
      </c>
      <c r="AS288" s="46">
        <v>45662</v>
      </c>
      <c r="AT288" s="46">
        <v>45662</v>
      </c>
      <c r="AU288" s="194"/>
      <c r="AV288" s="151"/>
      <c r="AW288" s="151"/>
      <c r="AX288" s="151"/>
      <c r="AY288" s="151"/>
    </row>
    <row r="289" spans="1:51" ht="16.5" customHeight="1" thickBot="1">
      <c r="A289" s="364"/>
      <c r="B289" s="364"/>
      <c r="C289" s="364"/>
      <c r="D289" s="364"/>
      <c r="E289" s="364"/>
      <c r="F289" s="364"/>
      <c r="G289" s="364"/>
      <c r="H289" s="364"/>
      <c r="I289" s="364"/>
      <c r="J289" s="444"/>
      <c r="K289" s="364"/>
      <c r="L289" s="364"/>
      <c r="M289" s="364"/>
      <c r="N289" s="364"/>
      <c r="O289" s="364"/>
      <c r="P289" s="364"/>
      <c r="Q289" s="364"/>
      <c r="R289" s="364"/>
      <c r="S289" s="364"/>
      <c r="T289" s="364"/>
      <c r="U289" s="364"/>
      <c r="V289" s="364"/>
      <c r="W289" s="364"/>
      <c r="X289" s="364"/>
      <c r="Y289" s="364"/>
      <c r="Z289" s="364"/>
      <c r="AA289" s="364"/>
      <c r="AB289" s="364"/>
      <c r="AC289" s="364"/>
      <c r="AD289" s="364"/>
      <c r="AE289" s="364"/>
      <c r="AF289" s="364"/>
      <c r="AG289" s="364"/>
      <c r="AH289" s="364"/>
      <c r="AI289" s="364"/>
      <c r="AJ289" s="364"/>
      <c r="AK289" s="364"/>
      <c r="AL289" s="364"/>
      <c r="AM289" s="364"/>
      <c r="AN289" s="364"/>
      <c r="AO289" s="364"/>
      <c r="AP289" s="364"/>
      <c r="AQ289" s="364"/>
      <c r="AR289" s="364"/>
      <c r="AS289" s="364"/>
      <c r="AT289" s="364"/>
      <c r="AU289" s="357"/>
      <c r="AV289" s="27"/>
      <c r="AW289" s="27"/>
      <c r="AX289" s="27"/>
      <c r="AY289" s="27"/>
    </row>
    <row r="290" spans="1:51" ht="18.75" customHeight="1">
      <c r="A290" s="340">
        <v>850652</v>
      </c>
      <c r="B290" s="29">
        <v>850652</v>
      </c>
      <c r="C290" s="30" t="s">
        <v>42</v>
      </c>
      <c r="D290" s="30"/>
      <c r="E290" s="30"/>
      <c r="F290" s="31" t="s">
        <v>43</v>
      </c>
      <c r="G290" s="33">
        <v>50</v>
      </c>
      <c r="H290" s="33">
        <v>110</v>
      </c>
      <c r="I290" s="34">
        <v>1</v>
      </c>
      <c r="J290" s="467" t="s">
        <v>624</v>
      </c>
      <c r="K290" s="66" t="s">
        <v>231</v>
      </c>
      <c r="L290" s="157"/>
      <c r="M290" s="30"/>
      <c r="N290" s="30" t="s">
        <v>62</v>
      </c>
      <c r="O290" s="30"/>
      <c r="P290" s="309" t="s">
        <v>474</v>
      </c>
      <c r="Q290" s="30"/>
      <c r="R290" s="30"/>
      <c r="S290" s="30"/>
      <c r="T290" s="29"/>
      <c r="U290" s="316" t="s">
        <v>354</v>
      </c>
      <c r="V290" s="336"/>
      <c r="W290" s="336"/>
      <c r="X290" s="336"/>
      <c r="Y290" s="336"/>
      <c r="Z290" s="66"/>
      <c r="AA290" s="31"/>
      <c r="AB290" s="31"/>
      <c r="AC290" s="37"/>
      <c r="AD290" s="31"/>
      <c r="AE290" s="36" t="s">
        <v>595</v>
      </c>
      <c r="AF290" s="36" t="s">
        <v>595</v>
      </c>
      <c r="AG290" s="36">
        <v>45660</v>
      </c>
      <c r="AH290" s="36">
        <v>45661</v>
      </c>
      <c r="AI290" s="494">
        <v>45677</v>
      </c>
      <c r="AJ290" s="36" t="s">
        <v>81</v>
      </c>
      <c r="AK290" s="38">
        <v>45642</v>
      </c>
      <c r="AL290" s="36">
        <v>45663</v>
      </c>
      <c r="AM290" s="36">
        <v>45663</v>
      </c>
      <c r="AN290" s="38">
        <v>45665</v>
      </c>
      <c r="AO290" s="36">
        <v>45663</v>
      </c>
      <c r="AP290" s="36"/>
      <c r="AQ290" s="36">
        <v>45663</v>
      </c>
      <c r="AR290" s="36">
        <v>45670</v>
      </c>
      <c r="AS290" s="36">
        <v>45670</v>
      </c>
      <c r="AT290" s="36">
        <v>45673</v>
      </c>
      <c r="AU290" s="637" t="s">
        <v>656</v>
      </c>
      <c r="AV290" s="151"/>
      <c r="AW290" s="151"/>
      <c r="AX290" s="151"/>
      <c r="AY290" s="151"/>
    </row>
    <row r="291" spans="1:51" ht="18" customHeight="1">
      <c r="A291" s="40">
        <f>IF(A290="","",A290)</f>
        <v>850652</v>
      </c>
      <c r="B291" s="41"/>
      <c r="C291" s="42"/>
      <c r="D291" s="42"/>
      <c r="E291" s="42"/>
      <c r="F291" s="43" t="s">
        <v>48</v>
      </c>
      <c r="G291" s="59"/>
      <c r="H291" s="59"/>
      <c r="I291" s="44"/>
      <c r="J291" s="52"/>
      <c r="K291" s="53"/>
      <c r="L291" s="537"/>
      <c r="M291" s="42"/>
      <c r="N291" s="42"/>
      <c r="O291" s="42"/>
      <c r="P291" s="42"/>
      <c r="Q291" s="42"/>
      <c r="R291" s="42"/>
      <c r="S291" s="42"/>
      <c r="T291" s="41"/>
      <c r="U291" s="42"/>
      <c r="V291" s="53"/>
      <c r="W291" s="53"/>
      <c r="X291" s="53"/>
      <c r="Y291" s="53"/>
      <c r="Z291" s="43"/>
      <c r="AA291" s="43"/>
      <c r="AB291" s="43"/>
      <c r="AC291" s="54"/>
      <c r="AD291" s="43"/>
      <c r="AE291" s="46"/>
      <c r="AF291" s="46"/>
      <c r="AG291" s="46">
        <v>45663</v>
      </c>
      <c r="AH291" s="46">
        <v>45663</v>
      </c>
      <c r="AI291" s="46">
        <v>45677</v>
      </c>
      <c r="AJ291" s="46"/>
      <c r="AK291" s="46">
        <v>45642</v>
      </c>
      <c r="AL291" s="46">
        <v>45657</v>
      </c>
      <c r="AM291" s="46">
        <v>45660</v>
      </c>
      <c r="AN291" s="46">
        <v>45659</v>
      </c>
      <c r="AO291" s="46">
        <v>45657</v>
      </c>
      <c r="AP291" s="46"/>
      <c r="AQ291" s="46">
        <v>45657</v>
      </c>
      <c r="AR291" s="46">
        <v>45673</v>
      </c>
      <c r="AS291" s="46">
        <v>45670</v>
      </c>
      <c r="AT291" s="46">
        <v>45673</v>
      </c>
      <c r="AU291" s="638"/>
      <c r="AV291" s="151"/>
      <c r="AW291" s="151"/>
      <c r="AX291" s="151"/>
      <c r="AY291" s="151"/>
    </row>
    <row r="292" spans="1:51" ht="19.5" customHeight="1">
      <c r="A292" s="209">
        <v>812921</v>
      </c>
      <c r="B292" s="177" t="s">
        <v>439</v>
      </c>
      <c r="C292" s="30" t="s">
        <v>55</v>
      </c>
      <c r="D292" s="153">
        <v>0.2</v>
      </c>
      <c r="E292" s="30">
        <v>0</v>
      </c>
      <c r="F292" s="31" t="s">
        <v>43</v>
      </c>
      <c r="G292" s="50">
        <v>240</v>
      </c>
      <c r="H292" s="50">
        <v>220</v>
      </c>
      <c r="I292" s="34">
        <v>2</v>
      </c>
      <c r="J292" s="443" t="s">
        <v>440</v>
      </c>
      <c r="K292" s="81" t="s">
        <v>479</v>
      </c>
      <c r="L292" s="538"/>
      <c r="M292" s="178"/>
      <c r="N292" s="317" t="s">
        <v>426</v>
      </c>
      <c r="O292" s="317"/>
      <c r="P292" s="317" t="s">
        <v>389</v>
      </c>
      <c r="Q292" s="178"/>
      <c r="R292" s="178" t="s">
        <v>354</v>
      </c>
      <c r="S292" s="178" t="s">
        <v>354</v>
      </c>
      <c r="T292" s="345"/>
      <c r="U292" s="316" t="s">
        <v>354</v>
      </c>
      <c r="V292" s="36">
        <v>45329</v>
      </c>
      <c r="W292" s="36">
        <f>V292+30</f>
        <v>45359</v>
      </c>
      <c r="X292" s="36">
        <v>45329</v>
      </c>
      <c r="Y292" s="36">
        <f>X292+15</f>
        <v>45344</v>
      </c>
      <c r="Z292" s="161" t="s">
        <v>72</v>
      </c>
      <c r="AA292" s="161"/>
      <c r="AB292" s="31"/>
      <c r="AC292" s="37"/>
      <c r="AD292" s="31"/>
      <c r="AE292" s="36">
        <v>45660</v>
      </c>
      <c r="AF292" s="36">
        <v>45664</v>
      </c>
      <c r="AG292" s="36">
        <v>45664</v>
      </c>
      <c r="AH292" s="36">
        <v>45664</v>
      </c>
      <c r="AI292" s="36">
        <v>45679</v>
      </c>
      <c r="AJ292" s="36">
        <v>45524</v>
      </c>
      <c r="AK292" s="36">
        <v>45540</v>
      </c>
      <c r="AL292" s="36">
        <v>45679</v>
      </c>
      <c r="AM292" s="36">
        <v>45679</v>
      </c>
      <c r="AN292" s="36">
        <v>45681</v>
      </c>
      <c r="AO292" s="36">
        <v>45679</v>
      </c>
      <c r="AP292" s="36"/>
      <c r="AQ292" s="36">
        <v>45679</v>
      </c>
      <c r="AR292" s="36">
        <v>45679</v>
      </c>
      <c r="AS292" s="36">
        <v>45679</v>
      </c>
      <c r="AT292" s="36">
        <v>45682</v>
      </c>
      <c r="AU292" s="638"/>
      <c r="AV292" s="151"/>
      <c r="AW292" s="151"/>
      <c r="AX292" s="151"/>
      <c r="AY292" s="151"/>
    </row>
    <row r="293" spans="1:51" ht="22.5" customHeight="1">
      <c r="A293" s="180">
        <v>812921</v>
      </c>
      <c r="B293" s="181">
        <v>812738</v>
      </c>
      <c r="C293" s="182"/>
      <c r="D293" s="182"/>
      <c r="E293" s="182"/>
      <c r="F293" s="43" t="s">
        <v>48</v>
      </c>
      <c r="G293" s="183"/>
      <c r="H293" s="183"/>
      <c r="I293" s="184"/>
      <c r="J293" s="429"/>
      <c r="K293" s="53"/>
      <c r="L293" s="537"/>
      <c r="M293" s="185"/>
      <c r="N293" s="185"/>
      <c r="O293" s="185"/>
      <c r="P293" s="185"/>
      <c r="Q293" s="185"/>
      <c r="R293" s="185"/>
      <c r="S293" s="185"/>
      <c r="T293" s="181"/>
      <c r="U293" s="185"/>
      <c r="V293" s="116">
        <v>45323</v>
      </c>
      <c r="W293" s="116">
        <v>45436</v>
      </c>
      <c r="X293" s="116">
        <v>45436</v>
      </c>
      <c r="Y293" s="116">
        <v>45659</v>
      </c>
      <c r="Z293" s="158"/>
      <c r="AA293" s="43"/>
      <c r="AB293" s="43"/>
      <c r="AC293" s="54"/>
      <c r="AD293" s="43"/>
      <c r="AE293" s="46">
        <v>45657</v>
      </c>
      <c r="AF293" s="46">
        <v>45660</v>
      </c>
      <c r="AG293" s="46">
        <v>45664</v>
      </c>
      <c r="AH293" s="46">
        <v>45664</v>
      </c>
      <c r="AI293" s="46">
        <v>45679</v>
      </c>
      <c r="AJ293" s="46">
        <v>45616</v>
      </c>
      <c r="AK293" s="46">
        <v>2024</v>
      </c>
      <c r="AL293" s="46">
        <v>45660</v>
      </c>
      <c r="AM293" s="46">
        <v>45679</v>
      </c>
      <c r="AN293" s="46">
        <v>45681</v>
      </c>
      <c r="AO293" s="46">
        <v>45679</v>
      </c>
      <c r="AP293" s="46"/>
      <c r="AQ293" s="46">
        <v>45679</v>
      </c>
      <c r="AR293" s="46">
        <v>45679</v>
      </c>
      <c r="AS293" s="46">
        <v>45679</v>
      </c>
      <c r="AT293" s="46">
        <v>45682</v>
      </c>
      <c r="AU293" s="638"/>
      <c r="AV293" s="151"/>
      <c r="AW293" s="151"/>
      <c r="AX293" s="151"/>
      <c r="AY293" s="151"/>
    </row>
    <row r="294" spans="1:51" ht="21" customHeight="1">
      <c r="A294" s="340">
        <v>812996</v>
      </c>
      <c r="B294" s="29" t="s">
        <v>549</v>
      </c>
      <c r="C294" s="30" t="s">
        <v>42</v>
      </c>
      <c r="D294" s="30"/>
      <c r="E294" s="30"/>
      <c r="F294" s="31" t="s">
        <v>43</v>
      </c>
      <c r="G294" s="33">
        <v>250</v>
      </c>
      <c r="H294" s="33">
        <v>275</v>
      </c>
      <c r="I294" s="34">
        <v>2</v>
      </c>
      <c r="J294" s="329" t="s">
        <v>550</v>
      </c>
      <c r="K294" s="66" t="s">
        <v>66</v>
      </c>
      <c r="L294" s="157"/>
      <c r="M294" s="30"/>
      <c r="N294" s="323" t="s">
        <v>336</v>
      </c>
      <c r="O294" s="323" t="s">
        <v>72</v>
      </c>
      <c r="P294" s="323" t="s">
        <v>412</v>
      </c>
      <c r="Q294" s="30"/>
      <c r="R294" s="323" t="s">
        <v>354</v>
      </c>
      <c r="S294" s="30" t="s">
        <v>361</v>
      </c>
      <c r="T294" s="29"/>
      <c r="U294" s="323" t="s">
        <v>354</v>
      </c>
      <c r="V294" s="36">
        <v>45641</v>
      </c>
      <c r="W294" s="36">
        <f>V294+15</f>
        <v>45656</v>
      </c>
      <c r="X294" s="36">
        <v>45648</v>
      </c>
      <c r="Y294" s="36">
        <f>X294+15</f>
        <v>45663</v>
      </c>
      <c r="Z294" s="66"/>
      <c r="AA294" s="31" t="s">
        <v>72</v>
      </c>
      <c r="AB294" s="200" t="s">
        <v>635</v>
      </c>
      <c r="AC294" s="37"/>
      <c r="AD294" s="31"/>
      <c r="AE294" s="36">
        <v>45663</v>
      </c>
      <c r="AF294" s="36">
        <v>45671</v>
      </c>
      <c r="AG294" s="36">
        <v>45671</v>
      </c>
      <c r="AH294" s="36">
        <v>45671</v>
      </c>
      <c r="AI294" s="36">
        <v>45681</v>
      </c>
      <c r="AJ294" s="36">
        <v>45594</v>
      </c>
      <c r="AK294" s="36">
        <v>45623</v>
      </c>
      <c r="AL294" s="36">
        <v>45681</v>
      </c>
      <c r="AM294" s="99">
        <v>45695</v>
      </c>
      <c r="AN294" s="99">
        <v>45683</v>
      </c>
      <c r="AO294" s="36">
        <v>45681</v>
      </c>
      <c r="AP294" s="36"/>
      <c r="AQ294" s="36">
        <v>45681</v>
      </c>
      <c r="AR294" s="99">
        <v>45695</v>
      </c>
      <c r="AS294" s="99">
        <v>45696</v>
      </c>
      <c r="AT294" s="99">
        <v>45697</v>
      </c>
      <c r="AU294" s="638"/>
      <c r="AV294" s="151"/>
      <c r="AW294" s="151"/>
      <c r="AX294" s="151"/>
      <c r="AY294" s="151"/>
    </row>
    <row r="295" spans="1:51" ht="18" customHeight="1">
      <c r="A295" s="40">
        <v>812996</v>
      </c>
      <c r="B295" s="41"/>
      <c r="C295" s="42"/>
      <c r="D295" s="42"/>
      <c r="E295" s="42"/>
      <c r="F295" s="43" t="s">
        <v>48</v>
      </c>
      <c r="G295" s="59"/>
      <c r="H295" s="59"/>
      <c r="I295" s="44"/>
      <c r="J295" s="52"/>
      <c r="K295" s="53"/>
      <c r="L295" s="537"/>
      <c r="M295" s="42"/>
      <c r="N295" s="42"/>
      <c r="O295" s="42"/>
      <c r="P295" s="42"/>
      <c r="Q295" s="42"/>
      <c r="R295" s="42"/>
      <c r="S295" s="42"/>
      <c r="T295" s="41"/>
      <c r="U295" s="42"/>
      <c r="V295" s="116">
        <v>45639</v>
      </c>
      <c r="W295" s="116">
        <v>45736</v>
      </c>
      <c r="X295" s="116">
        <v>45639</v>
      </c>
      <c r="Y295" s="116">
        <v>45737</v>
      </c>
      <c r="Z295" s="43"/>
      <c r="AA295" s="43"/>
      <c r="AB295" s="43"/>
      <c r="AC295" s="54"/>
      <c r="AD295" s="43"/>
      <c r="AE295" s="46">
        <v>45663</v>
      </c>
      <c r="AF295" s="46">
        <v>45671</v>
      </c>
      <c r="AG295" s="46">
        <v>45671</v>
      </c>
      <c r="AH295" s="46">
        <v>45671</v>
      </c>
      <c r="AI295" s="46">
        <v>45681</v>
      </c>
      <c r="AJ295" s="46">
        <v>45594</v>
      </c>
      <c r="AK295" s="46">
        <v>45623</v>
      </c>
      <c r="AL295" s="46">
        <v>45315</v>
      </c>
      <c r="AM295" s="46">
        <v>45726</v>
      </c>
      <c r="AN295" s="46">
        <v>45673</v>
      </c>
      <c r="AO295" s="46">
        <v>45681</v>
      </c>
      <c r="AP295" s="46"/>
      <c r="AQ295" s="46">
        <v>45681</v>
      </c>
      <c r="AR295" s="46">
        <v>45743</v>
      </c>
      <c r="AS295" s="46">
        <v>45743</v>
      </c>
      <c r="AT295" s="46">
        <v>45743</v>
      </c>
      <c r="AU295" s="638"/>
      <c r="AV295" s="151"/>
      <c r="AW295" s="151"/>
      <c r="AX295" s="151"/>
      <c r="AY295" s="151"/>
    </row>
    <row r="296" spans="1:51" ht="18.75" customHeight="1">
      <c r="A296" s="340">
        <v>813055</v>
      </c>
      <c r="B296" s="29" t="s">
        <v>620</v>
      </c>
      <c r="C296" s="30" t="s">
        <v>42</v>
      </c>
      <c r="D296" s="30"/>
      <c r="E296" s="30"/>
      <c r="F296" s="31" t="s">
        <v>43</v>
      </c>
      <c r="G296" s="33">
        <v>250</v>
      </c>
      <c r="H296" s="33">
        <v>220</v>
      </c>
      <c r="I296" s="34">
        <v>3</v>
      </c>
      <c r="J296" s="329" t="s">
        <v>621</v>
      </c>
      <c r="K296" s="66" t="s">
        <v>108</v>
      </c>
      <c r="L296" s="157"/>
      <c r="M296" s="30"/>
      <c r="N296" s="323" t="s">
        <v>336</v>
      </c>
      <c r="O296" s="323" t="s">
        <v>72</v>
      </c>
      <c r="P296" s="323" t="s">
        <v>474</v>
      </c>
      <c r="Q296" s="30"/>
      <c r="R296" s="30" t="s">
        <v>354</v>
      </c>
      <c r="S296" s="30" t="s">
        <v>361</v>
      </c>
      <c r="T296" s="29"/>
      <c r="U296" s="316" t="s">
        <v>354</v>
      </c>
      <c r="V296" s="36">
        <v>45656</v>
      </c>
      <c r="W296" s="36">
        <f>V296+15</f>
        <v>45671</v>
      </c>
      <c r="X296" s="36">
        <v>45656</v>
      </c>
      <c r="Y296" s="36">
        <f>X296+15</f>
        <v>45671</v>
      </c>
      <c r="Z296" s="66"/>
      <c r="AA296" s="31"/>
      <c r="AB296" s="31"/>
      <c r="AC296" s="37"/>
      <c r="AD296" s="31"/>
      <c r="AE296" s="36">
        <v>45665</v>
      </c>
      <c r="AF296" s="36">
        <v>45677</v>
      </c>
      <c r="AG296" s="36">
        <v>45677</v>
      </c>
      <c r="AH296" s="36">
        <v>45681</v>
      </c>
      <c r="AI296" s="36">
        <v>45684</v>
      </c>
      <c r="AJ296" s="36">
        <v>45624</v>
      </c>
      <c r="AK296" s="36">
        <v>45628</v>
      </c>
      <c r="AL296" s="36">
        <v>45684</v>
      </c>
      <c r="AM296" s="99">
        <v>45693</v>
      </c>
      <c r="AN296" s="36">
        <v>45683</v>
      </c>
      <c r="AO296" s="36">
        <v>45684</v>
      </c>
      <c r="AP296" s="36"/>
      <c r="AQ296" s="36">
        <v>45684</v>
      </c>
      <c r="AR296" s="99">
        <v>45693</v>
      </c>
      <c r="AS296" s="99">
        <v>45695</v>
      </c>
      <c r="AT296" s="99">
        <v>45698</v>
      </c>
      <c r="AU296" s="638"/>
      <c r="AV296" s="151"/>
      <c r="AW296" s="151"/>
      <c r="AX296" s="151"/>
      <c r="AY296" s="151"/>
    </row>
    <row r="297" spans="1:51" ht="18" customHeight="1">
      <c r="A297" s="40">
        <v>813025</v>
      </c>
      <c r="B297" s="41"/>
      <c r="C297" s="42"/>
      <c r="D297" s="42"/>
      <c r="E297" s="42"/>
      <c r="F297" s="43" t="s">
        <v>48</v>
      </c>
      <c r="G297" s="59"/>
      <c r="H297" s="59"/>
      <c r="I297" s="44"/>
      <c r="J297" s="52"/>
      <c r="K297" s="53"/>
      <c r="L297" s="537"/>
      <c r="M297" s="42"/>
      <c r="N297" s="42"/>
      <c r="O297" s="42"/>
      <c r="P297" s="42"/>
      <c r="Q297" s="42"/>
      <c r="R297" s="42"/>
      <c r="S297" s="42"/>
      <c r="T297" s="41"/>
      <c r="U297" s="42"/>
      <c r="V297" s="116">
        <v>45649</v>
      </c>
      <c r="W297" s="116">
        <v>45685</v>
      </c>
      <c r="X297" s="116">
        <v>45670</v>
      </c>
      <c r="Y297" s="116">
        <f>X297+15</f>
        <v>45685</v>
      </c>
      <c r="Z297" s="43"/>
      <c r="AA297" s="43"/>
      <c r="AB297" s="43"/>
      <c r="AC297" s="54"/>
      <c r="AD297" s="43"/>
      <c r="AE297" s="46">
        <v>45664</v>
      </c>
      <c r="AF297" s="46">
        <v>45677</v>
      </c>
      <c r="AG297" s="46">
        <v>45678</v>
      </c>
      <c r="AH297" s="46">
        <v>45681</v>
      </c>
      <c r="AI297" s="46">
        <v>45684</v>
      </c>
      <c r="AJ297" s="46">
        <v>45624</v>
      </c>
      <c r="AK297" s="46">
        <v>45642</v>
      </c>
      <c r="AL297" s="46">
        <v>45681</v>
      </c>
      <c r="AM297" s="46">
        <v>45705</v>
      </c>
      <c r="AN297" s="46">
        <v>45684</v>
      </c>
      <c r="AO297" s="46">
        <v>45681</v>
      </c>
      <c r="AP297" s="46"/>
      <c r="AQ297" s="46">
        <v>45681</v>
      </c>
      <c r="AR297" s="46">
        <v>45693</v>
      </c>
      <c r="AS297" s="46">
        <v>45700</v>
      </c>
      <c r="AT297" s="46">
        <v>45346</v>
      </c>
      <c r="AU297" s="638"/>
      <c r="AV297" s="151"/>
      <c r="AW297" s="151"/>
      <c r="AX297" s="151"/>
      <c r="AY297" s="151"/>
    </row>
    <row r="298" spans="1:51" ht="18.75" customHeight="1">
      <c r="A298" s="149">
        <v>813075</v>
      </c>
      <c r="B298" s="29" t="s">
        <v>652</v>
      </c>
      <c r="C298" s="30" t="s">
        <v>55</v>
      </c>
      <c r="D298" s="153">
        <v>0.8</v>
      </c>
      <c r="E298" s="153">
        <v>0.3</v>
      </c>
      <c r="F298" s="31" t="s">
        <v>43</v>
      </c>
      <c r="G298" s="33">
        <v>334</v>
      </c>
      <c r="H298" s="33">
        <v>500</v>
      </c>
      <c r="I298" s="34">
        <v>3</v>
      </c>
      <c r="J298" s="480" t="s">
        <v>653</v>
      </c>
      <c r="K298" s="6" t="s">
        <v>231</v>
      </c>
      <c r="M298" s="30"/>
      <c r="N298" s="30"/>
      <c r="O298" s="30"/>
      <c r="P298" s="30"/>
      <c r="Q298" s="30"/>
      <c r="R298" s="30"/>
      <c r="S298" s="30"/>
      <c r="T298" s="29"/>
      <c r="U298" s="316" t="s">
        <v>354</v>
      </c>
      <c r="V298" s="36">
        <v>45651</v>
      </c>
      <c r="W298" s="36">
        <v>45666</v>
      </c>
      <c r="X298" s="36">
        <v>45709</v>
      </c>
      <c r="Y298" s="36">
        <v>45728</v>
      </c>
      <c r="Z298" s="31"/>
      <c r="AA298" s="31"/>
      <c r="AB298" s="31"/>
      <c r="AC298" s="37"/>
      <c r="AD298" s="31"/>
      <c r="AE298" s="36">
        <v>45318</v>
      </c>
      <c r="AF298" s="36">
        <v>45684</v>
      </c>
      <c r="AG298" s="36">
        <v>45684</v>
      </c>
      <c r="AH298" s="36">
        <v>45684</v>
      </c>
      <c r="AI298" s="36">
        <v>45708</v>
      </c>
      <c r="AJ298" s="38">
        <v>45669</v>
      </c>
      <c r="AK298" s="36">
        <v>45657</v>
      </c>
      <c r="AL298" s="36">
        <v>46073</v>
      </c>
      <c r="AM298" s="99">
        <v>45708</v>
      </c>
      <c r="AN298" s="38">
        <v>45683</v>
      </c>
      <c r="AO298" s="36">
        <v>46073</v>
      </c>
      <c r="AP298" s="36"/>
      <c r="AQ298" s="36">
        <v>46073</v>
      </c>
      <c r="AR298" s="36">
        <v>45708</v>
      </c>
      <c r="AS298" s="36">
        <v>45708</v>
      </c>
      <c r="AT298" s="36">
        <v>45712</v>
      </c>
      <c r="AU298" s="638"/>
      <c r="AV298" s="151"/>
      <c r="AW298" s="151"/>
      <c r="AX298" s="151"/>
      <c r="AY298" s="151"/>
    </row>
    <row r="299" spans="1:51" ht="18" customHeight="1" thickBot="1">
      <c r="A299" s="40">
        <v>813075</v>
      </c>
      <c r="B299" s="41"/>
      <c r="C299" s="41" t="s">
        <v>663</v>
      </c>
      <c r="D299" s="42"/>
      <c r="E299" s="42"/>
      <c r="F299" s="43" t="s">
        <v>48</v>
      </c>
      <c r="G299" s="59"/>
      <c r="H299" s="59"/>
      <c r="I299" s="44"/>
      <c r="J299" s="52"/>
      <c r="K299" s="53"/>
      <c r="L299" s="537"/>
      <c r="M299" s="42"/>
      <c r="N299" s="42"/>
      <c r="O299" s="42"/>
      <c r="P299" s="42"/>
      <c r="Q299" s="42"/>
      <c r="R299" s="42"/>
      <c r="S299" s="42"/>
      <c r="T299" s="41"/>
      <c r="U299" s="42"/>
      <c r="V299" s="116">
        <v>45651</v>
      </c>
      <c r="W299" s="116">
        <v>45666</v>
      </c>
      <c r="X299" s="116">
        <v>45709</v>
      </c>
      <c r="Y299" s="116">
        <v>45728</v>
      </c>
      <c r="Z299" s="43"/>
      <c r="AA299" s="43"/>
      <c r="AB299" s="43"/>
      <c r="AC299" s="54"/>
      <c r="AD299" s="43"/>
      <c r="AE299" s="46">
        <v>45678</v>
      </c>
      <c r="AF299" s="46">
        <v>45678</v>
      </c>
      <c r="AG299" s="46">
        <v>45684</v>
      </c>
      <c r="AH299" s="46">
        <v>45684</v>
      </c>
      <c r="AI299" s="46">
        <v>45708</v>
      </c>
      <c r="AJ299" s="46">
        <v>45671</v>
      </c>
      <c r="AK299" s="46">
        <v>45657</v>
      </c>
      <c r="AL299" s="46">
        <v>45334</v>
      </c>
      <c r="AM299" s="46">
        <v>45717</v>
      </c>
      <c r="AN299" s="46">
        <v>45681</v>
      </c>
      <c r="AO299" s="46">
        <v>45679</v>
      </c>
      <c r="AP299" s="46"/>
      <c r="AQ299" s="46">
        <v>45679</v>
      </c>
      <c r="AR299" s="46">
        <v>45700</v>
      </c>
      <c r="AS299" s="46">
        <v>45708</v>
      </c>
      <c r="AT299" s="46">
        <v>45712</v>
      </c>
      <c r="AU299" s="639"/>
      <c r="AV299" s="151"/>
      <c r="AW299" s="151"/>
      <c r="AX299" s="151"/>
      <c r="AY299" s="151"/>
    </row>
    <row r="300" spans="1:51" ht="16.5" customHeight="1" thickBot="1">
      <c r="A300" s="527"/>
      <c r="B300" s="364"/>
      <c r="C300" s="364"/>
      <c r="D300" s="364"/>
      <c r="E300" s="364"/>
      <c r="F300" s="364"/>
      <c r="G300" s="364"/>
      <c r="H300" s="364"/>
      <c r="I300" s="364"/>
      <c r="J300" s="444"/>
      <c r="K300" s="364"/>
      <c r="L300" s="364"/>
      <c r="M300" s="364"/>
      <c r="N300" s="364"/>
      <c r="O300" s="364"/>
      <c r="P300" s="364"/>
      <c r="Q300" s="364"/>
      <c r="R300" s="364"/>
      <c r="S300" s="364"/>
      <c r="T300" s="364"/>
      <c r="U300" s="364"/>
      <c r="V300" s="364"/>
      <c r="W300" s="364"/>
      <c r="X300" s="364"/>
      <c r="Y300" s="364"/>
      <c r="Z300" s="364"/>
      <c r="AA300" s="364"/>
      <c r="AB300" s="364"/>
      <c r="AC300" s="364"/>
      <c r="AD300" s="364"/>
      <c r="AE300" s="364"/>
      <c r="AF300" s="364"/>
      <c r="AG300" s="364"/>
      <c r="AH300" s="364"/>
      <c r="AI300" s="364"/>
      <c r="AJ300" s="364"/>
      <c r="AK300" s="364"/>
      <c r="AL300" s="364"/>
      <c r="AM300" s="364"/>
      <c r="AN300" s="364"/>
      <c r="AO300" s="364"/>
      <c r="AP300" s="364"/>
      <c r="AQ300" s="364"/>
      <c r="AR300" s="364"/>
      <c r="AS300" s="364"/>
      <c r="AT300" s="364"/>
      <c r="AU300" s="357"/>
      <c r="AV300" s="27"/>
      <c r="AW300" s="27"/>
      <c r="AX300" s="27"/>
      <c r="AY300" s="27"/>
    </row>
    <row r="301" spans="1:51" ht="20.25" customHeight="1">
      <c r="A301" s="340">
        <v>850469</v>
      </c>
      <c r="B301" s="29">
        <v>850469</v>
      </c>
      <c r="C301" s="30" t="s">
        <v>42</v>
      </c>
      <c r="D301" s="30"/>
      <c r="E301" s="30"/>
      <c r="F301" s="31" t="s">
        <v>43</v>
      </c>
      <c r="G301" s="389">
        <v>180</v>
      </c>
      <c r="H301" s="389">
        <v>220</v>
      </c>
      <c r="I301" s="34">
        <v>1</v>
      </c>
      <c r="J301" s="456" t="s">
        <v>541</v>
      </c>
      <c r="K301" s="6" t="s">
        <v>327</v>
      </c>
      <c r="M301" s="470"/>
      <c r="N301" s="30" t="s">
        <v>270</v>
      </c>
      <c r="O301" s="30"/>
      <c r="P301" s="323" t="s">
        <v>474</v>
      </c>
      <c r="Q301" s="30"/>
      <c r="R301" s="30"/>
      <c r="S301" s="30"/>
      <c r="T301" s="29"/>
      <c r="U301" s="316" t="s">
        <v>354</v>
      </c>
      <c r="V301" s="336"/>
      <c r="W301" s="336"/>
      <c r="X301" s="336"/>
      <c r="Y301" s="336"/>
      <c r="Z301" s="66"/>
      <c r="AA301" s="31"/>
      <c r="AB301" s="31"/>
      <c r="AC301" s="37"/>
      <c r="AD301" s="31"/>
      <c r="AE301" s="87" t="s">
        <v>81</v>
      </c>
      <c r="AF301" s="85" t="s">
        <v>595</v>
      </c>
      <c r="AG301" s="36">
        <v>45698</v>
      </c>
      <c r="AH301" s="99">
        <v>45700</v>
      </c>
      <c r="AI301" s="36">
        <v>45712</v>
      </c>
      <c r="AJ301" s="36" t="s">
        <v>81</v>
      </c>
      <c r="AK301" s="36">
        <v>45537</v>
      </c>
      <c r="AL301" s="36">
        <v>45698</v>
      </c>
      <c r="AM301" s="36">
        <v>45698</v>
      </c>
      <c r="AN301" s="38">
        <v>45667</v>
      </c>
      <c r="AO301" s="36">
        <v>45698</v>
      </c>
      <c r="AP301" s="36"/>
      <c r="AQ301" s="36">
        <v>45698</v>
      </c>
      <c r="AR301" s="36">
        <v>45712</v>
      </c>
      <c r="AS301" s="36">
        <v>45712</v>
      </c>
      <c r="AT301" s="36">
        <v>45715</v>
      </c>
      <c r="AU301" s="637" t="s">
        <v>675</v>
      </c>
      <c r="AV301" s="151"/>
      <c r="AW301" s="151"/>
      <c r="AX301" s="151"/>
      <c r="AY301" s="151"/>
    </row>
    <row r="302" spans="1:51" ht="19.399999999999999" customHeight="1">
      <c r="A302" s="40">
        <f>IF(A301="","",A301)</f>
        <v>850469</v>
      </c>
      <c r="B302" s="71" t="s">
        <v>509</v>
      </c>
      <c r="C302" s="42"/>
      <c r="D302" s="42"/>
      <c r="E302" s="42"/>
      <c r="F302" s="43" t="s">
        <v>48</v>
      </c>
      <c r="G302" s="59"/>
      <c r="H302" s="59"/>
      <c r="I302" s="44"/>
      <c r="J302" s="44"/>
      <c r="K302" s="53"/>
      <c r="L302" s="537"/>
      <c r="M302" s="42"/>
      <c r="N302" s="42"/>
      <c r="O302" s="42"/>
      <c r="P302" s="478" t="s">
        <v>640</v>
      </c>
      <c r="Q302" s="42"/>
      <c r="R302" s="42"/>
      <c r="S302" s="42"/>
      <c r="T302" s="41"/>
      <c r="U302" s="42"/>
      <c r="V302" s="53"/>
      <c r="W302" s="53"/>
      <c r="X302" s="53"/>
      <c r="Y302" s="53"/>
      <c r="Z302" s="43"/>
      <c r="AA302" s="43"/>
      <c r="AB302" s="43"/>
      <c r="AC302" s="54"/>
      <c r="AD302" s="43"/>
      <c r="AE302" s="64" t="s">
        <v>595</v>
      </c>
      <c r="AF302" s="46"/>
      <c r="AG302" s="46">
        <v>45698</v>
      </c>
      <c r="AH302" s="46">
        <v>45700</v>
      </c>
      <c r="AI302" s="46">
        <v>45706</v>
      </c>
      <c r="AJ302" s="46"/>
      <c r="AK302" s="46" t="s">
        <v>640</v>
      </c>
      <c r="AL302" s="46">
        <v>45708</v>
      </c>
      <c r="AM302" s="46">
        <v>45700</v>
      </c>
      <c r="AN302" s="46">
        <v>45653</v>
      </c>
      <c r="AO302" s="505" t="s">
        <v>497</v>
      </c>
      <c r="AP302" s="505"/>
      <c r="AQ302" s="505" t="s">
        <v>497</v>
      </c>
      <c r="AR302" s="46">
        <v>45709</v>
      </c>
      <c r="AS302" s="46">
        <v>45712</v>
      </c>
      <c r="AT302" s="46">
        <v>45716</v>
      </c>
      <c r="AU302" s="638"/>
      <c r="AV302" s="151"/>
      <c r="AW302" s="151"/>
      <c r="AX302" s="151"/>
      <c r="AY302" s="151"/>
    </row>
    <row r="303" spans="1:51" ht="18.75" customHeight="1">
      <c r="A303" s="340">
        <v>850622</v>
      </c>
      <c r="B303" s="29">
        <v>850622</v>
      </c>
      <c r="C303" s="30" t="s">
        <v>42</v>
      </c>
      <c r="D303" s="30"/>
      <c r="E303" s="30"/>
      <c r="F303" s="31" t="s">
        <v>43</v>
      </c>
      <c r="G303" s="33">
        <v>150</v>
      </c>
      <c r="H303" s="33">
        <v>220</v>
      </c>
      <c r="I303" s="34">
        <v>1</v>
      </c>
      <c r="J303" s="463" t="s">
        <v>543</v>
      </c>
      <c r="K303" s="66" t="s">
        <v>351</v>
      </c>
      <c r="L303" s="157"/>
      <c r="M303" s="30"/>
      <c r="N303" s="30"/>
      <c r="O303" s="30"/>
      <c r="P303" s="309"/>
      <c r="Q303" s="30"/>
      <c r="R303" s="30"/>
      <c r="S303" s="30"/>
      <c r="T303" s="29"/>
      <c r="U303" s="316" t="s">
        <v>354</v>
      </c>
      <c r="V303" s="336"/>
      <c r="W303" s="336"/>
      <c r="X303" s="336"/>
      <c r="Y303" s="336"/>
      <c r="Z303" s="66"/>
      <c r="AA303" s="31"/>
      <c r="AB303" s="31"/>
      <c r="AC303" s="37"/>
      <c r="AD303" s="31"/>
      <c r="AE303" s="36">
        <v>45698</v>
      </c>
      <c r="AF303" s="36">
        <v>45702</v>
      </c>
      <c r="AG303" s="36">
        <v>45702</v>
      </c>
      <c r="AH303" s="499">
        <v>45707</v>
      </c>
      <c r="AI303" s="36">
        <v>45713</v>
      </c>
      <c r="AJ303" s="38">
        <v>45694</v>
      </c>
      <c r="AK303" s="38">
        <v>45667</v>
      </c>
      <c r="AL303" s="36">
        <v>45713</v>
      </c>
      <c r="AM303" s="36">
        <v>45713</v>
      </c>
      <c r="AN303" s="38">
        <v>45694</v>
      </c>
      <c r="AO303" s="36">
        <v>45713</v>
      </c>
      <c r="AP303" s="36"/>
      <c r="AQ303" s="36">
        <v>45713</v>
      </c>
      <c r="AR303" s="99">
        <v>45720</v>
      </c>
      <c r="AS303" s="99">
        <v>45723</v>
      </c>
      <c r="AT303" s="99">
        <v>45724</v>
      </c>
      <c r="AU303" s="638"/>
      <c r="AV303" s="151"/>
      <c r="AW303" s="151"/>
      <c r="AX303" s="151"/>
      <c r="AY303" s="151"/>
    </row>
    <row r="304" spans="1:51" ht="18" customHeight="1">
      <c r="A304" s="40">
        <f>IF(A303="","",A303)</f>
        <v>850622</v>
      </c>
      <c r="B304" s="71" t="s">
        <v>509</v>
      </c>
      <c r="C304" s="42"/>
      <c r="D304" s="42"/>
      <c r="E304" s="42"/>
      <c r="F304" s="43" t="s">
        <v>48</v>
      </c>
      <c r="G304" s="59"/>
      <c r="H304" s="59"/>
      <c r="I304" s="44"/>
      <c r="J304" s="52"/>
      <c r="K304" s="53"/>
      <c r="L304" s="537"/>
      <c r="M304" s="42"/>
      <c r="N304" s="42"/>
      <c r="O304" s="42"/>
      <c r="P304" s="42"/>
      <c r="Q304" s="42"/>
      <c r="R304" s="42"/>
      <c r="S304" s="42"/>
      <c r="T304" s="41"/>
      <c r="U304" s="42"/>
      <c r="V304" s="53"/>
      <c r="W304" s="53"/>
      <c r="X304" s="53"/>
      <c r="Y304" s="53"/>
      <c r="Z304" s="43"/>
      <c r="AA304" s="43"/>
      <c r="AB304" s="43"/>
      <c r="AC304" s="54"/>
      <c r="AD304" s="43"/>
      <c r="AE304" s="46">
        <v>45695</v>
      </c>
      <c r="AF304" s="46">
        <v>45702</v>
      </c>
      <c r="AG304" s="46">
        <v>45702</v>
      </c>
      <c r="AH304" s="46">
        <v>45707</v>
      </c>
      <c r="AI304" s="46">
        <v>45713</v>
      </c>
      <c r="AJ304" s="46">
        <v>45684</v>
      </c>
      <c r="AK304" s="46">
        <v>45667</v>
      </c>
      <c r="AL304" s="46">
        <v>45701</v>
      </c>
      <c r="AM304" s="46">
        <v>45720</v>
      </c>
      <c r="AN304" s="46">
        <v>45702</v>
      </c>
      <c r="AO304" s="46">
        <v>45713</v>
      </c>
      <c r="AP304" s="46"/>
      <c r="AQ304" s="46">
        <v>45713</v>
      </c>
      <c r="AR304" s="46">
        <v>45720</v>
      </c>
      <c r="AS304" s="46">
        <v>45716</v>
      </c>
      <c r="AT304" s="46">
        <v>45724</v>
      </c>
      <c r="AU304" s="638"/>
      <c r="AV304" s="151"/>
      <c r="AW304" s="151"/>
      <c r="AX304" s="151"/>
      <c r="AY304" s="151"/>
    </row>
    <row r="305" spans="1:51" ht="18.75" customHeight="1">
      <c r="A305" s="149">
        <v>813079</v>
      </c>
      <c r="B305" s="29" t="s">
        <v>659</v>
      </c>
      <c r="C305" s="30" t="s">
        <v>42</v>
      </c>
      <c r="D305" s="30"/>
      <c r="E305" s="30"/>
      <c r="F305" s="31" t="s">
        <v>43</v>
      </c>
      <c r="G305" s="33">
        <v>170</v>
      </c>
      <c r="H305" s="33">
        <v>225</v>
      </c>
      <c r="I305" s="34">
        <v>2</v>
      </c>
      <c r="J305" s="466" t="s">
        <v>660</v>
      </c>
      <c r="K305" s="31" t="s">
        <v>77</v>
      </c>
      <c r="L305" s="161"/>
      <c r="M305" s="30"/>
      <c r="N305" s="30" t="s">
        <v>711</v>
      </c>
      <c r="O305" s="30" t="s">
        <v>72</v>
      </c>
      <c r="P305" s="30" t="s">
        <v>474</v>
      </c>
      <c r="Q305" s="30"/>
      <c r="R305" s="30"/>
      <c r="S305" s="30"/>
      <c r="T305" s="29"/>
      <c r="U305" s="316" t="s">
        <v>354</v>
      </c>
      <c r="V305" s="35">
        <v>45679</v>
      </c>
      <c r="W305" s="35">
        <f>V305+15</f>
        <v>45694</v>
      </c>
      <c r="X305" s="35">
        <v>45680</v>
      </c>
      <c r="Y305" s="35">
        <f>X305+15</f>
        <v>45695</v>
      </c>
      <c r="Z305" s="31"/>
      <c r="AA305" s="31"/>
      <c r="AB305" s="31"/>
      <c r="AC305" s="37"/>
      <c r="AD305" s="31"/>
      <c r="AE305" s="36">
        <v>45700</v>
      </c>
      <c r="AF305" s="36">
        <v>45706</v>
      </c>
      <c r="AG305" s="36">
        <v>45706</v>
      </c>
      <c r="AH305" s="36">
        <v>45706</v>
      </c>
      <c r="AI305" s="36">
        <v>45716</v>
      </c>
      <c r="AJ305" s="38">
        <v>45677</v>
      </c>
      <c r="AK305" s="38">
        <v>45673</v>
      </c>
      <c r="AL305" s="36">
        <v>45716</v>
      </c>
      <c r="AM305" s="99">
        <v>45716</v>
      </c>
      <c r="AN305" s="38">
        <v>45696</v>
      </c>
      <c r="AO305" s="36">
        <v>45716</v>
      </c>
      <c r="AP305" s="36"/>
      <c r="AQ305" s="36">
        <v>45716</v>
      </c>
      <c r="AR305" s="36">
        <v>45716</v>
      </c>
      <c r="AS305" s="36">
        <v>45716</v>
      </c>
      <c r="AT305" s="36">
        <v>45720</v>
      </c>
      <c r="AU305" s="638"/>
      <c r="AV305" s="151"/>
      <c r="AW305" s="151"/>
      <c r="AX305" s="151"/>
      <c r="AY305" s="151"/>
    </row>
    <row r="306" spans="1:51" ht="18" customHeight="1">
      <c r="A306" s="40">
        <v>813079</v>
      </c>
      <c r="B306" s="71" t="s">
        <v>509</v>
      </c>
      <c r="C306" s="42"/>
      <c r="D306" s="42"/>
      <c r="E306" s="42"/>
      <c r="F306" s="43" t="s">
        <v>48</v>
      </c>
      <c r="G306" s="59"/>
      <c r="H306" s="59"/>
      <c r="I306" s="44"/>
      <c r="J306" s="52"/>
      <c r="K306" s="53"/>
      <c r="L306" s="537"/>
      <c r="M306" s="42"/>
      <c r="N306" s="42"/>
      <c r="O306" s="42"/>
      <c r="P306" s="42"/>
      <c r="Q306" s="42"/>
      <c r="R306" s="42"/>
      <c r="S306" s="42"/>
      <c r="T306" s="41"/>
      <c r="U306" s="42"/>
      <c r="V306" s="53">
        <v>45679</v>
      </c>
      <c r="W306" s="53">
        <v>45682</v>
      </c>
      <c r="X306" s="53">
        <v>45680</v>
      </c>
      <c r="Y306" s="53">
        <v>45763</v>
      </c>
      <c r="Z306" s="43"/>
      <c r="AA306" s="43"/>
      <c r="AB306" s="43"/>
      <c r="AC306" s="54"/>
      <c r="AD306" s="43"/>
      <c r="AE306" s="46">
        <v>45695</v>
      </c>
      <c r="AF306" s="46">
        <v>45706</v>
      </c>
      <c r="AG306" s="46">
        <v>45706</v>
      </c>
      <c r="AH306" s="46">
        <v>45706</v>
      </c>
      <c r="AI306" s="46">
        <v>45713</v>
      </c>
      <c r="AJ306" s="46">
        <v>45677</v>
      </c>
      <c r="AK306" s="46">
        <v>45682</v>
      </c>
      <c r="AL306" s="46">
        <v>45689</v>
      </c>
      <c r="AM306" s="46">
        <v>45716</v>
      </c>
      <c r="AN306" s="46">
        <v>45696</v>
      </c>
      <c r="AO306" s="46">
        <v>45716</v>
      </c>
      <c r="AP306" s="46"/>
      <c r="AQ306" s="46">
        <v>45716</v>
      </c>
      <c r="AR306" s="46">
        <v>45716</v>
      </c>
      <c r="AS306" s="46">
        <v>45716</v>
      </c>
      <c r="AT306" s="46">
        <v>45720</v>
      </c>
      <c r="AU306" s="638"/>
      <c r="AV306" s="151"/>
      <c r="AW306" s="151"/>
      <c r="AX306" s="151"/>
      <c r="AY306" s="151"/>
    </row>
    <row r="307" spans="1:51" ht="18.75" customHeight="1">
      <c r="A307" s="149">
        <v>813071</v>
      </c>
      <c r="B307" s="29">
        <v>813071</v>
      </c>
      <c r="C307" s="30" t="s">
        <v>42</v>
      </c>
      <c r="D307" s="30"/>
      <c r="E307" s="30"/>
      <c r="F307" s="31" t="s">
        <v>43</v>
      </c>
      <c r="G307" s="33">
        <v>180</v>
      </c>
      <c r="H307" s="33">
        <v>220</v>
      </c>
      <c r="I307" s="34">
        <v>1</v>
      </c>
      <c r="J307" s="456" t="s">
        <v>651</v>
      </c>
      <c r="K307" s="6" t="s">
        <v>231</v>
      </c>
      <c r="M307" s="30"/>
      <c r="N307" s="30" t="s">
        <v>711</v>
      </c>
      <c r="O307" s="30" t="s">
        <v>72</v>
      </c>
      <c r="P307" s="30" t="s">
        <v>712</v>
      </c>
      <c r="Q307" s="30"/>
      <c r="R307" s="30"/>
      <c r="S307" s="30"/>
      <c r="T307" s="29"/>
      <c r="U307" s="316" t="s">
        <v>354</v>
      </c>
      <c r="V307" s="35">
        <v>45674</v>
      </c>
      <c r="W307" s="35">
        <v>45708</v>
      </c>
      <c r="X307" s="35">
        <v>45674</v>
      </c>
      <c r="Y307" s="35">
        <v>45708</v>
      </c>
      <c r="Z307" s="31"/>
      <c r="AA307" s="31"/>
      <c r="AB307" s="31"/>
      <c r="AC307" s="37"/>
      <c r="AD307" s="31"/>
      <c r="AE307" s="36">
        <v>45702</v>
      </c>
      <c r="AF307" s="99">
        <v>45716</v>
      </c>
      <c r="AG307" s="36">
        <v>45713</v>
      </c>
      <c r="AH307" s="36">
        <v>45713</v>
      </c>
      <c r="AI307" s="502">
        <v>45742</v>
      </c>
      <c r="AJ307" s="38">
        <v>45680</v>
      </c>
      <c r="AK307" s="38">
        <v>45673</v>
      </c>
      <c r="AL307" s="36">
        <v>45716</v>
      </c>
      <c r="AM307" s="36">
        <v>45716</v>
      </c>
      <c r="AN307" s="38">
        <v>45698</v>
      </c>
      <c r="AO307" s="36">
        <v>45716</v>
      </c>
      <c r="AP307" s="36"/>
      <c r="AQ307" s="36">
        <v>45716</v>
      </c>
      <c r="AR307" s="36">
        <v>45716</v>
      </c>
      <c r="AS307" s="36">
        <v>45716</v>
      </c>
      <c r="AT307" s="36">
        <v>45723</v>
      </c>
      <c r="AU307" s="638"/>
      <c r="AV307" s="151"/>
      <c r="AW307" s="151"/>
      <c r="AX307" s="151"/>
      <c r="AY307" s="151"/>
    </row>
    <row r="308" spans="1:51" ht="18" customHeight="1" thickBot="1">
      <c r="A308" s="40">
        <v>813071</v>
      </c>
      <c r="B308" s="41"/>
      <c r="C308" s="42"/>
      <c r="D308" s="42"/>
      <c r="E308" s="42"/>
      <c r="F308" s="43" t="s">
        <v>48</v>
      </c>
      <c r="G308" s="59"/>
      <c r="H308" s="59"/>
      <c r="I308" s="44"/>
      <c r="J308" s="52"/>
      <c r="K308" s="53"/>
      <c r="L308" s="537"/>
      <c r="M308" s="42"/>
      <c r="N308" s="42"/>
      <c r="O308" s="42"/>
      <c r="P308" s="42"/>
      <c r="Q308" s="42"/>
      <c r="R308" s="42"/>
      <c r="S308" s="42"/>
      <c r="T308" s="41"/>
      <c r="U308" s="42"/>
      <c r="V308" s="53">
        <v>45674</v>
      </c>
      <c r="W308" s="53">
        <v>45708</v>
      </c>
      <c r="X308" s="53">
        <v>45674</v>
      </c>
      <c r="Y308" s="53">
        <v>45708</v>
      </c>
      <c r="Z308" s="43"/>
      <c r="AA308" s="43"/>
      <c r="AB308" s="43"/>
      <c r="AC308" s="54"/>
      <c r="AD308" s="43"/>
      <c r="AE308" s="46">
        <v>45706</v>
      </c>
      <c r="AF308" s="46">
        <v>45713</v>
      </c>
      <c r="AG308" s="46">
        <v>45713</v>
      </c>
      <c r="AH308" s="46">
        <v>45713</v>
      </c>
      <c r="AI308" s="46">
        <v>45743</v>
      </c>
      <c r="AJ308" s="46">
        <v>45680</v>
      </c>
      <c r="AK308" s="46">
        <v>45673</v>
      </c>
      <c r="AL308" s="46">
        <v>45715</v>
      </c>
      <c r="AM308" s="46">
        <v>45735</v>
      </c>
      <c r="AN308" s="46">
        <v>45713</v>
      </c>
      <c r="AO308" s="46">
        <v>45701</v>
      </c>
      <c r="AP308" s="46"/>
      <c r="AQ308" s="46">
        <v>45701</v>
      </c>
      <c r="AR308" s="46">
        <v>45705</v>
      </c>
      <c r="AS308" s="46">
        <v>45716</v>
      </c>
      <c r="AT308" s="490">
        <v>45723</v>
      </c>
      <c r="AU308" s="639"/>
      <c r="AV308" s="151"/>
      <c r="AW308" s="151"/>
      <c r="AX308" s="151"/>
      <c r="AY308" s="151"/>
    </row>
    <row r="309" spans="1:51" ht="16.5" customHeight="1" thickBot="1">
      <c r="A309" s="364"/>
      <c r="B309" s="364"/>
      <c r="C309" s="364"/>
      <c r="D309" s="364"/>
      <c r="E309" s="364"/>
      <c r="F309" s="364"/>
      <c r="G309" s="364"/>
      <c r="H309" s="364"/>
      <c r="I309" s="364"/>
      <c r="J309" s="444"/>
      <c r="K309" s="364"/>
      <c r="L309" s="364"/>
      <c r="M309" s="364"/>
      <c r="N309" s="364"/>
      <c r="O309" s="364"/>
      <c r="P309" s="364"/>
      <c r="Q309" s="364"/>
      <c r="R309" s="364"/>
      <c r="S309" s="364"/>
      <c r="T309" s="364"/>
      <c r="U309" s="364"/>
      <c r="V309" s="364"/>
      <c r="W309" s="364"/>
      <c r="X309" s="364"/>
      <c r="Y309" s="364"/>
      <c r="Z309" s="364"/>
      <c r="AA309" s="364"/>
      <c r="AB309" s="364"/>
      <c r="AC309" s="364"/>
      <c r="AD309" s="364"/>
      <c r="AE309" s="364"/>
      <c r="AF309" s="364"/>
      <c r="AG309" s="364"/>
      <c r="AH309" s="364"/>
      <c r="AI309" s="364"/>
      <c r="AJ309" s="364"/>
      <c r="AK309" s="364"/>
      <c r="AL309" s="364"/>
      <c r="AM309" s="364"/>
      <c r="AN309" s="364"/>
      <c r="AO309" s="364"/>
      <c r="AP309" s="364"/>
      <c r="AQ309" s="364"/>
      <c r="AR309" s="364"/>
      <c r="AS309" s="364"/>
      <c r="AT309" s="364"/>
      <c r="AU309" s="371"/>
      <c r="AV309" s="27"/>
      <c r="AW309" s="27"/>
      <c r="AX309" s="27"/>
      <c r="AY309" s="27"/>
    </row>
    <row r="310" spans="1:51" ht="22.5" customHeight="1">
      <c r="A310" s="340">
        <v>898866</v>
      </c>
      <c r="B310" s="29">
        <v>896666</v>
      </c>
      <c r="C310" s="178" t="s">
        <v>42</v>
      </c>
      <c r="D310" s="30"/>
      <c r="E310" s="30"/>
      <c r="F310" s="31" t="s">
        <v>43</v>
      </c>
      <c r="G310" s="33"/>
      <c r="H310" s="33">
        <v>800</v>
      </c>
      <c r="I310" s="34">
        <v>1</v>
      </c>
      <c r="J310" s="430" t="s">
        <v>552</v>
      </c>
      <c r="K310" s="66" t="s">
        <v>66</v>
      </c>
      <c r="L310" s="157"/>
      <c r="M310" s="30"/>
      <c r="N310" s="309" t="s">
        <v>336</v>
      </c>
      <c r="O310" s="309"/>
      <c r="P310" s="309" t="s">
        <v>360</v>
      </c>
      <c r="Q310" s="30"/>
      <c r="R310" s="30"/>
      <c r="S310" s="30"/>
      <c r="T310" s="29"/>
      <c r="U310" s="30"/>
      <c r="V310" s="36"/>
      <c r="W310" s="36"/>
      <c r="X310" s="36"/>
      <c r="Y310" s="36"/>
      <c r="Z310" s="66"/>
      <c r="AA310" s="200"/>
      <c r="AB310" s="200" t="s">
        <v>701</v>
      </c>
      <c r="AC310" s="200">
        <v>5</v>
      </c>
      <c r="AD310" s="200"/>
      <c r="AE310" s="99">
        <v>45720</v>
      </c>
      <c r="AF310" s="99">
        <v>45731</v>
      </c>
      <c r="AG310" s="99">
        <v>45731</v>
      </c>
      <c r="AH310" s="99">
        <v>45731</v>
      </c>
      <c r="AI310" s="36">
        <v>45741</v>
      </c>
      <c r="AJ310" s="36">
        <v>45636</v>
      </c>
      <c r="AK310" s="36">
        <v>45636</v>
      </c>
      <c r="AL310" s="99">
        <v>45750</v>
      </c>
      <c r="AM310" s="99">
        <v>45750</v>
      </c>
      <c r="AN310" s="38">
        <v>45703</v>
      </c>
      <c r="AO310" s="99">
        <v>45750</v>
      </c>
      <c r="AP310" s="99"/>
      <c r="AQ310" s="99">
        <v>45750</v>
      </c>
      <c r="AR310" s="99">
        <v>45750</v>
      </c>
      <c r="AS310" s="99">
        <v>45758</v>
      </c>
      <c r="AT310" s="99">
        <v>45762</v>
      </c>
      <c r="AU310" s="195"/>
      <c r="AV310" s="27"/>
      <c r="AW310" s="27"/>
      <c r="AX310" s="27"/>
      <c r="AY310" s="27"/>
    </row>
    <row r="311" spans="1:51" ht="21" customHeight="1">
      <c r="A311" s="40">
        <v>896666</v>
      </c>
      <c r="B311" s="41"/>
      <c r="C311" s="42"/>
      <c r="D311" s="42"/>
      <c r="E311" s="42"/>
      <c r="F311" s="43" t="s">
        <v>48</v>
      </c>
      <c r="G311" s="59"/>
      <c r="H311" s="59"/>
      <c r="I311" s="44"/>
      <c r="J311" s="52"/>
      <c r="K311" s="53"/>
      <c r="L311" s="537"/>
      <c r="M311" s="42"/>
      <c r="N311" s="477" t="s">
        <v>638</v>
      </c>
      <c r="O311" s="477"/>
      <c r="P311" s="477" t="s">
        <v>639</v>
      </c>
      <c r="Q311" s="42"/>
      <c r="R311" s="42"/>
      <c r="S311" s="42"/>
      <c r="T311" s="41"/>
      <c r="U311" s="42"/>
      <c r="V311" s="116"/>
      <c r="W311" s="116"/>
      <c r="X311" s="116"/>
      <c r="Y311" s="116"/>
      <c r="Z311" s="43"/>
      <c r="AA311" s="128"/>
      <c r="AB311" s="506" t="s">
        <v>702</v>
      </c>
      <c r="AC311" s="506" t="s">
        <v>763</v>
      </c>
      <c r="AD311" s="128"/>
      <c r="AE311" s="223">
        <v>45720</v>
      </c>
      <c r="AF311" s="223">
        <v>45727</v>
      </c>
      <c r="AG311" s="128" t="s">
        <v>697</v>
      </c>
      <c r="AH311" s="128" t="s">
        <v>697</v>
      </c>
      <c r="AI311" s="128" t="s">
        <v>672</v>
      </c>
      <c r="AJ311" s="486">
        <v>45635</v>
      </c>
      <c r="AK311" s="487">
        <v>45611</v>
      </c>
      <c r="AL311" s="512">
        <v>45750</v>
      </c>
      <c r="AM311" s="366">
        <v>45758</v>
      </c>
      <c r="AN311" s="366">
        <v>45574</v>
      </c>
      <c r="AO311" s="366">
        <v>45750</v>
      </c>
      <c r="AP311" s="366"/>
      <c r="AQ311" s="366">
        <v>45750</v>
      </c>
      <c r="AR311" s="366">
        <v>45777</v>
      </c>
      <c r="AS311" s="367" t="s">
        <v>725</v>
      </c>
      <c r="AT311" s="367" t="s">
        <v>764</v>
      </c>
      <c r="AU311" s="150"/>
      <c r="AV311" s="27"/>
      <c r="AW311" s="27"/>
      <c r="AX311" s="27"/>
      <c r="AY311" s="27"/>
    </row>
    <row r="312" spans="1:51" ht="18.75" customHeight="1">
      <c r="A312" s="340">
        <v>813035</v>
      </c>
      <c r="B312" s="29">
        <v>813035</v>
      </c>
      <c r="C312" s="178" t="s">
        <v>42</v>
      </c>
      <c r="D312" s="30"/>
      <c r="E312" s="30"/>
      <c r="F312" s="31" t="s">
        <v>43</v>
      </c>
      <c r="G312" s="33">
        <v>120</v>
      </c>
      <c r="H312" s="33">
        <v>400</v>
      </c>
      <c r="I312" s="34">
        <v>1</v>
      </c>
      <c r="J312" s="430" t="s">
        <v>592</v>
      </c>
      <c r="K312" s="66" t="s">
        <v>327</v>
      </c>
      <c r="L312" s="157"/>
      <c r="M312" s="30"/>
      <c r="N312" s="309" t="s">
        <v>650</v>
      </c>
      <c r="O312" s="309"/>
      <c r="P312" s="309" t="s">
        <v>389</v>
      </c>
      <c r="Q312" s="30"/>
      <c r="R312" s="30" t="s">
        <v>354</v>
      </c>
      <c r="S312" s="30" t="s">
        <v>361</v>
      </c>
      <c r="T312" s="29"/>
      <c r="U312" s="30" t="s">
        <v>354</v>
      </c>
      <c r="V312" s="36">
        <v>46002</v>
      </c>
      <c r="W312" s="36">
        <f>V312+15</f>
        <v>46017</v>
      </c>
      <c r="X312" s="36">
        <v>46002</v>
      </c>
      <c r="Y312" s="36">
        <f>X312+15</f>
        <v>46017</v>
      </c>
      <c r="Z312" s="66"/>
      <c r="AA312" s="31"/>
      <c r="AB312" s="31"/>
      <c r="AC312" s="37"/>
      <c r="AD312" s="31"/>
      <c r="AE312" s="99">
        <v>45719</v>
      </c>
      <c r="AF312" s="36">
        <v>45722</v>
      </c>
      <c r="AG312" s="36">
        <v>45722</v>
      </c>
      <c r="AH312" s="36">
        <v>45722</v>
      </c>
      <c r="AI312" s="36">
        <v>45736</v>
      </c>
      <c r="AJ312" s="36">
        <v>45616</v>
      </c>
      <c r="AK312" s="36">
        <v>45629</v>
      </c>
      <c r="AL312" s="99">
        <v>45747</v>
      </c>
      <c r="AM312" s="99">
        <v>45747</v>
      </c>
      <c r="AN312" s="36">
        <v>45706</v>
      </c>
      <c r="AO312" s="99">
        <v>45747</v>
      </c>
      <c r="AP312" s="99"/>
      <c r="AQ312" s="99">
        <v>45747</v>
      </c>
      <c r="AR312" s="99">
        <v>45736</v>
      </c>
      <c r="AS312" s="99">
        <v>45747</v>
      </c>
      <c r="AT312" s="99">
        <v>45747</v>
      </c>
      <c r="AU312" s="150"/>
      <c r="AV312" s="151"/>
      <c r="AW312" s="151"/>
      <c r="AX312" s="151"/>
      <c r="AY312" s="151"/>
    </row>
    <row r="313" spans="1:51" ht="18" customHeight="1">
      <c r="A313" s="40">
        <v>813035</v>
      </c>
      <c r="B313" s="41"/>
      <c r="C313" s="42"/>
      <c r="D313" s="42"/>
      <c r="E313" s="42"/>
      <c r="F313" s="43" t="s">
        <v>48</v>
      </c>
      <c r="G313" s="59"/>
      <c r="H313" s="59"/>
      <c r="I313" s="44"/>
      <c r="J313" s="52"/>
      <c r="K313" s="53"/>
      <c r="L313" s="537"/>
      <c r="M313" s="42"/>
      <c r="N313" s="42"/>
      <c r="O313" s="42"/>
      <c r="P313" s="42"/>
      <c r="Q313" s="42"/>
      <c r="R313" s="42"/>
      <c r="S313" s="42"/>
      <c r="T313" s="41"/>
      <c r="U313" s="42"/>
      <c r="V313" s="116">
        <v>45637</v>
      </c>
      <c r="W313" s="116">
        <v>45663</v>
      </c>
      <c r="X313" s="116">
        <v>46002</v>
      </c>
      <c r="Y313" s="116">
        <v>45718</v>
      </c>
      <c r="Z313" s="43"/>
      <c r="AA313" s="43"/>
      <c r="AB313" s="43"/>
      <c r="AC313" s="54"/>
      <c r="AD313" s="43"/>
      <c r="AE313" s="46">
        <v>45719</v>
      </c>
      <c r="AF313" s="46">
        <v>45728</v>
      </c>
      <c r="AG313" s="46">
        <v>45733</v>
      </c>
      <c r="AH313" s="46">
        <v>45728</v>
      </c>
      <c r="AI313" s="46">
        <v>45736</v>
      </c>
      <c r="AJ313" s="46">
        <v>45637</v>
      </c>
      <c r="AK313" s="46">
        <v>45714</v>
      </c>
      <c r="AL313" s="46">
        <v>45667</v>
      </c>
      <c r="AM313" s="46">
        <v>45744</v>
      </c>
      <c r="AN313" s="46">
        <v>45720</v>
      </c>
      <c r="AO313" s="46">
        <v>45744</v>
      </c>
      <c r="AP313" s="46"/>
      <c r="AQ313" s="46">
        <v>45744</v>
      </c>
      <c r="AR313" s="46">
        <v>45736</v>
      </c>
      <c r="AS313" s="46">
        <v>45728</v>
      </c>
      <c r="AT313" s="46">
        <v>45733</v>
      </c>
      <c r="AU313" s="150"/>
      <c r="AV313" s="151"/>
      <c r="AW313" s="151"/>
      <c r="AX313" s="151"/>
      <c r="AY313" s="151"/>
    </row>
    <row r="314" spans="1:51" ht="18.75" customHeight="1">
      <c r="A314" s="209">
        <v>812846</v>
      </c>
      <c r="B314" s="177" t="s">
        <v>454</v>
      </c>
      <c r="C314" s="178" t="s">
        <v>42</v>
      </c>
      <c r="D314" s="30"/>
      <c r="E314" s="30"/>
      <c r="F314" s="31" t="s">
        <v>43</v>
      </c>
      <c r="G314" s="50">
        <v>450</v>
      </c>
      <c r="H314" s="50">
        <v>400</v>
      </c>
      <c r="I314" s="34">
        <v>4</v>
      </c>
      <c r="J314" s="456" t="s">
        <v>455</v>
      </c>
      <c r="K314" s="81" t="s">
        <v>66</v>
      </c>
      <c r="L314" s="538" t="s">
        <v>799</v>
      </c>
      <c r="M314" s="178"/>
      <c r="N314" s="316" t="s">
        <v>336</v>
      </c>
      <c r="O314" s="316" t="s">
        <v>72</v>
      </c>
      <c r="P314" s="316" t="s">
        <v>412</v>
      </c>
      <c r="Q314" s="178"/>
      <c r="R314" s="373" t="s">
        <v>648</v>
      </c>
      <c r="S314" s="178" t="s">
        <v>361</v>
      </c>
      <c r="T314" s="177" t="s">
        <v>649</v>
      </c>
      <c r="U314" s="178" t="s">
        <v>354</v>
      </c>
      <c r="V314" s="36">
        <v>45555</v>
      </c>
      <c r="W314" s="36">
        <f>V314+15</f>
        <v>45570</v>
      </c>
      <c r="X314" s="36">
        <v>45555</v>
      </c>
      <c r="Y314" s="36">
        <f>X314+15</f>
        <v>45570</v>
      </c>
      <c r="Z314" s="161"/>
      <c r="AA314" s="31"/>
      <c r="AB314" s="31"/>
      <c r="AC314" s="37">
        <v>1</v>
      </c>
      <c r="AD314" s="31"/>
      <c r="AE314" s="173">
        <v>45744</v>
      </c>
      <c r="AF314" s="173">
        <v>45747</v>
      </c>
      <c r="AG314" s="173">
        <v>45747</v>
      </c>
      <c r="AH314" s="173">
        <v>45747</v>
      </c>
      <c r="AI314" s="173">
        <v>45747</v>
      </c>
      <c r="AJ314" s="38">
        <v>45591</v>
      </c>
      <c r="AK314" s="38">
        <v>45591</v>
      </c>
      <c r="AL314" s="36">
        <v>45740</v>
      </c>
      <c r="AM314" s="36">
        <v>45736</v>
      </c>
      <c r="AN314" s="38">
        <v>45716</v>
      </c>
      <c r="AO314" s="99">
        <v>45750</v>
      </c>
      <c r="AP314" s="99"/>
      <c r="AQ314" s="99">
        <v>45750</v>
      </c>
      <c r="AR314" s="99">
        <v>45757</v>
      </c>
      <c r="AS314" s="99">
        <v>45760</v>
      </c>
      <c r="AT314" s="99">
        <v>45762</v>
      </c>
      <c r="AU314" s="47" t="s">
        <v>677</v>
      </c>
      <c r="AV314" s="151"/>
      <c r="AW314" s="151"/>
      <c r="AX314" s="151"/>
      <c r="AY314" s="151"/>
    </row>
    <row r="315" spans="1:51" ht="21" customHeight="1">
      <c r="A315" s="180">
        <v>812846</v>
      </c>
      <c r="B315" s="181"/>
      <c r="C315" s="182"/>
      <c r="D315" s="182"/>
      <c r="E315" s="182"/>
      <c r="F315" s="182"/>
      <c r="G315" s="182"/>
      <c r="H315" s="182"/>
      <c r="I315" s="182"/>
      <c r="J315" s="182"/>
      <c r="K315" s="182"/>
      <c r="L315" s="182"/>
      <c r="M315" s="182"/>
      <c r="N315" s="182"/>
      <c r="O315" s="182"/>
      <c r="P315" s="182"/>
      <c r="Q315" s="182"/>
      <c r="R315" s="182"/>
      <c r="S315" s="182"/>
      <c r="T315" s="182"/>
      <c r="U315" s="182"/>
      <c r="V315" s="116">
        <v>45555</v>
      </c>
      <c r="W315" s="116">
        <v>45604</v>
      </c>
      <c r="X315" s="116">
        <v>45544</v>
      </c>
      <c r="Y315" s="116">
        <v>45604</v>
      </c>
      <c r="Z315" s="182"/>
      <c r="AA315" s="182"/>
      <c r="AB315" s="182"/>
      <c r="AC315" s="182"/>
      <c r="AD315" s="513" t="s">
        <v>698</v>
      </c>
      <c r="AE315" s="46">
        <v>45743</v>
      </c>
      <c r="AF315" s="46">
        <v>45750</v>
      </c>
      <c r="AG315" s="46">
        <v>45750</v>
      </c>
      <c r="AH315" s="46">
        <v>45757</v>
      </c>
      <c r="AI315" s="46">
        <v>45770</v>
      </c>
      <c r="AJ315" s="46">
        <v>45591</v>
      </c>
      <c r="AK315" s="46">
        <v>45591</v>
      </c>
      <c r="AL315" s="46">
        <v>45740</v>
      </c>
      <c r="AM315" s="46">
        <v>45736</v>
      </c>
      <c r="AN315" s="46">
        <v>45720</v>
      </c>
      <c r="AO315" s="46">
        <v>45737</v>
      </c>
      <c r="AP315" s="46"/>
      <c r="AQ315" s="46">
        <v>45737</v>
      </c>
      <c r="AR315" s="46">
        <v>45757</v>
      </c>
      <c r="AS315" s="46">
        <v>45740</v>
      </c>
      <c r="AT315" s="46">
        <v>45762</v>
      </c>
      <c r="AU315" s="150"/>
      <c r="AV315" s="151"/>
      <c r="AW315" s="151"/>
      <c r="AX315" s="151"/>
      <c r="AY315" s="151"/>
    </row>
    <row r="316" spans="1:51" ht="20.25" customHeight="1">
      <c r="A316" s="340">
        <v>813023</v>
      </c>
      <c r="B316" s="29">
        <v>813023</v>
      </c>
      <c r="C316" s="178" t="s">
        <v>42</v>
      </c>
      <c r="D316" s="153"/>
      <c r="E316" s="97"/>
      <c r="F316" s="66" t="s">
        <v>43</v>
      </c>
      <c r="G316" s="33">
        <v>200</v>
      </c>
      <c r="H316" s="33">
        <v>231</v>
      </c>
      <c r="I316" s="76">
        <v>1</v>
      </c>
      <c r="J316" s="446" t="s">
        <v>583</v>
      </c>
      <c r="K316" s="66" t="s">
        <v>327</v>
      </c>
      <c r="L316" s="157" t="s">
        <v>799</v>
      </c>
      <c r="M316" s="30"/>
      <c r="N316" s="323" t="s">
        <v>643</v>
      </c>
      <c r="O316" s="30" t="s">
        <v>511</v>
      </c>
      <c r="P316" s="309" t="s">
        <v>412</v>
      </c>
      <c r="Q316" s="30"/>
      <c r="R316" s="323" t="s">
        <v>354</v>
      </c>
      <c r="S316" s="30" t="s">
        <v>361</v>
      </c>
      <c r="T316" s="29"/>
      <c r="U316" s="30" t="s">
        <v>354</v>
      </c>
      <c r="V316" s="36">
        <v>45606</v>
      </c>
      <c r="W316" s="36">
        <f>V316+15</f>
        <v>45621</v>
      </c>
      <c r="X316" s="36">
        <v>45606</v>
      </c>
      <c r="Y316" s="36">
        <f>X316+15</f>
        <v>45621</v>
      </c>
      <c r="Z316" s="66"/>
      <c r="AA316" s="31"/>
      <c r="AB316" s="31"/>
      <c r="AC316" s="37"/>
      <c r="AD316" s="31"/>
      <c r="AE316" s="36">
        <v>45726</v>
      </c>
      <c r="AF316" s="36">
        <v>45730</v>
      </c>
      <c r="AG316" s="36">
        <v>45730</v>
      </c>
      <c r="AH316" s="36">
        <v>45730</v>
      </c>
      <c r="AI316" s="36">
        <v>45742</v>
      </c>
      <c r="AJ316" s="36">
        <v>45580</v>
      </c>
      <c r="AK316" s="36">
        <v>45611</v>
      </c>
      <c r="AL316" s="36">
        <v>45742</v>
      </c>
      <c r="AM316" s="36">
        <v>45742</v>
      </c>
      <c r="AN316" s="36">
        <v>45720</v>
      </c>
      <c r="AO316" s="36">
        <v>45742</v>
      </c>
      <c r="AP316" s="36"/>
      <c r="AQ316" s="36">
        <v>45742</v>
      </c>
      <c r="AR316" s="36">
        <v>45742</v>
      </c>
      <c r="AS316" s="36">
        <v>45742</v>
      </c>
      <c r="AT316" s="36">
        <v>45744</v>
      </c>
      <c r="AU316" s="228"/>
      <c r="AV316" s="151"/>
      <c r="AW316" s="151"/>
      <c r="AX316" s="151"/>
      <c r="AY316" s="151"/>
    </row>
    <row r="317" spans="1:51" ht="20.25" customHeight="1">
      <c r="A317" s="40">
        <v>813023</v>
      </c>
      <c r="B317" s="41"/>
      <c r="C317" s="42"/>
      <c r="D317" s="42"/>
      <c r="E317" s="42"/>
      <c r="F317" s="43" t="s">
        <v>48</v>
      </c>
      <c r="G317" s="59"/>
      <c r="H317" s="59"/>
      <c r="I317" s="44"/>
      <c r="J317" s="52"/>
      <c r="K317" s="53"/>
      <c r="L317" s="537"/>
      <c r="M317" s="42"/>
      <c r="N317" s="42"/>
      <c r="O317" s="42"/>
      <c r="P317" s="42"/>
      <c r="Q317" s="42"/>
      <c r="R317" s="42"/>
      <c r="S317" s="42"/>
      <c r="T317" s="41"/>
      <c r="U317" s="42"/>
      <c r="V317" s="116">
        <v>45623</v>
      </c>
      <c r="W317" s="116">
        <v>45730</v>
      </c>
      <c r="X317" s="116">
        <v>45637</v>
      </c>
      <c r="Y317" s="116">
        <v>45730</v>
      </c>
      <c r="Z317" s="43"/>
      <c r="AA317" s="43"/>
      <c r="AB317" s="43"/>
      <c r="AC317" s="54"/>
      <c r="AD317" s="43"/>
      <c r="AE317" s="46">
        <v>45726</v>
      </c>
      <c r="AF317" s="46">
        <v>45730</v>
      </c>
      <c r="AG317" s="46">
        <v>45730</v>
      </c>
      <c r="AH317" s="46">
        <v>45730</v>
      </c>
      <c r="AI317" s="46">
        <v>45740</v>
      </c>
      <c r="AJ317" s="46">
        <v>45607</v>
      </c>
      <c r="AK317" s="46">
        <v>45976</v>
      </c>
      <c r="AL317" s="46">
        <v>45742</v>
      </c>
      <c r="AM317" s="46">
        <v>45744</v>
      </c>
      <c r="AN317" s="46">
        <v>45720</v>
      </c>
      <c r="AO317" s="46">
        <v>45742</v>
      </c>
      <c r="AP317" s="46"/>
      <c r="AQ317" s="46">
        <v>45742</v>
      </c>
      <c r="AR317" s="46">
        <v>45742</v>
      </c>
      <c r="AS317" s="46">
        <v>45742</v>
      </c>
      <c r="AT317" s="46">
        <v>45744</v>
      </c>
      <c r="AU317" s="150"/>
      <c r="AV317" s="151"/>
      <c r="AW317" s="151"/>
      <c r="AX317" s="151"/>
      <c r="AY317" s="151"/>
    </row>
    <row r="318" spans="1:51" ht="19.5" customHeight="1">
      <c r="A318" s="149">
        <v>812975</v>
      </c>
      <c r="B318" s="29">
        <v>812975</v>
      </c>
      <c r="C318" s="178" t="s">
        <v>42</v>
      </c>
      <c r="D318" s="30"/>
      <c r="E318" s="30"/>
      <c r="F318" s="31" t="s">
        <v>43</v>
      </c>
      <c r="G318" s="33">
        <v>125</v>
      </c>
      <c r="H318" s="33">
        <v>400</v>
      </c>
      <c r="I318" s="34">
        <v>1</v>
      </c>
      <c r="J318" s="446" t="s">
        <v>495</v>
      </c>
      <c r="K318" s="31" t="s">
        <v>351</v>
      </c>
      <c r="L318" s="161" t="s">
        <v>800</v>
      </c>
      <c r="M318" s="30"/>
      <c r="N318" s="316" t="s">
        <v>336</v>
      </c>
      <c r="O318" s="178" t="s">
        <v>72</v>
      </c>
      <c r="P318" s="323" t="s">
        <v>480</v>
      </c>
      <c r="Q318" s="30"/>
      <c r="R318" s="178" t="s">
        <v>354</v>
      </c>
      <c r="S318" s="178" t="s">
        <v>361</v>
      </c>
      <c r="T318" s="29"/>
      <c r="U318" s="316" t="s">
        <v>354</v>
      </c>
      <c r="V318" s="36">
        <v>45535</v>
      </c>
      <c r="W318" s="36">
        <f>V318+15</f>
        <v>45550</v>
      </c>
      <c r="X318" s="36">
        <v>45534</v>
      </c>
      <c r="Y318" s="36">
        <f>X318+15</f>
        <v>45549</v>
      </c>
      <c r="Z318" s="31"/>
      <c r="AA318" s="31"/>
      <c r="AB318" s="31"/>
      <c r="AC318" s="37"/>
      <c r="AD318" s="31"/>
      <c r="AE318" s="36">
        <v>45733</v>
      </c>
      <c r="AF318" s="36">
        <v>45736</v>
      </c>
      <c r="AG318" s="99">
        <v>45747</v>
      </c>
      <c r="AH318" s="99">
        <v>45743</v>
      </c>
      <c r="AI318" s="36">
        <v>45747</v>
      </c>
      <c r="AJ318" s="36">
        <v>45471</v>
      </c>
      <c r="AK318" s="36">
        <v>45520</v>
      </c>
      <c r="AL318" s="36">
        <v>45744</v>
      </c>
      <c r="AM318" s="36">
        <v>45744</v>
      </c>
      <c r="AN318" s="36">
        <v>45722</v>
      </c>
      <c r="AO318" s="36">
        <v>45744</v>
      </c>
      <c r="AP318" s="36"/>
      <c r="AQ318" s="36">
        <v>45744</v>
      </c>
      <c r="AR318" s="36">
        <v>45744</v>
      </c>
      <c r="AS318" s="36">
        <v>45744</v>
      </c>
      <c r="AT318" s="36">
        <v>45747</v>
      </c>
      <c r="AU318" s="228"/>
      <c r="AV318" s="151"/>
      <c r="AW318" s="151"/>
      <c r="AX318" s="151"/>
      <c r="AY318" s="151"/>
    </row>
    <row r="319" spans="1:51" ht="21" customHeight="1" thickBot="1">
      <c r="A319" s="40">
        <f>IF(A318="","",A318)</f>
        <v>812975</v>
      </c>
      <c r="B319" s="41"/>
      <c r="C319" s="42"/>
      <c r="D319" s="42"/>
      <c r="E319" s="42"/>
      <c r="F319" s="43" t="s">
        <v>48</v>
      </c>
      <c r="G319" s="59"/>
      <c r="H319" s="59"/>
      <c r="I319" s="44"/>
      <c r="J319" s="52"/>
      <c r="K319" s="53"/>
      <c r="L319" s="537"/>
      <c r="M319" s="42"/>
      <c r="N319" s="42"/>
      <c r="O319" s="42"/>
      <c r="P319" s="42"/>
      <c r="Q319" s="42"/>
      <c r="R319" s="42"/>
      <c r="S319" s="42"/>
      <c r="T319" s="41"/>
      <c r="U319" s="42"/>
      <c r="V319" s="116" t="s">
        <v>590</v>
      </c>
      <c r="W319" s="116">
        <v>45545</v>
      </c>
      <c r="X319" s="116" t="s">
        <v>590</v>
      </c>
      <c r="Y319" s="116">
        <v>45545</v>
      </c>
      <c r="Z319" s="43"/>
      <c r="AA319" s="43"/>
      <c r="AB319" s="43"/>
      <c r="AC319" s="54"/>
      <c r="AD319" s="43"/>
      <c r="AE319" s="46">
        <v>45729</v>
      </c>
      <c r="AF319" s="46">
        <v>45736</v>
      </c>
      <c r="AG319" s="46">
        <v>45748</v>
      </c>
      <c r="AH319" s="46">
        <v>45744</v>
      </c>
      <c r="AI319" s="46">
        <v>45756</v>
      </c>
      <c r="AJ319" s="46">
        <v>45458</v>
      </c>
      <c r="AK319" s="46">
        <v>45458</v>
      </c>
      <c r="AL319" s="46">
        <v>45726</v>
      </c>
      <c r="AM319" s="405">
        <v>45728</v>
      </c>
      <c r="AN319" s="405">
        <v>45728</v>
      </c>
      <c r="AO319" s="46">
        <v>45727</v>
      </c>
      <c r="AP319" s="405"/>
      <c r="AQ319" s="46">
        <v>45727</v>
      </c>
      <c r="AR319" s="405">
        <v>45743</v>
      </c>
      <c r="AS319" s="405">
        <v>45742</v>
      </c>
      <c r="AT319" s="46">
        <v>45737</v>
      </c>
      <c r="AU319" s="194"/>
      <c r="AV319" s="151"/>
      <c r="AW319" s="151"/>
      <c r="AX319" s="151"/>
      <c r="AY319" s="151"/>
    </row>
    <row r="320" spans="1:51" ht="16.5" customHeight="1" thickBot="1">
      <c r="A320" s="364"/>
      <c r="B320" s="364"/>
      <c r="C320" s="364"/>
      <c r="D320" s="364"/>
      <c r="E320" s="364"/>
      <c r="F320" s="364"/>
      <c r="G320" s="364"/>
      <c r="H320" s="364"/>
      <c r="I320" s="364"/>
      <c r="J320" s="364"/>
      <c r="K320" s="364"/>
      <c r="L320" s="364"/>
      <c r="M320" s="364"/>
      <c r="N320" s="364"/>
      <c r="O320" s="364"/>
      <c r="P320" s="364"/>
      <c r="Q320" s="364"/>
      <c r="R320" s="364"/>
      <c r="S320" s="364"/>
      <c r="T320" s="364"/>
      <c r="U320" s="364"/>
      <c r="V320" s="364"/>
      <c r="W320" s="364"/>
      <c r="X320" s="364"/>
      <c r="Y320" s="364"/>
      <c r="Z320" s="364"/>
      <c r="AA320" s="364"/>
      <c r="AB320" s="364"/>
      <c r="AC320" s="364"/>
      <c r="AD320" s="364"/>
      <c r="AE320" s="364"/>
      <c r="AF320" s="364"/>
      <c r="AG320" s="364"/>
      <c r="AH320" s="364"/>
      <c r="AI320" s="364"/>
      <c r="AJ320" s="364"/>
      <c r="AK320" s="364"/>
      <c r="AL320" s="364"/>
      <c r="AM320" s="364"/>
      <c r="AN320" s="364"/>
      <c r="AO320" s="364"/>
      <c r="AP320" s="364"/>
      <c r="AQ320" s="364"/>
      <c r="AR320" s="364"/>
      <c r="AS320" s="364"/>
      <c r="AT320" s="364"/>
      <c r="AU320" s="371"/>
      <c r="AV320" s="27"/>
      <c r="AW320" s="27"/>
      <c r="AX320" s="27"/>
      <c r="AY320" s="27"/>
    </row>
    <row r="321" spans="1:51" ht="19.5" customHeight="1">
      <c r="A321" s="149">
        <v>812976</v>
      </c>
      <c r="B321" s="29">
        <v>812976</v>
      </c>
      <c r="C321" s="178" t="s">
        <v>42</v>
      </c>
      <c r="D321" s="30"/>
      <c r="E321" s="504">
        <v>0.2</v>
      </c>
      <c r="F321" s="472" t="s">
        <v>43</v>
      </c>
      <c r="G321" s="33">
        <v>160</v>
      </c>
      <c r="H321" s="33">
        <v>400</v>
      </c>
      <c r="I321" s="473">
        <v>1</v>
      </c>
      <c r="J321" s="446" t="s">
        <v>495</v>
      </c>
      <c r="K321" s="474" t="s">
        <v>351</v>
      </c>
      <c r="L321" s="549" t="s">
        <v>800</v>
      </c>
      <c r="M321" s="30"/>
      <c r="N321" s="316" t="s">
        <v>336</v>
      </c>
      <c r="O321" s="178" t="s">
        <v>72</v>
      </c>
      <c r="P321" s="323" t="s">
        <v>480</v>
      </c>
      <c r="Q321" s="30"/>
      <c r="R321" s="178" t="s">
        <v>354</v>
      </c>
      <c r="S321" s="178" t="s">
        <v>361</v>
      </c>
      <c r="T321" s="29"/>
      <c r="U321" s="316" t="s">
        <v>354</v>
      </c>
      <c r="V321" s="36">
        <v>45511</v>
      </c>
      <c r="W321" s="36">
        <f>V321+15</f>
        <v>45526</v>
      </c>
      <c r="X321" s="36">
        <v>45511</v>
      </c>
      <c r="Y321" s="36">
        <f>X321+15</f>
        <v>45526</v>
      </c>
      <c r="Z321" s="66"/>
      <c r="AA321" s="31"/>
      <c r="AB321" s="31"/>
      <c r="AC321" s="37"/>
      <c r="AD321" s="31"/>
      <c r="AE321" s="36">
        <v>45736</v>
      </c>
      <c r="AF321" s="36">
        <v>45754</v>
      </c>
      <c r="AG321" s="36">
        <v>45758</v>
      </c>
      <c r="AH321" s="36">
        <v>45755</v>
      </c>
      <c r="AI321" s="173">
        <v>45783</v>
      </c>
      <c r="AJ321" s="36">
        <v>45471</v>
      </c>
      <c r="AK321" s="36">
        <v>45526</v>
      </c>
      <c r="AL321" s="36">
        <v>45747</v>
      </c>
      <c r="AM321" s="36">
        <v>45747</v>
      </c>
      <c r="AN321" s="36">
        <v>45724</v>
      </c>
      <c r="AO321" s="36">
        <v>45747</v>
      </c>
      <c r="AP321" s="36"/>
      <c r="AQ321" s="36">
        <v>45747</v>
      </c>
      <c r="AR321" s="36">
        <v>45747</v>
      </c>
      <c r="AS321" s="36">
        <v>45747</v>
      </c>
      <c r="AT321" s="36">
        <v>45750</v>
      </c>
      <c r="AU321" s="195"/>
      <c r="AV321" s="151"/>
      <c r="AW321" s="151"/>
      <c r="AX321" s="151"/>
      <c r="AY321" s="151"/>
    </row>
    <row r="322" spans="1:51" ht="21" customHeight="1">
      <c r="A322" s="406"/>
      <c r="B322" s="181"/>
      <c r="C322" s="182"/>
      <c r="D322" s="182"/>
      <c r="E322" s="475"/>
      <c r="F322" s="43"/>
      <c r="G322" s="183"/>
      <c r="H322" s="183"/>
      <c r="I322" s="184"/>
      <c r="J322" s="476"/>
      <c r="K322" s="53"/>
      <c r="L322" s="537"/>
      <c r="M322" s="185"/>
      <c r="N322" s="185"/>
      <c r="O322" s="185"/>
      <c r="P322" s="185"/>
      <c r="Q322" s="185"/>
      <c r="R322" s="185"/>
      <c r="S322" s="185"/>
      <c r="T322" s="181"/>
      <c r="U322" s="185"/>
      <c r="V322" s="116">
        <v>45504</v>
      </c>
      <c r="W322" s="116">
        <v>45537</v>
      </c>
      <c r="X322" s="116">
        <v>45504</v>
      </c>
      <c r="Y322" s="116">
        <v>45545</v>
      </c>
      <c r="Z322" s="158"/>
      <c r="AA322" s="43"/>
      <c r="AB322" s="43"/>
      <c r="AC322" s="54"/>
      <c r="AD322" s="43"/>
      <c r="AE322" s="46">
        <v>45736</v>
      </c>
      <c r="AF322" s="46">
        <v>45747</v>
      </c>
      <c r="AG322" s="304" t="s">
        <v>726</v>
      </c>
      <c r="AH322" s="304">
        <v>45766</v>
      </c>
      <c r="AI322" s="46">
        <v>45783</v>
      </c>
      <c r="AJ322" s="46">
        <v>45471</v>
      </c>
      <c r="AK322" s="46">
        <v>45526</v>
      </c>
      <c r="AL322" s="46">
        <v>45727</v>
      </c>
      <c r="AM322" s="46">
        <v>45728</v>
      </c>
      <c r="AN322" s="304">
        <v>45728</v>
      </c>
      <c r="AO322" s="46">
        <v>45735</v>
      </c>
      <c r="AP322" s="46"/>
      <c r="AQ322" s="46">
        <v>45735</v>
      </c>
      <c r="AR322" s="46">
        <v>45748</v>
      </c>
      <c r="AS322" s="46">
        <v>45748</v>
      </c>
      <c r="AT322" s="46">
        <v>45750</v>
      </c>
      <c r="AU322" s="150"/>
      <c r="AV322" s="151"/>
      <c r="AW322" s="151"/>
      <c r="AX322" s="151"/>
      <c r="AY322" s="151"/>
    </row>
    <row r="323" spans="1:51" ht="21" customHeight="1">
      <c r="A323" s="209">
        <v>812952</v>
      </c>
      <c r="B323" s="177" t="s">
        <v>429</v>
      </c>
      <c r="C323" s="178" t="s">
        <v>42</v>
      </c>
      <c r="D323" s="153"/>
      <c r="E323" s="153"/>
      <c r="F323" s="31" t="s">
        <v>43</v>
      </c>
      <c r="G323" s="50">
        <v>140</v>
      </c>
      <c r="H323" s="50">
        <v>230</v>
      </c>
      <c r="I323" s="34">
        <v>2</v>
      </c>
      <c r="J323" s="446" t="s">
        <v>430</v>
      </c>
      <c r="K323" s="81" t="s">
        <v>478</v>
      </c>
      <c r="L323" s="538" t="s">
        <v>799</v>
      </c>
      <c r="M323" s="178"/>
      <c r="N323" s="316" t="s">
        <v>336</v>
      </c>
      <c r="O323" s="316" t="s">
        <v>565</v>
      </c>
      <c r="P323" s="316" t="s">
        <v>482</v>
      </c>
      <c r="Q323" s="178"/>
      <c r="R323" s="316" t="s">
        <v>354</v>
      </c>
      <c r="S323" s="333" t="s">
        <v>361</v>
      </c>
      <c r="T323" s="177" t="s">
        <v>419</v>
      </c>
      <c r="U323" s="316" t="s">
        <v>354</v>
      </c>
      <c r="V323" s="36">
        <v>45473</v>
      </c>
      <c r="W323" s="36">
        <f>V323+15</f>
        <v>45488</v>
      </c>
      <c r="X323" s="36">
        <v>45473</v>
      </c>
      <c r="Y323" s="36">
        <f>X323+15</f>
        <v>45488</v>
      </c>
      <c r="Z323" s="161"/>
      <c r="AA323" s="31" t="s">
        <v>72</v>
      </c>
      <c r="AB323" s="31" t="s">
        <v>730</v>
      </c>
      <c r="AC323" s="37"/>
      <c r="AD323" s="31"/>
      <c r="AE323" s="36">
        <v>45740</v>
      </c>
      <c r="AF323" s="36">
        <v>45761</v>
      </c>
      <c r="AG323" s="36">
        <v>45761</v>
      </c>
      <c r="AH323" s="36">
        <v>45761</v>
      </c>
      <c r="AI323" s="36">
        <v>45762</v>
      </c>
      <c r="AJ323" s="36">
        <v>45534</v>
      </c>
      <c r="AK323" s="36">
        <v>45543</v>
      </c>
      <c r="AL323" s="36">
        <v>45762</v>
      </c>
      <c r="AM323" s="36">
        <v>45762</v>
      </c>
      <c r="AN323" s="36">
        <v>45728</v>
      </c>
      <c r="AO323" s="36">
        <v>45762</v>
      </c>
      <c r="AP323" s="36"/>
      <c r="AQ323" s="36">
        <v>45762</v>
      </c>
      <c r="AR323" s="36">
        <v>45762</v>
      </c>
      <c r="AS323" s="36">
        <v>45762</v>
      </c>
      <c r="AT323" s="36">
        <v>45765</v>
      </c>
      <c r="AU323" s="150"/>
      <c r="AV323" s="151"/>
      <c r="AW323" s="151"/>
      <c r="AX323" s="151"/>
      <c r="AY323" s="151"/>
    </row>
    <row r="324" spans="1:51" ht="20.25" customHeight="1">
      <c r="A324" s="180">
        <v>812952</v>
      </c>
      <c r="B324" s="181"/>
      <c r="C324" s="182"/>
      <c r="D324" s="182"/>
      <c r="E324" s="182"/>
      <c r="F324" s="43" t="s">
        <v>48</v>
      </c>
      <c r="G324" s="183"/>
      <c r="H324" s="183"/>
      <c r="I324" s="184"/>
      <c r="J324" s="429"/>
      <c r="K324" s="53"/>
      <c r="L324" s="537"/>
      <c r="M324" s="185"/>
      <c r="N324" s="185"/>
      <c r="O324" s="185"/>
      <c r="P324" s="185"/>
      <c r="Q324" s="185"/>
      <c r="R324" s="185"/>
      <c r="S324" s="185"/>
      <c r="T324" s="181"/>
      <c r="U324" s="185"/>
      <c r="V324" s="116">
        <v>45483</v>
      </c>
      <c r="W324" s="116">
        <v>45510</v>
      </c>
      <c r="X324" s="116">
        <v>45483</v>
      </c>
      <c r="Y324" s="53">
        <v>45513</v>
      </c>
      <c r="Z324" s="158"/>
      <c r="AA324" s="43"/>
      <c r="AB324" s="43"/>
      <c r="AC324" s="54"/>
      <c r="AD324" s="43"/>
      <c r="AE324" s="46">
        <v>45749</v>
      </c>
      <c r="AF324" s="46">
        <v>45759</v>
      </c>
      <c r="AG324" s="46">
        <v>45758</v>
      </c>
      <c r="AH324" s="46">
        <v>45758</v>
      </c>
      <c r="AI324" s="46">
        <v>45762</v>
      </c>
      <c r="AJ324" s="46">
        <v>45456</v>
      </c>
      <c r="AK324" s="46">
        <v>45480</v>
      </c>
      <c r="AL324" s="46">
        <v>45762</v>
      </c>
      <c r="AM324" s="46">
        <v>45762</v>
      </c>
      <c r="AN324" s="46">
        <v>45727</v>
      </c>
      <c r="AO324" s="46">
        <v>45762</v>
      </c>
      <c r="AP324" s="46"/>
      <c r="AQ324" s="46">
        <v>45762</v>
      </c>
      <c r="AR324" s="46">
        <v>45762</v>
      </c>
      <c r="AS324" s="46">
        <v>45762</v>
      </c>
      <c r="AT324" s="46">
        <v>45765</v>
      </c>
      <c r="AU324" s="150"/>
      <c r="AV324" s="151"/>
      <c r="AW324" s="151"/>
      <c r="AX324" s="151"/>
      <c r="AY324" s="151"/>
    </row>
    <row r="325" spans="1:51" ht="18.75" customHeight="1">
      <c r="A325" s="160">
        <v>813090</v>
      </c>
      <c r="B325" s="29" t="s">
        <v>688</v>
      </c>
      <c r="C325" s="178" t="s">
        <v>42</v>
      </c>
      <c r="D325" s="30"/>
      <c r="E325" s="30"/>
      <c r="F325" s="31" t="s">
        <v>43</v>
      </c>
      <c r="G325" s="33">
        <v>300</v>
      </c>
      <c r="H325" s="33">
        <v>500</v>
      </c>
      <c r="I325" s="34">
        <v>4</v>
      </c>
      <c r="J325" s="503" t="s">
        <v>685</v>
      </c>
      <c r="K325" s="31" t="s">
        <v>327</v>
      </c>
      <c r="L325" s="161" t="s">
        <v>801</v>
      </c>
      <c r="M325" s="30"/>
      <c r="N325" s="30" t="s">
        <v>336</v>
      </c>
      <c r="O325" s="30"/>
      <c r="P325" s="30" t="s">
        <v>437</v>
      </c>
      <c r="Q325" s="30"/>
      <c r="R325" s="309" t="s">
        <v>355</v>
      </c>
      <c r="S325" s="309" t="s">
        <v>355</v>
      </c>
      <c r="T325" s="29"/>
      <c r="U325" s="316" t="s">
        <v>354</v>
      </c>
      <c r="V325" s="36">
        <v>45757</v>
      </c>
      <c r="W325" s="36">
        <f>V325+15</f>
        <v>45772</v>
      </c>
      <c r="X325" s="36">
        <v>45756</v>
      </c>
      <c r="Y325" s="36">
        <f>X325+30</f>
        <v>45786</v>
      </c>
      <c r="Z325" s="31"/>
      <c r="AA325" s="31"/>
      <c r="AB325" s="31"/>
      <c r="AC325" s="37"/>
      <c r="AD325" s="31"/>
      <c r="AE325" s="36">
        <v>45754</v>
      </c>
      <c r="AF325" s="36">
        <v>45765</v>
      </c>
      <c r="AG325" s="36">
        <v>45765</v>
      </c>
      <c r="AH325" s="36">
        <v>45765</v>
      </c>
      <c r="AI325" s="173">
        <v>45784</v>
      </c>
      <c r="AJ325" s="38">
        <v>45721</v>
      </c>
      <c r="AK325" s="38">
        <v>45721</v>
      </c>
      <c r="AL325" s="36">
        <v>45769</v>
      </c>
      <c r="AM325" s="36">
        <v>45769</v>
      </c>
      <c r="AN325" s="36">
        <v>45741</v>
      </c>
      <c r="AO325" s="36">
        <v>45769</v>
      </c>
      <c r="AP325" s="36"/>
      <c r="AQ325" s="36">
        <v>45769</v>
      </c>
      <c r="AR325" s="173">
        <v>45787</v>
      </c>
      <c r="AS325" s="36">
        <v>45769</v>
      </c>
      <c r="AT325" s="173">
        <v>45787</v>
      </c>
      <c r="AU325" s="47" t="s">
        <v>681</v>
      </c>
      <c r="AV325" s="151"/>
      <c r="AW325" s="151"/>
      <c r="AX325" s="151"/>
      <c r="AY325" s="151"/>
    </row>
    <row r="326" spans="1:51" ht="18" customHeight="1">
      <c r="A326" s="40">
        <v>813090</v>
      </c>
      <c r="B326" s="71" t="s">
        <v>509</v>
      </c>
      <c r="C326" s="42"/>
      <c r="D326" s="42"/>
      <c r="E326" s="42"/>
      <c r="F326" s="43" t="s">
        <v>48</v>
      </c>
      <c r="G326" s="59"/>
      <c r="H326" s="59"/>
      <c r="I326" s="44"/>
      <c r="J326" s="52"/>
      <c r="K326" s="53"/>
      <c r="L326" s="537"/>
      <c r="M326" s="42"/>
      <c r="N326" s="42"/>
      <c r="O326" s="42"/>
      <c r="P326" s="42"/>
      <c r="Q326" s="42"/>
      <c r="R326" s="42"/>
      <c r="S326" s="42"/>
      <c r="T326" s="41"/>
      <c r="U326" s="42"/>
      <c r="V326" s="116">
        <v>45757</v>
      </c>
      <c r="W326" s="116">
        <v>45803</v>
      </c>
      <c r="X326" s="116">
        <v>45756</v>
      </c>
      <c r="Y326" s="53">
        <v>45803</v>
      </c>
      <c r="Z326" s="43"/>
      <c r="AA326" s="43"/>
      <c r="AB326" s="43"/>
      <c r="AC326" s="54"/>
      <c r="AD326" s="43"/>
      <c r="AE326" s="46">
        <v>45756</v>
      </c>
      <c r="AF326" s="46">
        <v>45769</v>
      </c>
      <c r="AG326" s="46">
        <v>45764</v>
      </c>
      <c r="AH326" s="46">
        <v>45764</v>
      </c>
      <c r="AI326" s="46">
        <v>45799</v>
      </c>
      <c r="AJ326" s="46" t="s">
        <v>727</v>
      </c>
      <c r="AK326" s="46">
        <v>45728</v>
      </c>
      <c r="AL326" s="46">
        <v>45765</v>
      </c>
      <c r="AM326" s="46" t="s">
        <v>254</v>
      </c>
      <c r="AN326" s="46">
        <v>45741</v>
      </c>
      <c r="AO326" s="46">
        <v>45769</v>
      </c>
      <c r="AP326" s="46"/>
      <c r="AQ326" s="46">
        <v>45769</v>
      </c>
      <c r="AR326" s="46">
        <v>45788</v>
      </c>
      <c r="AS326" s="46" t="s">
        <v>728</v>
      </c>
      <c r="AT326" s="46">
        <v>45797</v>
      </c>
      <c r="AU326" s="150"/>
      <c r="AV326" s="151"/>
      <c r="AW326" s="151"/>
      <c r="AX326" s="151"/>
      <c r="AY326" s="151"/>
    </row>
    <row r="327" spans="1:51" ht="18.75" customHeight="1">
      <c r="A327" s="160">
        <v>813145</v>
      </c>
      <c r="B327" s="29" t="s">
        <v>694</v>
      </c>
      <c r="C327" s="30" t="s">
        <v>55</v>
      </c>
      <c r="D327" s="153">
        <v>0.5</v>
      </c>
      <c r="E327" s="153">
        <v>0.3</v>
      </c>
      <c r="F327" s="31" t="s">
        <v>43</v>
      </c>
      <c r="G327" s="33">
        <v>334</v>
      </c>
      <c r="H327" s="33">
        <v>500</v>
      </c>
      <c r="I327" s="34">
        <v>3</v>
      </c>
      <c r="J327" s="446" t="s">
        <v>693</v>
      </c>
      <c r="K327" s="31" t="s">
        <v>231</v>
      </c>
      <c r="L327" s="161" t="s">
        <v>802</v>
      </c>
      <c r="M327" s="30"/>
      <c r="N327" s="30" t="s">
        <v>336</v>
      </c>
      <c r="O327" s="30"/>
      <c r="P327" s="30" t="s">
        <v>714</v>
      </c>
      <c r="Q327" s="30"/>
      <c r="R327" s="30"/>
      <c r="S327" s="30"/>
      <c r="T327" s="29"/>
      <c r="U327" s="316" t="s">
        <v>354</v>
      </c>
      <c r="V327" s="36">
        <v>45736</v>
      </c>
      <c r="W327" s="36"/>
      <c r="X327" s="36"/>
      <c r="Y327" s="36"/>
      <c r="Z327" s="31"/>
      <c r="AA327" s="31"/>
      <c r="AB327" s="31"/>
      <c r="AC327" s="37"/>
      <c r="AD327" s="31"/>
      <c r="AE327" s="36">
        <v>45759</v>
      </c>
      <c r="AF327" s="36">
        <v>45769</v>
      </c>
      <c r="AG327" s="36">
        <v>45769</v>
      </c>
      <c r="AH327" s="36">
        <v>45769</v>
      </c>
      <c r="AI327" s="36">
        <v>45774</v>
      </c>
      <c r="AJ327" s="36">
        <v>45733</v>
      </c>
      <c r="AK327" s="36">
        <v>45733</v>
      </c>
      <c r="AL327" s="36">
        <v>45774</v>
      </c>
      <c r="AM327" s="36">
        <v>45774</v>
      </c>
      <c r="AN327" s="36">
        <v>45735</v>
      </c>
      <c r="AO327" s="36">
        <v>45774</v>
      </c>
      <c r="AP327" s="36"/>
      <c r="AQ327" s="36">
        <v>45774</v>
      </c>
      <c r="AR327" s="36">
        <v>45774</v>
      </c>
      <c r="AS327" s="36">
        <v>45774</v>
      </c>
      <c r="AT327" s="36">
        <v>45775</v>
      </c>
      <c r="AU327" s="514"/>
      <c r="AV327" s="151"/>
      <c r="AW327" s="151"/>
      <c r="AX327" s="151"/>
      <c r="AY327" s="151"/>
    </row>
    <row r="328" spans="1:51" ht="18" customHeight="1">
      <c r="A328" s="40">
        <v>813145</v>
      </c>
      <c r="B328" s="71" t="s">
        <v>509</v>
      </c>
      <c r="C328" s="42">
        <v>813046</v>
      </c>
      <c r="D328" s="42"/>
      <c r="E328" s="42"/>
      <c r="F328" s="43" t="s">
        <v>48</v>
      </c>
      <c r="G328" s="59"/>
      <c r="H328" s="59"/>
      <c r="I328" s="44"/>
      <c r="J328" s="52"/>
      <c r="K328" s="53"/>
      <c r="L328" s="537"/>
      <c r="M328" s="42"/>
      <c r="N328" s="42"/>
      <c r="O328" s="42"/>
      <c r="P328" s="42"/>
      <c r="Q328" s="42"/>
      <c r="R328" s="42"/>
      <c r="S328" s="42"/>
      <c r="T328" s="41"/>
      <c r="U328" s="42"/>
      <c r="V328" s="116">
        <v>45736</v>
      </c>
      <c r="W328" s="116"/>
      <c r="X328" s="116"/>
      <c r="Y328" s="53"/>
      <c r="Z328" s="43"/>
      <c r="AA328" s="43"/>
      <c r="AB328" s="43"/>
      <c r="AC328" s="54"/>
      <c r="AD328" s="43"/>
      <c r="AE328" s="46">
        <v>45759</v>
      </c>
      <c r="AF328" s="46">
        <v>45769</v>
      </c>
      <c r="AG328" s="46">
        <v>45769</v>
      </c>
      <c r="AH328" s="46">
        <v>45769</v>
      </c>
      <c r="AI328" s="46">
        <v>45774</v>
      </c>
      <c r="AJ328" s="46">
        <v>45733</v>
      </c>
      <c r="AK328" s="46">
        <v>45733</v>
      </c>
      <c r="AL328" s="46">
        <v>45774</v>
      </c>
      <c r="AM328" s="46">
        <v>45774</v>
      </c>
      <c r="AN328" s="304">
        <v>45745</v>
      </c>
      <c r="AO328" s="46">
        <v>45774</v>
      </c>
      <c r="AP328" s="46"/>
      <c r="AQ328" s="46">
        <v>45774</v>
      </c>
      <c r="AR328" s="46">
        <v>45774</v>
      </c>
      <c r="AS328" s="46">
        <v>45774</v>
      </c>
      <c r="AT328" s="46">
        <v>45775</v>
      </c>
      <c r="AU328" s="514"/>
      <c r="AV328" s="151"/>
      <c r="AW328" s="151"/>
      <c r="AX328" s="151"/>
      <c r="AY328" s="151"/>
    </row>
    <row r="329" spans="1:51" ht="21" customHeight="1">
      <c r="A329" s="149">
        <v>813016</v>
      </c>
      <c r="B329" s="29">
        <v>813016</v>
      </c>
      <c r="C329" s="30" t="s">
        <v>42</v>
      </c>
      <c r="D329" s="30"/>
      <c r="E329" s="30"/>
      <c r="F329" s="31" t="s">
        <v>43</v>
      </c>
      <c r="G329" s="33">
        <v>100</v>
      </c>
      <c r="H329" s="33">
        <v>400</v>
      </c>
      <c r="I329" s="34">
        <v>1</v>
      </c>
      <c r="J329" s="460" t="s">
        <v>577</v>
      </c>
      <c r="K329" s="31" t="s">
        <v>351</v>
      </c>
      <c r="L329" s="161" t="s">
        <v>803</v>
      </c>
      <c r="M329" s="30"/>
      <c r="N329" s="316" t="s">
        <v>426</v>
      </c>
      <c r="O329" s="30"/>
      <c r="P329" s="323" t="s">
        <v>559</v>
      </c>
      <c r="Q329" s="30"/>
      <c r="R329" s="30" t="s">
        <v>354</v>
      </c>
      <c r="S329" s="30" t="s">
        <v>361</v>
      </c>
      <c r="T329" s="29"/>
      <c r="U329" s="30" t="s">
        <v>354</v>
      </c>
      <c r="V329" s="36">
        <v>45616</v>
      </c>
      <c r="W329" s="36">
        <f>V329+15</f>
        <v>45631</v>
      </c>
      <c r="X329" s="36">
        <v>45672</v>
      </c>
      <c r="Y329" s="36">
        <f>X329+30</f>
        <v>45702</v>
      </c>
      <c r="Z329" s="31"/>
      <c r="AA329" s="31"/>
      <c r="AB329" s="31"/>
      <c r="AC329" s="37"/>
      <c r="AD329" s="31"/>
      <c r="AE329" s="36">
        <v>45765</v>
      </c>
      <c r="AF329" s="36">
        <v>45773</v>
      </c>
      <c r="AG329" s="36">
        <v>45773</v>
      </c>
      <c r="AH329" s="36">
        <v>45773</v>
      </c>
      <c r="AI329" s="173">
        <v>45785</v>
      </c>
      <c r="AJ329" s="36">
        <v>45577</v>
      </c>
      <c r="AK329" s="38" t="s">
        <v>584</v>
      </c>
      <c r="AL329" s="173">
        <v>45785</v>
      </c>
      <c r="AM329" s="173">
        <v>45785</v>
      </c>
      <c r="AN329" s="36">
        <v>45750</v>
      </c>
      <c r="AO329" s="173">
        <v>45785</v>
      </c>
      <c r="AP329" s="173"/>
      <c r="AQ329" s="173">
        <v>45785</v>
      </c>
      <c r="AR329" s="173">
        <v>45785</v>
      </c>
      <c r="AS329" s="173">
        <v>45785</v>
      </c>
      <c r="AT329" s="173">
        <v>45792</v>
      </c>
      <c r="AU329" s="150"/>
      <c r="AV329" s="151"/>
      <c r="AW329" s="151"/>
      <c r="AX329" s="151"/>
      <c r="AY329" s="151"/>
    </row>
    <row r="330" spans="1:51" ht="18" customHeight="1" thickBot="1">
      <c r="A330" s="40">
        <v>813016</v>
      </c>
      <c r="B330" s="41"/>
      <c r="C330" s="42"/>
      <c r="D330" s="42"/>
      <c r="E330" s="42"/>
      <c r="F330" s="43" t="s">
        <v>48</v>
      </c>
      <c r="G330" s="59"/>
      <c r="H330" s="59"/>
      <c r="I330" s="44"/>
      <c r="J330" s="52"/>
      <c r="K330" s="53"/>
      <c r="L330" s="537"/>
      <c r="M330" s="42"/>
      <c r="N330" s="42"/>
      <c r="O330" s="42"/>
      <c r="P330" s="42"/>
      <c r="Q330" s="42"/>
      <c r="R330" s="42"/>
      <c r="S330" s="42"/>
      <c r="T330" s="41"/>
      <c r="U330" s="42"/>
      <c r="V330" s="116">
        <v>45622</v>
      </c>
      <c r="W330" s="116"/>
      <c r="X330" s="116">
        <v>45691</v>
      </c>
      <c r="Y330" s="53"/>
      <c r="Z330" s="43"/>
      <c r="AA330" s="43"/>
      <c r="AB330" s="43"/>
      <c r="AC330" s="54"/>
      <c r="AD330" s="43"/>
      <c r="AE330" s="46">
        <v>45764</v>
      </c>
      <c r="AF330" s="46">
        <v>45764</v>
      </c>
      <c r="AG330" s="46">
        <v>45784</v>
      </c>
      <c r="AH330" s="46">
        <v>45775</v>
      </c>
      <c r="AI330" s="46">
        <v>45790</v>
      </c>
      <c r="AJ330" s="46">
        <v>45577</v>
      </c>
      <c r="AK330" s="46">
        <v>45623</v>
      </c>
      <c r="AL330" s="46">
        <v>45606</v>
      </c>
      <c r="AM330" s="46" t="s">
        <v>254</v>
      </c>
      <c r="AN330" s="46">
        <v>45787</v>
      </c>
      <c r="AO330" s="46">
        <v>45750</v>
      </c>
      <c r="AP330" s="46"/>
      <c r="AQ330" s="46">
        <v>45750</v>
      </c>
      <c r="AR330" s="46">
        <v>45777</v>
      </c>
      <c r="AS330" s="46">
        <v>45777</v>
      </c>
      <c r="AT330" s="46" t="s">
        <v>747</v>
      </c>
      <c r="AU330" s="194"/>
      <c r="AV330" s="151"/>
      <c r="AW330" s="151"/>
      <c r="AX330" s="151"/>
      <c r="AY330" s="151"/>
    </row>
    <row r="331" spans="1:51" ht="15.75" customHeight="1" thickBot="1">
      <c r="A331" s="364"/>
      <c r="B331" s="364"/>
      <c r="C331" s="364"/>
      <c r="D331" s="364"/>
      <c r="E331" s="364"/>
      <c r="F331" s="364"/>
      <c r="G331" s="364"/>
      <c r="H331" s="364"/>
      <c r="I331" s="364"/>
      <c r="J331" s="364"/>
      <c r="K331" s="364"/>
      <c r="L331" s="364"/>
      <c r="M331" s="364"/>
      <c r="N331" s="364"/>
      <c r="O331" s="364"/>
      <c r="P331" s="364"/>
      <c r="Q331" s="364"/>
      <c r="R331" s="364"/>
      <c r="S331" s="364"/>
      <c r="T331" s="364"/>
      <c r="U331" s="364"/>
      <c r="V331" s="364"/>
      <c r="W331" s="364"/>
      <c r="X331" s="364"/>
      <c r="Y331" s="364"/>
      <c r="Z331" s="364"/>
      <c r="AA331" s="364"/>
      <c r="AB331" s="364"/>
      <c r="AC331" s="364"/>
      <c r="AD331" s="364"/>
      <c r="AE331" s="364"/>
      <c r="AF331" s="364"/>
      <c r="AG331" s="364"/>
      <c r="AH331" s="364"/>
      <c r="AI331" s="364"/>
      <c r="AJ331" s="364"/>
      <c r="AK331" s="364"/>
      <c r="AL331" s="364"/>
      <c r="AM331" s="364"/>
      <c r="AN331" s="364"/>
      <c r="AO331" s="364"/>
      <c r="AP331" s="364"/>
      <c r="AQ331" s="364"/>
      <c r="AR331" s="364"/>
      <c r="AS331" s="364"/>
      <c r="AT331" s="364"/>
      <c r="AU331" s="371"/>
      <c r="AV331" s="27"/>
      <c r="AW331" s="27"/>
      <c r="AX331" s="27"/>
      <c r="AY331" s="27"/>
    </row>
    <row r="332" spans="1:51" ht="20.25" customHeight="1">
      <c r="A332" s="149">
        <v>813017</v>
      </c>
      <c r="B332" s="29" t="s">
        <v>576</v>
      </c>
      <c r="C332" s="30" t="s">
        <v>42</v>
      </c>
      <c r="D332" s="30"/>
      <c r="E332" s="30"/>
      <c r="F332" s="31" t="s">
        <v>43</v>
      </c>
      <c r="G332" s="33">
        <v>250</v>
      </c>
      <c r="H332" s="33">
        <v>400</v>
      </c>
      <c r="I332" s="34">
        <v>3</v>
      </c>
      <c r="J332" s="460" t="s">
        <v>577</v>
      </c>
      <c r="K332" s="31" t="s">
        <v>327</v>
      </c>
      <c r="L332" s="161" t="s">
        <v>803</v>
      </c>
      <c r="M332" s="30"/>
      <c r="N332" s="316" t="s">
        <v>426</v>
      </c>
      <c r="O332" s="30"/>
      <c r="P332" s="323" t="s">
        <v>559</v>
      </c>
      <c r="Q332" s="30"/>
      <c r="R332" s="30" t="s">
        <v>354</v>
      </c>
      <c r="S332" s="30" t="s">
        <v>361</v>
      </c>
      <c r="T332" s="29"/>
      <c r="U332" s="30" t="s">
        <v>354</v>
      </c>
      <c r="V332" s="36">
        <v>45616</v>
      </c>
      <c r="W332" s="36">
        <f>V332+15</f>
        <v>45631</v>
      </c>
      <c r="X332" s="36">
        <v>45672</v>
      </c>
      <c r="Y332" s="36">
        <f>X332+30</f>
        <v>45702</v>
      </c>
      <c r="Z332" s="31"/>
      <c r="AA332" s="31"/>
      <c r="AB332" s="31"/>
      <c r="AC332" s="37"/>
      <c r="AD332" s="31"/>
      <c r="AE332" s="36">
        <v>45768</v>
      </c>
      <c r="AF332" s="173">
        <v>45785</v>
      </c>
      <c r="AG332" s="173">
        <v>45785</v>
      </c>
      <c r="AH332" s="173">
        <v>45785</v>
      </c>
      <c r="AI332" s="36">
        <v>45792</v>
      </c>
      <c r="AJ332" s="36">
        <v>45577</v>
      </c>
      <c r="AK332" s="38" t="s">
        <v>584</v>
      </c>
      <c r="AL332" s="36">
        <v>45792</v>
      </c>
      <c r="AM332" s="36">
        <v>45792</v>
      </c>
      <c r="AN332" s="36">
        <v>45754</v>
      </c>
      <c r="AO332" s="36">
        <v>45792</v>
      </c>
      <c r="AP332" s="36"/>
      <c r="AQ332" s="36">
        <v>45792</v>
      </c>
      <c r="AR332" s="36">
        <v>45792</v>
      </c>
      <c r="AS332" s="36">
        <v>45792</v>
      </c>
      <c r="AT332" s="36">
        <v>45795</v>
      </c>
      <c r="AU332" s="195"/>
      <c r="AV332" s="151"/>
      <c r="AW332" s="151"/>
      <c r="AX332" s="151"/>
      <c r="AY332" s="151"/>
    </row>
    <row r="333" spans="1:51" ht="23.25" customHeight="1">
      <c r="A333" s="40">
        <v>813017</v>
      </c>
      <c r="B333" s="41"/>
      <c r="C333" s="42"/>
      <c r="D333" s="42"/>
      <c r="E333" s="42"/>
      <c r="F333" s="43" t="s">
        <v>48</v>
      </c>
      <c r="G333" s="59"/>
      <c r="H333" s="59"/>
      <c r="I333" s="44"/>
      <c r="J333" s="52"/>
      <c r="K333" s="53"/>
      <c r="L333" s="537"/>
      <c r="M333" s="42"/>
      <c r="N333" s="42"/>
      <c r="O333" s="42"/>
      <c r="P333" s="42"/>
      <c r="Q333" s="42"/>
      <c r="R333" s="42"/>
      <c r="S333" s="42"/>
      <c r="T333" s="41"/>
      <c r="U333" s="42"/>
      <c r="V333" s="116">
        <v>45622</v>
      </c>
      <c r="W333" s="116"/>
      <c r="X333" s="116">
        <v>45691</v>
      </c>
      <c r="Y333" s="53"/>
      <c r="Z333" s="43"/>
      <c r="AA333" s="43"/>
      <c r="AB333" s="43"/>
      <c r="AC333" s="54"/>
      <c r="AD333" s="43"/>
      <c r="AE333" s="46">
        <v>45771</v>
      </c>
      <c r="AF333" s="46">
        <v>45785</v>
      </c>
      <c r="AG333" s="46">
        <v>45784</v>
      </c>
      <c r="AH333" s="46">
        <v>45785</v>
      </c>
      <c r="AI333" s="46">
        <v>45817</v>
      </c>
      <c r="AJ333" s="46">
        <v>45623</v>
      </c>
      <c r="AK333" s="46">
        <v>45606</v>
      </c>
      <c r="AL333" s="46">
        <v>45792</v>
      </c>
      <c r="AM333" s="46">
        <v>45793</v>
      </c>
      <c r="AN333" s="46">
        <v>45757</v>
      </c>
      <c r="AO333" s="46">
        <v>45792</v>
      </c>
      <c r="AP333" s="46"/>
      <c r="AQ333" s="46">
        <v>45792</v>
      </c>
      <c r="AR333" s="46">
        <v>45796</v>
      </c>
      <c r="AS333" s="46">
        <v>45792</v>
      </c>
      <c r="AT333" s="46" t="s">
        <v>751</v>
      </c>
      <c r="AU333" s="150"/>
      <c r="AV333" s="151"/>
      <c r="AW333" s="151"/>
      <c r="AX333" s="151"/>
      <c r="AY333" s="151"/>
    </row>
    <row r="334" spans="1:51" ht="20.25" customHeight="1">
      <c r="A334" s="340">
        <v>813062</v>
      </c>
      <c r="B334" s="29">
        <v>813062</v>
      </c>
      <c r="C334" s="30" t="s">
        <v>42</v>
      </c>
      <c r="D334" s="30"/>
      <c r="E334" s="30"/>
      <c r="F334" s="31" t="s">
        <v>43</v>
      </c>
      <c r="G334" s="33">
        <v>150</v>
      </c>
      <c r="H334" s="33">
        <v>220</v>
      </c>
      <c r="I334" s="34">
        <v>1</v>
      </c>
      <c r="J334" s="446" t="s">
        <v>619</v>
      </c>
      <c r="K334" s="66" t="s">
        <v>66</v>
      </c>
      <c r="L334" s="157" t="s">
        <v>803</v>
      </c>
      <c r="M334" s="30"/>
      <c r="N334" s="331" t="s">
        <v>486</v>
      </c>
      <c r="O334" s="331"/>
      <c r="P334" s="331" t="s">
        <v>644</v>
      </c>
      <c r="Q334" s="30"/>
      <c r="R334" s="30"/>
      <c r="S334" s="30"/>
      <c r="T334" s="29"/>
      <c r="U334" s="316" t="s">
        <v>354</v>
      </c>
      <c r="V334" s="36">
        <v>45667</v>
      </c>
      <c r="W334" s="36">
        <f>V334+15</f>
        <v>45682</v>
      </c>
      <c r="X334" s="36">
        <v>45667</v>
      </c>
      <c r="Y334" s="36">
        <f>X334+15</f>
        <v>45682</v>
      </c>
      <c r="Z334" s="66"/>
      <c r="AA334" s="31"/>
      <c r="AB334" s="31"/>
      <c r="AC334" s="37">
        <v>1</v>
      </c>
      <c r="AD334" s="31"/>
      <c r="AE334" s="36">
        <v>45786</v>
      </c>
      <c r="AF334" s="36">
        <v>45790</v>
      </c>
      <c r="AG334" s="36">
        <v>45790</v>
      </c>
      <c r="AH334" s="36">
        <v>45790</v>
      </c>
      <c r="AI334" s="36">
        <v>45800</v>
      </c>
      <c r="AJ334" s="511">
        <v>45625</v>
      </c>
      <c r="AK334" s="511">
        <v>45631</v>
      </c>
      <c r="AL334" s="36">
        <v>45800</v>
      </c>
      <c r="AM334" s="36">
        <v>45800</v>
      </c>
      <c r="AN334" s="36">
        <v>45767</v>
      </c>
      <c r="AO334" s="36">
        <v>45800</v>
      </c>
      <c r="AP334" s="36"/>
      <c r="AQ334" s="36">
        <v>45800</v>
      </c>
      <c r="AR334" s="36">
        <v>45800</v>
      </c>
      <c r="AS334" s="36">
        <v>45800</v>
      </c>
      <c r="AT334" s="89">
        <v>45803</v>
      </c>
      <c r="AU334" s="150"/>
      <c r="AV334" s="151"/>
      <c r="AW334" s="151"/>
      <c r="AX334" s="151"/>
      <c r="AY334" s="151"/>
    </row>
    <row r="335" spans="1:51" ht="18" customHeight="1">
      <c r="A335" s="40">
        <v>813025</v>
      </c>
      <c r="B335" s="41"/>
      <c r="C335" s="42"/>
      <c r="D335" s="42"/>
      <c r="E335" s="42"/>
      <c r="F335" s="43" t="s">
        <v>48</v>
      </c>
      <c r="G335" s="59"/>
      <c r="H335" s="59"/>
      <c r="I335" s="44"/>
      <c r="J335" s="52"/>
      <c r="K335" s="53"/>
      <c r="L335" s="537"/>
      <c r="M335" s="42"/>
      <c r="N335" s="42"/>
      <c r="O335" s="42"/>
      <c r="P335" s="42"/>
      <c r="Q335" s="42"/>
      <c r="R335" s="42"/>
      <c r="S335" s="42"/>
      <c r="T335" s="41"/>
      <c r="U335" s="42"/>
      <c r="V335" s="116">
        <v>45674</v>
      </c>
      <c r="W335" s="116">
        <v>45713</v>
      </c>
      <c r="X335" s="116">
        <v>45674</v>
      </c>
      <c r="Y335" s="53">
        <v>45709</v>
      </c>
      <c r="Z335" s="43"/>
      <c r="AA335" s="43"/>
      <c r="AB335" s="43"/>
      <c r="AC335" s="54"/>
      <c r="AD335" s="43"/>
      <c r="AE335" s="46">
        <v>45785</v>
      </c>
      <c r="AF335" s="43">
        <v>45792</v>
      </c>
      <c r="AG335" s="43" t="s">
        <v>748</v>
      </c>
      <c r="AH335" s="43" t="s">
        <v>748</v>
      </c>
      <c r="AI335" s="43">
        <v>45800</v>
      </c>
      <c r="AJ335" s="46">
        <v>45625</v>
      </c>
      <c r="AK335" s="46">
        <v>45631</v>
      </c>
      <c r="AL335" s="46">
        <v>45785</v>
      </c>
      <c r="AM335" s="46">
        <v>45800</v>
      </c>
      <c r="AN335" s="46">
        <v>45776</v>
      </c>
      <c r="AO335" s="46">
        <v>45797</v>
      </c>
      <c r="AP335" s="46"/>
      <c r="AQ335" s="46">
        <v>45797</v>
      </c>
      <c r="AR335" s="46">
        <v>45800</v>
      </c>
      <c r="AS335" s="46">
        <v>45803</v>
      </c>
      <c r="AT335" s="46">
        <v>45803</v>
      </c>
      <c r="AU335" s="150"/>
      <c r="AV335" s="151"/>
      <c r="AW335" s="151"/>
      <c r="AX335" s="151"/>
      <c r="AY335" s="151"/>
    </row>
    <row r="336" spans="1:51" ht="18.75" customHeight="1">
      <c r="A336" s="340">
        <v>813058</v>
      </c>
      <c r="B336" s="29" t="s">
        <v>622</v>
      </c>
      <c r="C336" s="30" t="s">
        <v>42</v>
      </c>
      <c r="D336" s="30"/>
      <c r="E336" s="30"/>
      <c r="F336" s="31" t="s">
        <v>43</v>
      </c>
      <c r="G336" s="33">
        <v>175</v>
      </c>
      <c r="H336" s="33">
        <v>220</v>
      </c>
      <c r="I336" s="34">
        <v>2</v>
      </c>
      <c r="J336" s="498" t="s">
        <v>682</v>
      </c>
      <c r="K336" s="66" t="s">
        <v>108</v>
      </c>
      <c r="L336" s="157" t="s">
        <v>801</v>
      </c>
      <c r="M336" s="30"/>
      <c r="N336" s="331" t="s">
        <v>336</v>
      </c>
      <c r="O336" s="30"/>
      <c r="P336" s="309" t="s">
        <v>474</v>
      </c>
      <c r="Q336" s="30"/>
      <c r="R336" s="30"/>
      <c r="S336" s="30"/>
      <c r="T336" s="29"/>
      <c r="U336" s="316" t="s">
        <v>354</v>
      </c>
      <c r="V336" s="36">
        <v>45672</v>
      </c>
      <c r="W336" s="36">
        <f>V336+15</f>
        <v>45687</v>
      </c>
      <c r="X336" s="36">
        <v>45672</v>
      </c>
      <c r="Y336" s="36">
        <f>X336+15</f>
        <v>45687</v>
      </c>
      <c r="Z336" s="66"/>
      <c r="AA336" s="31"/>
      <c r="AB336" s="31"/>
      <c r="AC336" s="37"/>
      <c r="AD336" s="31"/>
      <c r="AE336" s="36">
        <v>45789</v>
      </c>
      <c r="AF336" s="36">
        <v>45794</v>
      </c>
      <c r="AG336" s="36">
        <v>45794</v>
      </c>
      <c r="AH336" s="36">
        <v>45794</v>
      </c>
      <c r="AI336" s="36">
        <v>45803</v>
      </c>
      <c r="AJ336" s="36">
        <v>45628</v>
      </c>
      <c r="AK336" s="36">
        <v>45657</v>
      </c>
      <c r="AL336" s="36">
        <v>45803</v>
      </c>
      <c r="AM336" s="36">
        <v>45803</v>
      </c>
      <c r="AN336" s="89">
        <v>45776</v>
      </c>
      <c r="AO336" s="36">
        <v>45803</v>
      </c>
      <c r="AP336" s="36"/>
      <c r="AQ336" s="36">
        <v>45803</v>
      </c>
      <c r="AR336" s="89">
        <v>45805</v>
      </c>
      <c r="AS336" s="502">
        <v>45805</v>
      </c>
      <c r="AT336" s="521">
        <v>45807</v>
      </c>
      <c r="AU336" s="228"/>
      <c r="AV336" s="151"/>
      <c r="AW336" s="151"/>
      <c r="AX336" s="151"/>
      <c r="AY336" s="151"/>
    </row>
    <row r="337" spans="1:51" ht="18" customHeight="1">
      <c r="A337" s="40">
        <v>813058</v>
      </c>
      <c r="B337" s="41"/>
      <c r="C337" s="42"/>
      <c r="D337" s="42"/>
      <c r="E337" s="42"/>
      <c r="F337" s="43" t="s">
        <v>48</v>
      </c>
      <c r="G337" s="59"/>
      <c r="H337" s="59"/>
      <c r="I337" s="44"/>
      <c r="J337" s="52"/>
      <c r="K337" s="53"/>
      <c r="L337" s="537"/>
      <c r="M337" s="42"/>
      <c r="N337" s="42"/>
      <c r="O337" s="42"/>
      <c r="P337" s="42"/>
      <c r="Q337" s="42"/>
      <c r="R337" s="42"/>
      <c r="S337" s="42"/>
      <c r="T337" s="41"/>
      <c r="U337" s="42"/>
      <c r="V337" s="116">
        <v>45670</v>
      </c>
      <c r="W337" s="116">
        <v>45685</v>
      </c>
      <c r="X337" s="116">
        <v>45670</v>
      </c>
      <c r="Y337" s="53">
        <v>45838</v>
      </c>
      <c r="Z337" s="43"/>
      <c r="AA337" s="43"/>
      <c r="AB337" s="43"/>
      <c r="AC337" s="54"/>
      <c r="AD337" s="43"/>
      <c r="AE337" s="46">
        <v>45786</v>
      </c>
      <c r="AF337" s="43">
        <v>45792</v>
      </c>
      <c r="AG337" s="43" t="s">
        <v>748</v>
      </c>
      <c r="AH337" s="43" t="s">
        <v>749</v>
      </c>
      <c r="AI337" s="304">
        <v>45813</v>
      </c>
      <c r="AJ337" s="46">
        <v>45628</v>
      </c>
      <c r="AK337" s="46">
        <v>45657</v>
      </c>
      <c r="AL337" s="43" t="s">
        <v>750</v>
      </c>
      <c r="AM337" s="46">
        <v>45800</v>
      </c>
      <c r="AN337" s="46">
        <v>45776</v>
      </c>
      <c r="AO337" s="43" t="s">
        <v>750</v>
      </c>
      <c r="AP337" s="43"/>
      <c r="AQ337" s="43" t="s">
        <v>750</v>
      </c>
      <c r="AR337" s="46">
        <v>45805</v>
      </c>
      <c r="AS337" s="46">
        <v>45801</v>
      </c>
      <c r="AT337" s="46">
        <v>45807</v>
      </c>
      <c r="AU337" s="47" t="s">
        <v>722</v>
      </c>
      <c r="AV337" s="151"/>
      <c r="AW337" s="151"/>
      <c r="AX337" s="151"/>
      <c r="AY337" s="151"/>
    </row>
    <row r="338" spans="1:51" ht="20.25" customHeight="1">
      <c r="A338" s="160">
        <v>850701</v>
      </c>
      <c r="B338" s="29">
        <v>850701</v>
      </c>
      <c r="C338" s="30" t="s">
        <v>42</v>
      </c>
      <c r="D338" s="30"/>
      <c r="E338" s="30"/>
      <c r="F338" s="31" t="s">
        <v>43</v>
      </c>
      <c r="G338" s="33">
        <v>180</v>
      </c>
      <c r="H338" s="33">
        <v>220</v>
      </c>
      <c r="I338" s="34">
        <v>1</v>
      </c>
      <c r="J338" s="427" t="s">
        <v>721</v>
      </c>
      <c r="K338" s="31" t="s">
        <v>384</v>
      </c>
      <c r="L338" s="161" t="s">
        <v>802</v>
      </c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30"/>
      <c r="AD338" s="30"/>
      <c r="AE338" s="36">
        <v>45793</v>
      </c>
      <c r="AF338" s="36">
        <v>45798</v>
      </c>
      <c r="AG338" s="36">
        <v>45798</v>
      </c>
      <c r="AH338" s="36">
        <v>45798</v>
      </c>
      <c r="AI338" s="502">
        <v>45813</v>
      </c>
      <c r="AJ338" s="38">
        <v>45777</v>
      </c>
      <c r="AK338" s="38">
        <v>45775</v>
      </c>
      <c r="AL338" s="36">
        <v>45805</v>
      </c>
      <c r="AM338" s="36">
        <v>45805</v>
      </c>
      <c r="AN338" s="38">
        <v>45783</v>
      </c>
      <c r="AO338" s="36">
        <v>45805</v>
      </c>
      <c r="AP338" s="36"/>
      <c r="AQ338" s="36">
        <v>45805</v>
      </c>
      <c r="AR338" s="36">
        <v>45805</v>
      </c>
      <c r="AS338" s="36">
        <v>45805</v>
      </c>
      <c r="AT338" s="89">
        <v>45807</v>
      </c>
      <c r="AU338" s="150"/>
      <c r="AV338" s="151"/>
      <c r="AW338" s="151"/>
      <c r="AX338" s="151"/>
      <c r="AY338" s="151"/>
    </row>
    <row r="339" spans="1:51" ht="18" customHeight="1">
      <c r="A339" s="40">
        <v>850701</v>
      </c>
      <c r="B339" s="42"/>
      <c r="C339" s="42"/>
      <c r="D339" s="42"/>
      <c r="E339" s="42"/>
      <c r="F339" s="43" t="s">
        <v>48</v>
      </c>
      <c r="G339" s="59"/>
      <c r="H339" s="59"/>
      <c r="I339" s="44"/>
      <c r="J339" s="52"/>
      <c r="K339" s="53"/>
      <c r="L339" s="537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6">
        <v>45793</v>
      </c>
      <c r="AF339" s="46">
        <v>45801</v>
      </c>
      <c r="AG339" s="43">
        <v>45798</v>
      </c>
      <c r="AH339" s="43">
        <v>45798</v>
      </c>
      <c r="AI339" s="304">
        <v>45819</v>
      </c>
      <c r="AJ339" s="46">
        <v>45777</v>
      </c>
      <c r="AK339" s="46">
        <v>45736</v>
      </c>
      <c r="AL339" s="46">
        <v>45791</v>
      </c>
      <c r="AM339" s="46">
        <v>45805</v>
      </c>
      <c r="AN339" s="46">
        <v>45784</v>
      </c>
      <c r="AO339" s="46">
        <v>45792</v>
      </c>
      <c r="AP339" s="46"/>
      <c r="AQ339" s="46">
        <v>45792</v>
      </c>
      <c r="AR339" s="46">
        <v>45805</v>
      </c>
      <c r="AS339" s="46">
        <v>45805</v>
      </c>
      <c r="AT339" s="46">
        <v>45807</v>
      </c>
      <c r="AU339" s="150"/>
      <c r="AV339" s="151"/>
      <c r="AW339" s="151"/>
      <c r="AX339" s="151"/>
      <c r="AY339" s="151"/>
    </row>
    <row r="340" spans="1:51" ht="21" customHeight="1">
      <c r="A340" s="340">
        <v>813000</v>
      </c>
      <c r="B340" s="29">
        <v>813000</v>
      </c>
      <c r="C340" s="30" t="s">
        <v>42</v>
      </c>
      <c r="D340" s="30"/>
      <c r="E340" s="30"/>
      <c r="F340" s="31" t="s">
        <v>43</v>
      </c>
      <c r="G340" s="33">
        <v>170</v>
      </c>
      <c r="H340" s="33">
        <v>150</v>
      </c>
      <c r="I340" s="34">
        <v>1</v>
      </c>
      <c r="J340" s="461" t="s">
        <v>554</v>
      </c>
      <c r="K340" s="66" t="s">
        <v>77</v>
      </c>
      <c r="L340" s="157" t="s">
        <v>799</v>
      </c>
      <c r="M340" s="30"/>
      <c r="N340" s="323" t="s">
        <v>336</v>
      </c>
      <c r="O340" s="30" t="s">
        <v>72</v>
      </c>
      <c r="P340" s="323" t="s">
        <v>373</v>
      </c>
      <c r="Q340" s="30"/>
      <c r="R340" s="30" t="s">
        <v>354</v>
      </c>
      <c r="S340" s="30" t="s">
        <v>361</v>
      </c>
      <c r="T340" s="29"/>
      <c r="U340" s="316" t="s">
        <v>354</v>
      </c>
      <c r="V340" s="36">
        <v>45596</v>
      </c>
      <c r="W340" s="36">
        <f>V340+15</f>
        <v>45611</v>
      </c>
      <c r="X340" s="36">
        <v>45596</v>
      </c>
      <c r="Y340" s="36">
        <f>X340+15</f>
        <v>45611</v>
      </c>
      <c r="Z340" s="66"/>
      <c r="AA340" s="31"/>
      <c r="AB340" s="31"/>
      <c r="AC340" s="37">
        <v>1</v>
      </c>
      <c r="AD340" s="31"/>
      <c r="AE340" s="36">
        <v>45797</v>
      </c>
      <c r="AF340" s="502">
        <v>45807</v>
      </c>
      <c r="AG340" s="502">
        <v>45803</v>
      </c>
      <c r="AH340" s="36">
        <v>45802</v>
      </c>
      <c r="AI340" s="502">
        <v>45819</v>
      </c>
      <c r="AJ340" s="379">
        <v>45590</v>
      </c>
      <c r="AK340" s="378" t="s">
        <v>657</v>
      </c>
      <c r="AL340" s="36">
        <v>45807</v>
      </c>
      <c r="AM340" s="36">
        <v>45807</v>
      </c>
      <c r="AN340" s="36">
        <v>45785</v>
      </c>
      <c r="AO340" s="36">
        <v>45807</v>
      </c>
      <c r="AP340" s="36"/>
      <c r="AQ340" s="36">
        <v>45807</v>
      </c>
      <c r="AR340" s="36">
        <v>45807</v>
      </c>
      <c r="AS340" s="36">
        <v>45807</v>
      </c>
      <c r="AT340" s="36">
        <v>45813</v>
      </c>
      <c r="AU340" s="150"/>
      <c r="AV340" s="151"/>
      <c r="AW340" s="151"/>
      <c r="AX340" s="151"/>
      <c r="AY340" s="151"/>
    </row>
    <row r="341" spans="1:51" ht="18" customHeight="1">
      <c r="A341" s="40">
        <v>813000</v>
      </c>
      <c r="B341" s="41"/>
      <c r="C341" s="42"/>
      <c r="D341" s="42"/>
      <c r="E341" s="42"/>
      <c r="F341" s="43" t="s">
        <v>48</v>
      </c>
      <c r="G341" s="59"/>
      <c r="H341" s="59"/>
      <c r="I341" s="44"/>
      <c r="J341" s="52"/>
      <c r="K341" s="53"/>
      <c r="L341" s="537"/>
      <c r="M341" s="42"/>
      <c r="N341" s="42"/>
      <c r="O341" s="42"/>
      <c r="P341" s="42"/>
      <c r="Q341" s="42"/>
      <c r="R341" s="42"/>
      <c r="S341" s="42"/>
      <c r="T341" s="41"/>
      <c r="U341" s="42"/>
      <c r="V341" s="116">
        <v>45596</v>
      </c>
      <c r="W341" s="116">
        <v>45615</v>
      </c>
      <c r="X341" s="116">
        <v>45597</v>
      </c>
      <c r="Y341" s="53">
        <v>45615</v>
      </c>
      <c r="Z341" s="43"/>
      <c r="AA341" s="43"/>
      <c r="AB341" s="43"/>
      <c r="AC341" s="54"/>
      <c r="AD341" s="43"/>
      <c r="AE341" s="46">
        <v>45796</v>
      </c>
      <c r="AF341" s="46">
        <v>45803</v>
      </c>
      <c r="AG341" s="46">
        <v>45803</v>
      </c>
      <c r="AH341" s="46">
        <v>45802</v>
      </c>
      <c r="AI341" s="304">
        <v>45818</v>
      </c>
      <c r="AJ341" s="116">
        <v>45590</v>
      </c>
      <c r="AK341" s="366">
        <v>45526</v>
      </c>
      <c r="AL341" s="46">
        <v>45807</v>
      </c>
      <c r="AM341" s="46">
        <v>45807</v>
      </c>
      <c r="AN341" s="46">
        <v>45769</v>
      </c>
      <c r="AO341" s="46">
        <v>45807</v>
      </c>
      <c r="AP341" s="46"/>
      <c r="AQ341" s="46">
        <v>45807</v>
      </c>
      <c r="AR341" s="46">
        <v>45807</v>
      </c>
      <c r="AS341" s="46">
        <v>45807</v>
      </c>
      <c r="AT341" s="46">
        <v>45813</v>
      </c>
      <c r="AU341" s="150"/>
      <c r="AV341" s="151"/>
      <c r="AW341" s="151"/>
      <c r="AX341" s="151"/>
      <c r="AY341" s="151"/>
    </row>
    <row r="342" spans="1:51" ht="18.75" customHeight="1">
      <c r="A342" s="149">
        <v>813065</v>
      </c>
      <c r="B342" s="29" t="s">
        <v>636</v>
      </c>
      <c r="C342" s="30" t="s">
        <v>42</v>
      </c>
      <c r="D342" s="30"/>
      <c r="E342" s="30"/>
      <c r="F342" s="31" t="s">
        <v>43</v>
      </c>
      <c r="G342" s="33">
        <v>110</v>
      </c>
      <c r="H342" s="33">
        <v>275</v>
      </c>
      <c r="I342" s="34">
        <v>4</v>
      </c>
      <c r="J342" s="466" t="s">
        <v>637</v>
      </c>
      <c r="K342" s="31" t="s">
        <v>45</v>
      </c>
      <c r="L342" s="161" t="s">
        <v>803</v>
      </c>
      <c r="M342" s="30"/>
      <c r="N342" s="309" t="s">
        <v>336</v>
      </c>
      <c r="O342" s="309"/>
      <c r="P342" s="309" t="s">
        <v>645</v>
      </c>
      <c r="Q342" s="30"/>
      <c r="R342" s="30" t="s">
        <v>354</v>
      </c>
      <c r="S342" s="30" t="s">
        <v>361</v>
      </c>
      <c r="T342" s="29"/>
      <c r="U342" s="316" t="s">
        <v>354</v>
      </c>
      <c r="V342" s="36">
        <v>45683</v>
      </c>
      <c r="W342" s="36">
        <f>V342+15</f>
        <v>45698</v>
      </c>
      <c r="X342" s="36">
        <v>46068</v>
      </c>
      <c r="Y342" s="36">
        <f>X342+15</f>
        <v>46083</v>
      </c>
      <c r="Z342" s="31"/>
      <c r="AA342" s="31"/>
      <c r="AB342" s="31"/>
      <c r="AC342" s="37"/>
      <c r="AD342" s="31"/>
      <c r="AE342" s="36">
        <v>45803</v>
      </c>
      <c r="AF342" s="36">
        <v>45807</v>
      </c>
      <c r="AG342" s="36">
        <v>45807</v>
      </c>
      <c r="AH342" s="36">
        <v>45807</v>
      </c>
      <c r="AI342" s="524">
        <v>45841</v>
      </c>
      <c r="AJ342" s="36">
        <v>45630</v>
      </c>
      <c r="AK342" s="36">
        <v>45659</v>
      </c>
      <c r="AL342" s="36">
        <v>45813</v>
      </c>
      <c r="AM342" s="36">
        <v>45813</v>
      </c>
      <c r="AN342" s="36">
        <v>45786</v>
      </c>
      <c r="AO342" s="36">
        <v>45813</v>
      </c>
      <c r="AP342" s="36"/>
      <c r="AQ342" s="36">
        <v>45813</v>
      </c>
      <c r="AR342" s="36">
        <v>45813</v>
      </c>
      <c r="AS342" s="36">
        <v>45813</v>
      </c>
      <c r="AT342" s="36">
        <v>45816</v>
      </c>
      <c r="AU342" s="150"/>
      <c r="AV342" s="151"/>
      <c r="AW342" s="151"/>
      <c r="AX342" s="151"/>
      <c r="AY342" s="151"/>
    </row>
    <row r="343" spans="1:51" ht="16.5" customHeight="1" thickBot="1">
      <c r="A343" s="40">
        <v>813065</v>
      </c>
      <c r="B343" s="41"/>
      <c r="C343" s="42"/>
      <c r="D343" s="42"/>
      <c r="E343" s="42"/>
      <c r="F343" s="43" t="s">
        <v>48</v>
      </c>
      <c r="G343" s="59"/>
      <c r="H343" s="59"/>
      <c r="I343" s="44"/>
      <c r="J343" s="52"/>
      <c r="K343" s="53"/>
      <c r="L343" s="537"/>
      <c r="M343" s="42"/>
      <c r="N343" s="42"/>
      <c r="O343" s="42"/>
      <c r="P343" s="42"/>
      <c r="Q343" s="42"/>
      <c r="R343" s="42"/>
      <c r="S343" s="42"/>
      <c r="T343" s="41"/>
      <c r="U343" s="42"/>
      <c r="V343" s="116">
        <v>45667</v>
      </c>
      <c r="W343" s="116"/>
      <c r="X343" s="116">
        <v>45678</v>
      </c>
      <c r="Y343" s="53"/>
      <c r="Z343" s="43"/>
      <c r="AA343" s="43"/>
      <c r="AB343" s="43"/>
      <c r="AC343" s="54"/>
      <c r="AD343" s="43"/>
      <c r="AE343" s="46">
        <v>45803</v>
      </c>
      <c r="AF343" s="46">
        <v>45807</v>
      </c>
      <c r="AG343" s="46">
        <v>45807</v>
      </c>
      <c r="AH343" s="46">
        <v>45807</v>
      </c>
      <c r="AI343" s="46"/>
      <c r="AJ343" s="46">
        <v>45630</v>
      </c>
      <c r="AK343" s="46">
        <v>45659</v>
      </c>
      <c r="AL343" s="46">
        <v>45813</v>
      </c>
      <c r="AM343" s="46">
        <v>45815</v>
      </c>
      <c r="AN343" s="46">
        <v>45814</v>
      </c>
      <c r="AO343" s="46">
        <v>45813</v>
      </c>
      <c r="AP343" s="46"/>
      <c r="AQ343" s="46">
        <v>45813</v>
      </c>
      <c r="AR343" s="46">
        <v>45814</v>
      </c>
      <c r="AS343" s="46">
        <v>45814</v>
      </c>
      <c r="AT343" s="46">
        <v>45833</v>
      </c>
      <c r="AU343" s="194"/>
      <c r="AV343" s="151"/>
      <c r="AW343" s="151"/>
      <c r="AX343" s="151"/>
      <c r="AY343" s="151"/>
    </row>
    <row r="344" spans="1:51" ht="16.5" customHeight="1" thickBot="1">
      <c r="A344" s="364"/>
      <c r="B344" s="364"/>
      <c r="C344" s="364"/>
      <c r="D344" s="364"/>
      <c r="E344" s="364"/>
      <c r="F344" s="364"/>
      <c r="G344" s="364"/>
      <c r="H344" s="364"/>
      <c r="I344" s="364"/>
      <c r="J344" s="364"/>
      <c r="K344" s="364"/>
      <c r="L344" s="364"/>
      <c r="M344" s="364"/>
      <c r="N344" s="364"/>
      <c r="O344" s="364"/>
      <c r="P344" s="364"/>
      <c r="Q344" s="364"/>
      <c r="R344" s="364"/>
      <c r="S344" s="364"/>
      <c r="T344" s="364"/>
      <c r="U344" s="364"/>
      <c r="V344" s="364"/>
      <c r="W344" s="364"/>
      <c r="X344" s="364"/>
      <c r="Y344" s="364"/>
      <c r="Z344" s="364"/>
      <c r="AA344" s="364"/>
      <c r="AB344" s="364"/>
      <c r="AC344" s="364"/>
      <c r="AD344" s="364"/>
      <c r="AE344" s="364"/>
      <c r="AF344" s="364"/>
      <c r="AG344" s="364"/>
      <c r="AH344" s="364"/>
      <c r="AI344" s="364"/>
      <c r="AJ344" s="364"/>
      <c r="AK344" s="364" t="s">
        <v>700</v>
      </c>
      <c r="AL344" s="364"/>
      <c r="AM344" s="364"/>
      <c r="AN344" s="364"/>
      <c r="AO344" s="364"/>
      <c r="AP344" s="364"/>
      <c r="AQ344" s="364"/>
      <c r="AR344" s="364"/>
      <c r="AS344" s="364"/>
      <c r="AT344" s="364"/>
      <c r="AU344" s="371"/>
      <c r="AV344" s="27"/>
      <c r="AW344" s="27"/>
      <c r="AX344" s="27"/>
      <c r="AY344" s="27"/>
    </row>
    <row r="345" spans="1:51" ht="18.75" customHeight="1">
      <c r="A345" s="160">
        <v>813130</v>
      </c>
      <c r="B345" s="29" t="s">
        <v>692</v>
      </c>
      <c r="C345" s="30" t="s">
        <v>173</v>
      </c>
      <c r="D345" s="153">
        <v>1</v>
      </c>
      <c r="E345" s="30"/>
      <c r="F345" s="31" t="s">
        <v>43</v>
      </c>
      <c r="G345" s="33">
        <v>334</v>
      </c>
      <c r="H345" s="33">
        <v>500</v>
      </c>
      <c r="I345" s="34">
        <v>3</v>
      </c>
      <c r="J345" s="519" t="s">
        <v>691</v>
      </c>
      <c r="K345" s="31" t="s">
        <v>231</v>
      </c>
      <c r="L345" s="161" t="s">
        <v>802</v>
      </c>
      <c r="M345" s="30"/>
      <c r="N345" s="30" t="s">
        <v>336</v>
      </c>
      <c r="O345" s="30"/>
      <c r="P345" s="30" t="s">
        <v>714</v>
      </c>
      <c r="Q345" s="30"/>
      <c r="R345" s="30"/>
      <c r="S345" s="30"/>
      <c r="T345" s="29"/>
      <c r="U345" s="316" t="s">
        <v>354</v>
      </c>
      <c r="V345" s="36"/>
      <c r="W345" s="36"/>
      <c r="X345" s="36"/>
      <c r="Y345" s="36"/>
      <c r="Z345" s="31"/>
      <c r="AA345" s="31"/>
      <c r="AB345" s="31"/>
      <c r="AC345" s="37"/>
      <c r="AD345" s="31"/>
      <c r="AE345" s="36">
        <v>45811</v>
      </c>
      <c r="AF345" s="36">
        <v>45814</v>
      </c>
      <c r="AG345" s="36">
        <v>45814</v>
      </c>
      <c r="AH345" s="36">
        <v>45814</v>
      </c>
      <c r="AI345" s="36">
        <v>45823</v>
      </c>
      <c r="AJ345" s="36">
        <v>45767</v>
      </c>
      <c r="AK345" s="36">
        <v>45767</v>
      </c>
      <c r="AL345" s="36">
        <v>45823</v>
      </c>
      <c r="AM345" s="36">
        <v>45823</v>
      </c>
      <c r="AN345" s="36">
        <v>45803</v>
      </c>
      <c r="AO345" s="36">
        <v>45823</v>
      </c>
      <c r="AP345" s="36"/>
      <c r="AQ345" s="36">
        <v>45823</v>
      </c>
      <c r="AR345" s="36">
        <v>45823</v>
      </c>
      <c r="AS345" s="36">
        <v>45823</v>
      </c>
      <c r="AT345" s="36">
        <v>45826</v>
      </c>
      <c r="AU345" s="637" t="s">
        <v>723</v>
      </c>
      <c r="AV345" s="151"/>
      <c r="AW345" s="151"/>
      <c r="AX345" s="151"/>
      <c r="AY345" s="151"/>
    </row>
    <row r="346" spans="1:51" ht="18" customHeight="1">
      <c r="A346" s="40">
        <v>813130</v>
      </c>
      <c r="B346" s="41"/>
      <c r="C346" s="42">
        <v>813046</v>
      </c>
      <c r="D346" s="42"/>
      <c r="E346" s="42"/>
      <c r="F346" s="43" t="s">
        <v>48</v>
      </c>
      <c r="G346" s="59"/>
      <c r="H346" s="59"/>
      <c r="I346" s="44"/>
      <c r="J346" s="52"/>
      <c r="K346" s="53" t="s">
        <v>700</v>
      </c>
      <c r="L346" s="537"/>
      <c r="M346" s="42"/>
      <c r="N346" s="42"/>
      <c r="O346" s="42"/>
      <c r="P346" s="42"/>
      <c r="Q346" s="42"/>
      <c r="R346" s="42"/>
      <c r="S346" s="42"/>
      <c r="T346" s="41"/>
      <c r="U346" s="42"/>
      <c r="V346" s="116"/>
      <c r="W346" s="116"/>
      <c r="X346" s="116"/>
      <c r="Y346" s="116"/>
      <c r="Z346" s="43"/>
      <c r="AA346" s="43"/>
      <c r="AB346" s="43"/>
      <c r="AC346" s="54"/>
      <c r="AD346" s="43"/>
      <c r="AE346" s="46">
        <v>45811</v>
      </c>
      <c r="AF346" s="46">
        <v>45818</v>
      </c>
      <c r="AG346" s="46">
        <v>45812</v>
      </c>
      <c r="AH346" s="46">
        <v>45812</v>
      </c>
      <c r="AI346" s="46">
        <v>45826</v>
      </c>
      <c r="AJ346" s="46">
        <v>45735</v>
      </c>
      <c r="AK346" s="46">
        <v>45735</v>
      </c>
      <c r="AL346" s="46">
        <v>45823</v>
      </c>
      <c r="AM346" s="46">
        <v>45820</v>
      </c>
      <c r="AN346" s="46">
        <v>45803</v>
      </c>
      <c r="AO346" s="46">
        <v>45823</v>
      </c>
      <c r="AP346" s="46"/>
      <c r="AQ346" s="46">
        <v>45823</v>
      </c>
      <c r="AR346" s="46">
        <v>45824</v>
      </c>
      <c r="AS346" s="46">
        <v>45823</v>
      </c>
      <c r="AT346" s="46">
        <v>45826</v>
      </c>
      <c r="AU346" s="638"/>
      <c r="AV346" s="151"/>
      <c r="AW346" s="151"/>
      <c r="AX346" s="151"/>
      <c r="AY346" s="151"/>
    </row>
    <row r="347" spans="1:51" ht="19.5" customHeight="1">
      <c r="A347" s="340">
        <v>813005</v>
      </c>
      <c r="B347" s="29">
        <v>813005</v>
      </c>
      <c r="C347" s="30" t="s">
        <v>42</v>
      </c>
      <c r="D347" s="30"/>
      <c r="E347" s="30"/>
      <c r="F347" s="31" t="s">
        <v>43</v>
      </c>
      <c r="G347" s="33">
        <v>510</v>
      </c>
      <c r="H347" s="33">
        <v>525</v>
      </c>
      <c r="I347" s="34">
        <v>1</v>
      </c>
      <c r="J347" s="454" t="s">
        <v>558</v>
      </c>
      <c r="K347" s="66" t="s">
        <v>45</v>
      </c>
      <c r="L347" s="157" t="s">
        <v>799</v>
      </c>
      <c r="M347" s="30"/>
      <c r="N347" s="323" t="s">
        <v>564</v>
      </c>
      <c r="O347" s="30"/>
      <c r="P347" s="323" t="s">
        <v>412</v>
      </c>
      <c r="Q347" s="323" t="s">
        <v>381</v>
      </c>
      <c r="R347" s="30" t="s">
        <v>354</v>
      </c>
      <c r="S347" s="30" t="s">
        <v>361</v>
      </c>
      <c r="T347" s="29"/>
      <c r="U347" s="316" t="s">
        <v>354</v>
      </c>
      <c r="V347" s="36">
        <v>45596</v>
      </c>
      <c r="W347" s="36">
        <f>V347+15</f>
        <v>45611</v>
      </c>
      <c r="X347" s="36">
        <v>45596</v>
      </c>
      <c r="Y347" s="36">
        <f>X347+15</f>
        <v>45611</v>
      </c>
      <c r="Z347" s="66"/>
      <c r="AA347" s="31"/>
      <c r="AB347" s="31"/>
      <c r="AC347" s="37"/>
      <c r="AD347" s="31"/>
      <c r="AE347" s="36">
        <v>45814</v>
      </c>
      <c r="AF347" s="36">
        <v>45818</v>
      </c>
      <c r="AG347" s="36">
        <v>45818</v>
      </c>
      <c r="AH347" s="36">
        <v>45818</v>
      </c>
      <c r="AI347" s="173" t="s">
        <v>769</v>
      </c>
      <c r="AJ347" s="36">
        <v>45543</v>
      </c>
      <c r="AK347" s="36">
        <v>45545</v>
      </c>
      <c r="AL347" s="36">
        <v>45693</v>
      </c>
      <c r="AM347" s="36">
        <v>45828</v>
      </c>
      <c r="AN347" s="36">
        <v>45789</v>
      </c>
      <c r="AO347" s="36">
        <v>45833</v>
      </c>
      <c r="AP347" s="36"/>
      <c r="AQ347" s="36">
        <v>45833</v>
      </c>
      <c r="AR347" s="51">
        <v>45838</v>
      </c>
      <c r="AS347" s="51">
        <v>45841</v>
      </c>
      <c r="AT347" s="51">
        <v>45843</v>
      </c>
      <c r="AU347" s="638"/>
      <c r="AV347" s="151"/>
      <c r="AW347" s="151"/>
      <c r="AX347" s="151"/>
      <c r="AY347" s="151"/>
    </row>
    <row r="348" spans="1:51" ht="24" customHeight="1">
      <c r="A348" s="40">
        <v>813005</v>
      </c>
      <c r="B348" s="41"/>
      <c r="C348" s="42"/>
      <c r="D348" s="42"/>
      <c r="E348" s="42"/>
      <c r="F348" s="43" t="s">
        <v>48</v>
      </c>
      <c r="G348" s="59"/>
      <c r="H348" s="59"/>
      <c r="I348" s="44"/>
      <c r="J348" s="52"/>
      <c r="K348" s="53"/>
      <c r="L348" s="537"/>
      <c r="M348" s="42"/>
      <c r="N348" s="42"/>
      <c r="O348" s="42"/>
      <c r="P348" s="42"/>
      <c r="Q348" s="42"/>
      <c r="R348" s="42"/>
      <c r="S348" s="42"/>
      <c r="T348" s="41"/>
      <c r="U348" s="42"/>
      <c r="V348" s="116">
        <v>45672</v>
      </c>
      <c r="W348" s="116">
        <v>45770</v>
      </c>
      <c r="X348" s="116">
        <v>45674</v>
      </c>
      <c r="Y348" s="116"/>
      <c r="Z348" s="43"/>
      <c r="AA348" s="43"/>
      <c r="AB348" s="43"/>
      <c r="AC348" s="54"/>
      <c r="AD348" s="43"/>
      <c r="AE348" s="46">
        <v>45814</v>
      </c>
      <c r="AF348" s="46">
        <v>45822</v>
      </c>
      <c r="AG348" s="46">
        <v>45818</v>
      </c>
      <c r="AH348" s="46">
        <v>45818</v>
      </c>
      <c r="AI348" s="46">
        <v>45854</v>
      </c>
      <c r="AJ348" s="46">
        <v>45543</v>
      </c>
      <c r="AK348" s="46" t="s">
        <v>633</v>
      </c>
      <c r="AL348" s="46">
        <v>45693</v>
      </c>
      <c r="AM348" s="46">
        <v>45828</v>
      </c>
      <c r="AN348" s="46">
        <v>45789</v>
      </c>
      <c r="AO348" s="46">
        <v>45833</v>
      </c>
      <c r="AP348" s="46"/>
      <c r="AQ348" s="46">
        <v>45833</v>
      </c>
      <c r="AR348" s="46">
        <v>45838</v>
      </c>
      <c r="AS348" s="46">
        <v>45841</v>
      </c>
      <c r="AT348" s="46">
        <v>45843</v>
      </c>
      <c r="AU348" s="638"/>
      <c r="AV348" s="151"/>
      <c r="AW348" s="151"/>
      <c r="AX348" s="151"/>
      <c r="AY348" s="151"/>
    </row>
    <row r="349" spans="1:51" ht="19.5" customHeight="1">
      <c r="A349" s="209">
        <v>812855</v>
      </c>
      <c r="B349" s="177" t="s">
        <v>447</v>
      </c>
      <c r="C349" s="30" t="s">
        <v>42</v>
      </c>
      <c r="D349" s="30"/>
      <c r="E349" s="30"/>
      <c r="F349" s="31" t="s">
        <v>43</v>
      </c>
      <c r="G349" s="50">
        <v>240</v>
      </c>
      <c r="H349" s="50">
        <v>220</v>
      </c>
      <c r="I349" s="34">
        <v>2</v>
      </c>
      <c r="J349" s="523" t="s">
        <v>448</v>
      </c>
      <c r="K349" s="81" t="s">
        <v>522</v>
      </c>
      <c r="L349" s="538" t="s">
        <v>802</v>
      </c>
      <c r="M349" s="178"/>
      <c r="N349" s="316" t="s">
        <v>336</v>
      </c>
      <c r="O349" s="178" t="s">
        <v>516</v>
      </c>
      <c r="P349" s="316" t="s">
        <v>418</v>
      </c>
      <c r="Q349" s="178"/>
      <c r="R349" s="178" t="s">
        <v>354</v>
      </c>
      <c r="S349" s="178" t="s">
        <v>354</v>
      </c>
      <c r="T349" s="332"/>
      <c r="U349" s="323" t="s">
        <v>354</v>
      </c>
      <c r="V349" s="36">
        <v>45484</v>
      </c>
      <c r="W349" s="36"/>
      <c r="X349" s="36"/>
      <c r="Y349" s="36"/>
      <c r="Z349" s="161"/>
      <c r="AA349" s="31"/>
      <c r="AB349" s="31"/>
      <c r="AC349" s="37"/>
      <c r="AD349" s="31"/>
      <c r="AE349" s="36">
        <v>45817</v>
      </c>
      <c r="AF349" s="36">
        <v>45824</v>
      </c>
      <c r="AG349" s="36">
        <v>45824</v>
      </c>
      <c r="AH349" s="36">
        <v>45824</v>
      </c>
      <c r="AI349" s="173">
        <v>45840</v>
      </c>
      <c r="AJ349" s="36">
        <v>45476</v>
      </c>
      <c r="AK349" s="36">
        <v>45539</v>
      </c>
      <c r="AL349" s="36">
        <v>45833</v>
      </c>
      <c r="AM349" s="36">
        <v>45833</v>
      </c>
      <c r="AN349" s="36">
        <v>45797</v>
      </c>
      <c r="AO349" s="36">
        <v>45833</v>
      </c>
      <c r="AP349" s="36"/>
      <c r="AQ349" s="36">
        <v>45833</v>
      </c>
      <c r="AR349" s="36">
        <v>45833</v>
      </c>
      <c r="AS349" s="36">
        <v>45833</v>
      </c>
      <c r="AT349" s="36">
        <v>45836</v>
      </c>
      <c r="AU349" s="638"/>
      <c r="AV349" s="151"/>
      <c r="AW349" s="151"/>
      <c r="AX349" s="151"/>
      <c r="AY349" s="151"/>
    </row>
    <row r="350" spans="1:51" ht="18.75" customHeight="1">
      <c r="A350" s="180">
        <v>812855</v>
      </c>
      <c r="B350" s="528"/>
      <c r="C350" s="182"/>
      <c r="D350" s="182"/>
      <c r="E350" s="182"/>
      <c r="F350" s="43" t="s">
        <v>48</v>
      </c>
      <c r="G350" s="183"/>
      <c r="H350" s="183"/>
      <c r="I350" s="184"/>
      <c r="J350" s="429"/>
      <c r="K350" s="53"/>
      <c r="L350" s="537"/>
      <c r="M350" s="185"/>
      <c r="N350" s="185"/>
      <c r="O350" s="185"/>
      <c r="P350" s="185"/>
      <c r="Q350" s="185"/>
      <c r="R350" s="185"/>
      <c r="S350" s="185"/>
      <c r="T350" s="181"/>
      <c r="U350" s="185"/>
      <c r="V350" s="116">
        <v>45484</v>
      </c>
      <c r="W350" s="116"/>
      <c r="X350" s="116"/>
      <c r="Y350" s="116"/>
      <c r="Z350" s="158"/>
      <c r="AA350" s="43"/>
      <c r="AB350" s="43"/>
      <c r="AC350" s="54"/>
      <c r="AD350" s="43"/>
      <c r="AE350" s="46">
        <v>45821</v>
      </c>
      <c r="AF350" s="46">
        <v>45831</v>
      </c>
      <c r="AG350" s="46" t="s">
        <v>765</v>
      </c>
      <c r="AH350" s="46">
        <v>45827</v>
      </c>
      <c r="AI350" s="46">
        <v>45136</v>
      </c>
      <c r="AJ350" s="46">
        <v>45461</v>
      </c>
      <c r="AK350" s="46">
        <v>45530</v>
      </c>
      <c r="AL350" s="46">
        <v>45833</v>
      </c>
      <c r="AM350" s="46">
        <v>45833</v>
      </c>
      <c r="AN350" s="46">
        <v>45818</v>
      </c>
      <c r="AO350" s="46">
        <v>45833</v>
      </c>
      <c r="AP350" s="46"/>
      <c r="AQ350" s="46">
        <v>45833</v>
      </c>
      <c r="AR350" s="46">
        <v>45831</v>
      </c>
      <c r="AS350" s="46">
        <v>45833</v>
      </c>
      <c r="AT350" s="46">
        <v>45836</v>
      </c>
      <c r="AU350" s="638"/>
      <c r="AV350" s="151"/>
      <c r="AW350" s="151"/>
      <c r="AX350" s="151"/>
      <c r="AY350" s="151"/>
    </row>
    <row r="351" spans="1:51" ht="18.75" customHeight="1">
      <c r="A351" s="149">
        <v>813151</v>
      </c>
      <c r="B351" s="491" t="s">
        <v>752</v>
      </c>
      <c r="C351" s="30" t="s">
        <v>42</v>
      </c>
      <c r="D351" s="30"/>
      <c r="E351" s="30"/>
      <c r="F351" s="31" t="s">
        <v>43</v>
      </c>
      <c r="G351" s="33">
        <v>180</v>
      </c>
      <c r="H351" s="33">
        <v>220</v>
      </c>
      <c r="I351" s="34">
        <v>2</v>
      </c>
      <c r="J351" s="518" t="s">
        <v>744</v>
      </c>
      <c r="K351" s="31" t="s">
        <v>327</v>
      </c>
      <c r="L351" s="161" t="s">
        <v>804</v>
      </c>
      <c r="M351" s="30"/>
      <c r="N351" s="30" t="s">
        <v>643</v>
      </c>
      <c r="O351" s="30"/>
      <c r="P351" s="309" t="s">
        <v>474</v>
      </c>
      <c r="Q351" s="30"/>
      <c r="R351" s="30"/>
      <c r="S351" s="30"/>
      <c r="T351" s="29"/>
      <c r="U351" s="316" t="s">
        <v>354</v>
      </c>
      <c r="V351" s="36">
        <v>45768</v>
      </c>
      <c r="W351" s="36"/>
      <c r="X351" s="36">
        <v>45768</v>
      </c>
      <c r="Y351" s="36"/>
      <c r="Z351" s="31" t="s">
        <v>72</v>
      </c>
      <c r="AA351" s="31" t="s">
        <v>72</v>
      </c>
      <c r="AB351" s="31" t="s">
        <v>699</v>
      </c>
      <c r="AC351" s="37"/>
      <c r="AD351" s="31" t="s">
        <v>72</v>
      </c>
      <c r="AE351" s="36">
        <v>45824</v>
      </c>
      <c r="AF351" s="36">
        <v>45830</v>
      </c>
      <c r="AG351" s="36">
        <v>45831</v>
      </c>
      <c r="AH351" s="36">
        <v>45831</v>
      </c>
      <c r="AI351" s="173">
        <v>45838</v>
      </c>
      <c r="AJ351" s="36">
        <v>45757</v>
      </c>
      <c r="AK351" s="36">
        <v>45757</v>
      </c>
      <c r="AL351" s="36">
        <v>45835</v>
      </c>
      <c r="AM351" s="36">
        <v>45835</v>
      </c>
      <c r="AN351" s="36">
        <v>45792</v>
      </c>
      <c r="AO351" s="36">
        <v>45835</v>
      </c>
      <c r="AP351" s="36"/>
      <c r="AQ351" s="36">
        <v>45835</v>
      </c>
      <c r="AR351" s="51">
        <v>45842</v>
      </c>
      <c r="AS351" s="51">
        <v>45845</v>
      </c>
      <c r="AT351" s="51">
        <v>45845</v>
      </c>
      <c r="AU351" s="638"/>
      <c r="AV351" s="151"/>
      <c r="AW351" s="151"/>
      <c r="AX351" s="151"/>
      <c r="AY351" s="151"/>
    </row>
    <row r="352" spans="1:51" ht="18" customHeight="1">
      <c r="A352" s="40">
        <v>813152</v>
      </c>
      <c r="B352" s="492" t="s">
        <v>509</v>
      </c>
      <c r="C352" s="42"/>
      <c r="D352" s="42"/>
      <c r="E352" s="42"/>
      <c r="F352" s="43" t="s">
        <v>48</v>
      </c>
      <c r="G352" s="59"/>
      <c r="H352" s="59"/>
      <c r="I352" s="44"/>
      <c r="J352" s="52"/>
      <c r="K352" s="53"/>
      <c r="L352" s="537"/>
      <c r="M352" s="42"/>
      <c r="N352" s="42"/>
      <c r="O352" s="42"/>
      <c r="P352" s="42"/>
      <c r="Q352" s="42"/>
      <c r="R352" s="42"/>
      <c r="S352" s="42"/>
      <c r="T352" s="41"/>
      <c r="U352" s="42"/>
      <c r="V352" s="116">
        <v>45768</v>
      </c>
      <c r="W352" s="116"/>
      <c r="X352" s="116"/>
      <c r="Y352" s="116"/>
      <c r="Z352" s="43"/>
      <c r="AA352" s="43"/>
      <c r="AB352" s="43"/>
      <c r="AC352" s="54"/>
      <c r="AD352" s="43"/>
      <c r="AE352" s="46">
        <v>45825</v>
      </c>
      <c r="AF352" s="46">
        <v>45830</v>
      </c>
      <c r="AG352" s="46" t="s">
        <v>766</v>
      </c>
      <c r="AH352" s="46" t="s">
        <v>767</v>
      </c>
      <c r="AI352" s="46">
        <v>45838</v>
      </c>
      <c r="AJ352" s="46">
        <v>45757</v>
      </c>
      <c r="AK352" s="46">
        <v>45757</v>
      </c>
      <c r="AL352" s="46">
        <v>45835</v>
      </c>
      <c r="AM352" s="46">
        <v>45835</v>
      </c>
      <c r="AN352" s="46">
        <v>45762</v>
      </c>
      <c r="AO352" s="46">
        <v>45865</v>
      </c>
      <c r="AP352" s="46"/>
      <c r="AQ352" s="46">
        <v>45865</v>
      </c>
      <c r="AR352" s="46">
        <v>45843</v>
      </c>
      <c r="AS352" s="46">
        <v>45845</v>
      </c>
      <c r="AT352" s="46">
        <v>45845</v>
      </c>
      <c r="AU352" s="638"/>
      <c r="AV352" s="151"/>
      <c r="AW352" s="151"/>
      <c r="AX352" s="151"/>
      <c r="AY352" s="151"/>
    </row>
    <row r="353" spans="1:51" ht="18.75" customHeight="1">
      <c r="A353" s="149">
        <v>813157</v>
      </c>
      <c r="B353" s="491" t="s">
        <v>718</v>
      </c>
      <c r="C353" s="30" t="s">
        <v>42</v>
      </c>
      <c r="D353" s="30"/>
      <c r="E353" s="30"/>
      <c r="F353" s="31" t="s">
        <v>43</v>
      </c>
      <c r="G353" s="33">
        <v>90</v>
      </c>
      <c r="H353" s="33">
        <v>500</v>
      </c>
      <c r="I353" s="34">
        <v>2</v>
      </c>
      <c r="J353" s="510" t="s">
        <v>719</v>
      </c>
      <c r="K353" s="31" t="s">
        <v>108</v>
      </c>
      <c r="L353" s="161" t="s">
        <v>801</v>
      </c>
      <c r="M353" s="30"/>
      <c r="N353" s="30" t="s">
        <v>361</v>
      </c>
      <c r="O353" s="30"/>
      <c r="P353" s="30" t="s">
        <v>480</v>
      </c>
      <c r="Q353" s="30"/>
      <c r="R353" s="30" t="s">
        <v>354</v>
      </c>
      <c r="S353" s="30" t="s">
        <v>354</v>
      </c>
      <c r="T353" s="29"/>
      <c r="U353" s="323" t="s">
        <v>354</v>
      </c>
      <c r="V353" s="36">
        <v>45824</v>
      </c>
      <c r="W353" s="36">
        <f>V353+30</f>
        <v>45854</v>
      </c>
      <c r="X353" s="36">
        <v>45803</v>
      </c>
      <c r="Y353" s="36">
        <f>X353+30</f>
        <v>45833</v>
      </c>
      <c r="Z353" s="31"/>
      <c r="AA353" s="31"/>
      <c r="AB353" s="31"/>
      <c r="AC353" s="37"/>
      <c r="AD353" s="31"/>
      <c r="AE353" s="51">
        <v>45838</v>
      </c>
      <c r="AF353" s="51">
        <v>45838</v>
      </c>
      <c r="AG353" s="51">
        <v>45838</v>
      </c>
      <c r="AH353" s="51">
        <v>45838</v>
      </c>
      <c r="AI353" s="173" t="s">
        <v>768</v>
      </c>
      <c r="AJ353" s="36" t="s">
        <v>81</v>
      </c>
      <c r="AK353" s="36">
        <v>45777</v>
      </c>
      <c r="AL353" s="36">
        <v>45838</v>
      </c>
      <c r="AM353" s="36">
        <v>45838</v>
      </c>
      <c r="AN353" s="36">
        <v>45813</v>
      </c>
      <c r="AO353" s="51">
        <v>45838</v>
      </c>
      <c r="AP353" s="51"/>
      <c r="AQ353" s="51">
        <v>45838</v>
      </c>
      <c r="AR353" s="51">
        <v>45840</v>
      </c>
      <c r="AS353" s="51">
        <v>45842</v>
      </c>
      <c r="AT353" s="51">
        <v>45845</v>
      </c>
      <c r="AU353" s="638"/>
      <c r="AV353" s="151"/>
      <c r="AW353" s="151"/>
      <c r="AX353" s="151"/>
      <c r="AY353" s="151"/>
    </row>
    <row r="354" spans="1:51" ht="18" customHeight="1" thickBot="1">
      <c r="A354" s="40">
        <v>813057</v>
      </c>
      <c r="B354" s="41"/>
      <c r="C354" s="42"/>
      <c r="D354" s="42"/>
      <c r="E354" s="42"/>
      <c r="F354" s="43" t="s">
        <v>48</v>
      </c>
      <c r="G354" s="59"/>
      <c r="H354" s="59"/>
      <c r="I354" s="44"/>
      <c r="J354" s="52"/>
      <c r="K354" s="53"/>
      <c r="L354" s="537"/>
      <c r="M354" s="42"/>
      <c r="N354" s="42"/>
      <c r="O354" s="42"/>
      <c r="P354" s="42"/>
      <c r="Q354" s="42"/>
      <c r="R354" s="42"/>
      <c r="S354" s="42"/>
      <c r="T354" s="41"/>
      <c r="U354" s="42"/>
      <c r="V354" s="116">
        <v>45793</v>
      </c>
      <c r="W354" s="116">
        <v>45807</v>
      </c>
      <c r="X354" s="116">
        <v>45803</v>
      </c>
      <c r="Y354" s="116">
        <v>45840</v>
      </c>
      <c r="Z354" s="43"/>
      <c r="AA354" s="43"/>
      <c r="AB354" s="43"/>
      <c r="AC354" s="54"/>
      <c r="AD354" s="43"/>
      <c r="AE354" s="46">
        <v>45843</v>
      </c>
      <c r="AF354" s="46">
        <v>45857</v>
      </c>
      <c r="AG354" s="46">
        <v>45838</v>
      </c>
      <c r="AH354" s="46">
        <v>45840</v>
      </c>
      <c r="AI354" s="46">
        <v>45849</v>
      </c>
      <c r="AJ354" s="46" t="s">
        <v>81</v>
      </c>
      <c r="AK354" s="46">
        <v>45777</v>
      </c>
      <c r="AL354" s="46">
        <v>45837</v>
      </c>
      <c r="AM354" s="46">
        <v>45838</v>
      </c>
      <c r="AN354" s="46">
        <v>45789</v>
      </c>
      <c r="AO354" s="46">
        <v>45837</v>
      </c>
      <c r="AP354" s="46"/>
      <c r="AQ354" s="46">
        <v>45837</v>
      </c>
      <c r="AR354" s="46">
        <v>45839</v>
      </c>
      <c r="AS354" s="46">
        <v>45842</v>
      </c>
      <c r="AT354" s="46">
        <v>46575</v>
      </c>
      <c r="AU354" s="639"/>
      <c r="AV354" s="151"/>
      <c r="AW354" s="151"/>
      <c r="AX354" s="151"/>
      <c r="AY354" s="151"/>
    </row>
    <row r="355" spans="1:51" ht="16.5" customHeight="1" thickBot="1">
      <c r="A355" s="364"/>
      <c r="B355" s="364"/>
      <c r="C355" s="364"/>
      <c r="D355" s="364"/>
      <c r="E355" s="364"/>
      <c r="F355" s="364"/>
      <c r="G355" s="364"/>
      <c r="H355" s="364"/>
      <c r="I355" s="364"/>
      <c r="J355" s="364"/>
      <c r="K355" s="364"/>
      <c r="L355" s="364"/>
      <c r="M355" s="364"/>
      <c r="N355" s="364"/>
      <c r="O355" s="364"/>
      <c r="P355" s="364"/>
      <c r="Q355" s="364"/>
      <c r="R355" s="364"/>
      <c r="S355" s="364"/>
      <c r="T355" s="364"/>
      <c r="U355" s="364"/>
      <c r="V355" s="364"/>
      <c r="W355" s="364"/>
      <c r="X355" s="364"/>
      <c r="Y355" s="364"/>
      <c r="Z355" s="364"/>
      <c r="AA355" s="364"/>
      <c r="AB355" s="364"/>
      <c r="AC355" s="364"/>
      <c r="AD355" s="364"/>
      <c r="AE355" s="364"/>
      <c r="AF355" s="364"/>
      <c r="AG355" s="364"/>
      <c r="AH355" s="364"/>
      <c r="AI355" s="364"/>
      <c r="AJ355" s="364"/>
      <c r="AK355" s="364"/>
      <c r="AL355" s="364"/>
      <c r="AM355" s="364"/>
      <c r="AN355" s="364"/>
      <c r="AO355" s="364"/>
      <c r="AP355" s="364"/>
      <c r="AQ355" s="364"/>
      <c r="AR355" s="364"/>
      <c r="AS355" s="364"/>
      <c r="AT355" s="364"/>
      <c r="AU355" s="371"/>
      <c r="AV355" s="27"/>
      <c r="AW355" s="27"/>
      <c r="AX355" s="27"/>
      <c r="AY355" s="27"/>
    </row>
    <row r="356" spans="1:51" ht="16.5" customHeight="1">
      <c r="A356" s="149">
        <v>812645</v>
      </c>
      <c r="B356" s="29" t="s">
        <v>456</v>
      </c>
      <c r="C356" s="30" t="s">
        <v>55</v>
      </c>
      <c r="D356" s="153">
        <v>0.95</v>
      </c>
      <c r="E356" s="153">
        <v>0.3</v>
      </c>
      <c r="F356" s="31" t="s">
        <v>43</v>
      </c>
      <c r="G356" s="50">
        <v>334</v>
      </c>
      <c r="H356" s="50">
        <v>500</v>
      </c>
      <c r="I356" s="34">
        <v>7</v>
      </c>
      <c r="J356" s="420" t="s">
        <v>209</v>
      </c>
      <c r="K356" s="31" t="s">
        <v>108</v>
      </c>
      <c r="L356" s="161" t="s">
        <v>801</v>
      </c>
      <c r="M356" s="30"/>
      <c r="N356" s="331" t="s">
        <v>336</v>
      </c>
      <c r="O356" s="30"/>
      <c r="P356" s="331" t="s">
        <v>457</v>
      </c>
      <c r="Q356" s="30" t="s">
        <v>458</v>
      </c>
      <c r="R356" s="30" t="s">
        <v>354</v>
      </c>
      <c r="S356" s="30" t="s">
        <v>354</v>
      </c>
      <c r="T356" s="29" t="s">
        <v>459</v>
      </c>
      <c r="U356" s="323" t="s">
        <v>354</v>
      </c>
      <c r="V356" s="36">
        <v>44755</v>
      </c>
      <c r="W356" s="36">
        <v>45015</v>
      </c>
      <c r="X356" s="36">
        <v>44762</v>
      </c>
      <c r="Y356" s="36">
        <v>45015</v>
      </c>
      <c r="Z356" s="161"/>
      <c r="AB356" s="31"/>
      <c r="AC356" s="37"/>
      <c r="AD356" s="31" t="s">
        <v>72</v>
      </c>
      <c r="AE356" s="36">
        <v>45840</v>
      </c>
      <c r="AF356" s="36">
        <v>45843</v>
      </c>
      <c r="AG356" s="36">
        <v>45843</v>
      </c>
      <c r="AH356" s="36">
        <v>45843</v>
      </c>
      <c r="AI356" s="36">
        <v>45848</v>
      </c>
      <c r="AJ356" s="36">
        <v>45631</v>
      </c>
      <c r="AK356" s="36">
        <v>45642</v>
      </c>
      <c r="AL356" s="36">
        <v>45848</v>
      </c>
      <c r="AM356" s="36">
        <v>45848</v>
      </c>
      <c r="AN356" s="36">
        <v>45842</v>
      </c>
      <c r="AO356" s="36">
        <v>45848</v>
      </c>
      <c r="AP356" s="36"/>
      <c r="AQ356" s="36">
        <v>45848</v>
      </c>
      <c r="AR356" s="36">
        <v>45848</v>
      </c>
      <c r="AS356" s="36">
        <v>45848</v>
      </c>
      <c r="AT356" s="36">
        <v>45851</v>
      </c>
      <c r="AU356" s="195"/>
      <c r="AV356" s="27"/>
      <c r="AW356" s="27"/>
      <c r="AX356" s="27"/>
      <c r="AY356" s="27"/>
    </row>
    <row r="357" spans="1:51" ht="16.5" customHeight="1">
      <c r="A357" s="40">
        <v>812645</v>
      </c>
      <c r="B357" s="41"/>
      <c r="C357" s="42">
        <v>813006</v>
      </c>
      <c r="D357" s="42"/>
      <c r="E357" s="42"/>
      <c r="F357" s="43" t="s">
        <v>48</v>
      </c>
      <c r="G357" s="44"/>
      <c r="H357" s="44"/>
      <c r="I357" s="44"/>
      <c r="J357" s="52"/>
      <c r="K357" s="53"/>
      <c r="L357" s="537"/>
      <c r="M357" s="42"/>
      <c r="N357" s="42"/>
      <c r="O357" s="42"/>
      <c r="P357" s="42"/>
      <c r="Q357" s="42"/>
      <c r="R357" s="42"/>
      <c r="S357" s="42"/>
      <c r="T357" s="41"/>
      <c r="U357" s="42"/>
      <c r="V357" s="116">
        <v>44755</v>
      </c>
      <c r="W357" s="116">
        <v>44893</v>
      </c>
      <c r="X357" s="116">
        <v>44756</v>
      </c>
      <c r="Y357" s="116">
        <v>44956</v>
      </c>
      <c r="Z357" s="158"/>
      <c r="AA357" s="43"/>
      <c r="AB357" s="43"/>
      <c r="AC357" s="54"/>
      <c r="AD357" s="43"/>
      <c r="AE357" s="46">
        <v>45843</v>
      </c>
      <c r="AF357" s="46">
        <v>45843</v>
      </c>
      <c r="AG357" s="46">
        <v>45839</v>
      </c>
      <c r="AH357" s="46">
        <v>45839</v>
      </c>
      <c r="AI357" s="46">
        <v>45865</v>
      </c>
      <c r="AJ357" s="46">
        <v>45631</v>
      </c>
      <c r="AK357" s="46">
        <v>45632</v>
      </c>
      <c r="AL357" s="46">
        <v>45847</v>
      </c>
      <c r="AM357" s="46">
        <v>45845</v>
      </c>
      <c r="AN357" s="46">
        <v>45798</v>
      </c>
      <c r="AO357" s="46">
        <v>45847</v>
      </c>
      <c r="AP357" s="46"/>
      <c r="AQ357" s="46">
        <v>45847</v>
      </c>
      <c r="AR357" s="46">
        <v>45848</v>
      </c>
      <c r="AS357" s="36">
        <v>45848</v>
      </c>
      <c r="AT357" s="46">
        <v>45851</v>
      </c>
      <c r="AU357" s="150"/>
      <c r="AV357" s="27"/>
      <c r="AW357" s="27"/>
      <c r="AX357" s="27"/>
      <c r="AY357" s="27"/>
    </row>
    <row r="358" spans="1:51" ht="18.75" customHeight="1">
      <c r="A358" s="149">
        <v>813175</v>
      </c>
      <c r="B358" s="29" t="s">
        <v>733</v>
      </c>
      <c r="C358" s="30" t="s">
        <v>55</v>
      </c>
      <c r="D358" s="153">
        <v>0.95</v>
      </c>
      <c r="E358" s="153">
        <v>0.5</v>
      </c>
      <c r="F358" s="31" t="s">
        <v>43</v>
      </c>
      <c r="G358" s="33">
        <v>334</v>
      </c>
      <c r="H358" s="33">
        <v>500</v>
      </c>
      <c r="I358" s="34">
        <v>3</v>
      </c>
      <c r="J358" s="520" t="s">
        <v>734</v>
      </c>
      <c r="K358" s="31" t="s">
        <v>231</v>
      </c>
      <c r="L358" s="161" t="s">
        <v>802</v>
      </c>
      <c r="M358" s="30"/>
      <c r="N358" s="30"/>
      <c r="O358" s="30"/>
      <c r="P358" s="30"/>
      <c r="Q358" s="30"/>
      <c r="R358" s="30"/>
      <c r="S358" s="30"/>
      <c r="T358" s="29"/>
      <c r="U358" s="30"/>
      <c r="V358" s="35"/>
      <c r="W358" s="35"/>
      <c r="X358" s="35"/>
      <c r="Y358" s="35"/>
      <c r="Z358" s="31"/>
      <c r="AA358" s="31"/>
      <c r="AB358" s="31"/>
      <c r="AC358" s="37"/>
      <c r="AD358" s="31"/>
      <c r="AE358" s="36">
        <v>45842</v>
      </c>
      <c r="AF358" s="36">
        <v>45846</v>
      </c>
      <c r="AG358" s="36">
        <v>45846</v>
      </c>
      <c r="AH358" s="36">
        <v>45846</v>
      </c>
      <c r="AI358" s="36">
        <v>45853</v>
      </c>
      <c r="AJ358" s="36">
        <v>45814</v>
      </c>
      <c r="AK358" s="36">
        <v>45814</v>
      </c>
      <c r="AL358" s="36">
        <v>45853</v>
      </c>
      <c r="AM358" s="36">
        <v>45853</v>
      </c>
      <c r="AN358" s="99">
        <v>45842</v>
      </c>
      <c r="AO358" s="36">
        <v>45853</v>
      </c>
      <c r="AP358" s="36"/>
      <c r="AQ358" s="36">
        <v>45853</v>
      </c>
      <c r="AR358" s="36">
        <v>45853</v>
      </c>
      <c r="AS358" s="36">
        <v>45853</v>
      </c>
      <c r="AT358" s="36">
        <v>45856</v>
      </c>
      <c r="AU358" s="150"/>
      <c r="AV358" s="151"/>
      <c r="AW358" s="151"/>
      <c r="AX358" s="151"/>
      <c r="AY358" s="151"/>
    </row>
    <row r="359" spans="1:51" ht="19.5" customHeight="1">
      <c r="A359" s="40">
        <v>813175</v>
      </c>
      <c r="B359" s="41"/>
      <c r="C359" s="42">
        <v>813046</v>
      </c>
      <c r="D359" s="42"/>
      <c r="E359" s="42"/>
      <c r="F359" s="43" t="s">
        <v>48</v>
      </c>
      <c r="G359" s="59"/>
      <c r="H359" s="59"/>
      <c r="I359" s="44"/>
      <c r="J359" s="52"/>
      <c r="K359" s="53"/>
      <c r="L359" s="537"/>
      <c r="M359" s="42"/>
      <c r="N359" s="42"/>
      <c r="O359" s="42"/>
      <c r="P359" s="42"/>
      <c r="Q359" s="42"/>
      <c r="R359" s="42"/>
      <c r="S359" s="42"/>
      <c r="T359" s="41"/>
      <c r="U359" s="42"/>
      <c r="V359" s="53"/>
      <c r="W359" s="53"/>
      <c r="X359" s="53"/>
      <c r="Y359" s="53"/>
      <c r="Z359" s="43"/>
      <c r="AA359" s="43"/>
      <c r="AB359" s="43"/>
      <c r="AC359" s="54"/>
      <c r="AD359" s="43"/>
      <c r="AE359" s="46">
        <v>45843</v>
      </c>
      <c r="AF359" s="46">
        <v>45843</v>
      </c>
      <c r="AG359" s="46">
        <v>45839</v>
      </c>
      <c r="AH359" s="46">
        <v>45839</v>
      </c>
      <c r="AI359" s="46">
        <v>45856</v>
      </c>
      <c r="AJ359" s="46">
        <v>45814</v>
      </c>
      <c r="AK359" s="46">
        <v>45814</v>
      </c>
      <c r="AL359" s="46">
        <v>45853</v>
      </c>
      <c r="AM359" s="46">
        <v>45853</v>
      </c>
      <c r="AN359" s="46">
        <v>45842</v>
      </c>
      <c r="AO359" s="46">
        <v>45853</v>
      </c>
      <c r="AP359" s="46"/>
      <c r="AQ359" s="46">
        <v>45853</v>
      </c>
      <c r="AR359" s="46">
        <v>45853</v>
      </c>
      <c r="AS359" s="46">
        <v>45853</v>
      </c>
      <c r="AT359" s="46">
        <v>45856</v>
      </c>
      <c r="AU359" s="150"/>
      <c r="AV359" s="151"/>
      <c r="AW359" s="151"/>
      <c r="AX359" s="151"/>
      <c r="AY359" s="151"/>
    </row>
    <row r="360" spans="1:51" ht="18.75" customHeight="1">
      <c r="A360" s="160">
        <v>813108</v>
      </c>
      <c r="B360" s="29" t="s">
        <v>678</v>
      </c>
      <c r="C360" s="30" t="s">
        <v>42</v>
      </c>
      <c r="D360" s="30"/>
      <c r="E360" s="30"/>
      <c r="F360" s="31" t="s">
        <v>43</v>
      </c>
      <c r="G360" s="33">
        <v>160</v>
      </c>
      <c r="H360" s="33">
        <v>220</v>
      </c>
      <c r="I360" s="34">
        <v>2</v>
      </c>
      <c r="J360" s="501" t="s">
        <v>679</v>
      </c>
      <c r="K360" s="31" t="s">
        <v>77</v>
      </c>
      <c r="L360" s="161" t="s">
        <v>799</v>
      </c>
      <c r="M360" s="30"/>
      <c r="N360" s="30" t="s">
        <v>710</v>
      </c>
      <c r="O360" s="30"/>
      <c r="P360" s="30" t="s">
        <v>389</v>
      </c>
      <c r="Q360" s="30"/>
      <c r="R360" s="30"/>
      <c r="S360" s="30"/>
      <c r="T360" s="29"/>
      <c r="U360" s="316" t="s">
        <v>354</v>
      </c>
      <c r="V360" s="36">
        <v>45792</v>
      </c>
      <c r="W360" s="36">
        <f>V360+15</f>
        <v>45807</v>
      </c>
      <c r="X360" s="36">
        <v>45792</v>
      </c>
      <c r="Y360" s="36">
        <f>X360+15</f>
        <v>45807</v>
      </c>
      <c r="Z360" s="31"/>
      <c r="AA360" s="31"/>
      <c r="AB360" s="31"/>
      <c r="AC360" s="37"/>
      <c r="AD360" s="31"/>
      <c r="AE360" s="36">
        <v>45849</v>
      </c>
      <c r="AF360" s="36">
        <v>45852</v>
      </c>
      <c r="AG360" s="36">
        <v>45852</v>
      </c>
      <c r="AH360" s="36">
        <v>45852</v>
      </c>
      <c r="AI360" s="99">
        <v>45882</v>
      </c>
      <c r="AJ360" s="36">
        <v>45704</v>
      </c>
      <c r="AK360" s="36">
        <v>45712</v>
      </c>
      <c r="AL360" s="36">
        <v>45858</v>
      </c>
      <c r="AM360" s="36">
        <v>45858</v>
      </c>
      <c r="AN360" s="36">
        <v>45853</v>
      </c>
      <c r="AO360" s="36">
        <v>45858</v>
      </c>
      <c r="AP360" s="36"/>
      <c r="AQ360" s="36">
        <v>45858</v>
      </c>
      <c r="AR360" s="36">
        <v>45858</v>
      </c>
      <c r="AS360" s="99">
        <v>45868</v>
      </c>
      <c r="AT360" s="99">
        <v>45869</v>
      </c>
      <c r="AU360" s="150"/>
      <c r="AV360" s="151"/>
      <c r="AW360" s="151"/>
      <c r="AX360" s="151"/>
      <c r="AY360" s="151"/>
    </row>
    <row r="361" spans="1:51" ht="18" customHeight="1">
      <c r="A361" s="40">
        <v>813108</v>
      </c>
      <c r="B361" s="41"/>
      <c r="C361" s="42"/>
      <c r="D361" s="42"/>
      <c r="E361" s="42"/>
      <c r="F361" s="43" t="s">
        <v>48</v>
      </c>
      <c r="G361" s="59"/>
      <c r="H361" s="59"/>
      <c r="I361" s="44"/>
      <c r="J361" s="52"/>
      <c r="K361" s="53"/>
      <c r="L361" s="537"/>
      <c r="M361" s="42"/>
      <c r="N361" s="42"/>
      <c r="O361" s="42"/>
      <c r="P361" s="42"/>
      <c r="Q361" s="42"/>
      <c r="R361" s="42"/>
      <c r="S361" s="42"/>
      <c r="T361" s="41"/>
      <c r="U361" s="42"/>
      <c r="V361" s="116"/>
      <c r="W361" s="116"/>
      <c r="X361" s="116"/>
      <c r="Y361" s="116"/>
      <c r="Z361" s="43"/>
      <c r="AA361" s="43"/>
      <c r="AB361" s="43"/>
      <c r="AC361" s="54"/>
      <c r="AD361" s="43"/>
      <c r="AE361" s="46">
        <v>45840</v>
      </c>
      <c r="AF361" s="46">
        <v>45848</v>
      </c>
      <c r="AG361" s="46" t="s">
        <v>785</v>
      </c>
      <c r="AH361" s="46">
        <v>45856</v>
      </c>
      <c r="AI361" s="46">
        <v>46980</v>
      </c>
      <c r="AJ361" s="46">
        <v>45754</v>
      </c>
      <c r="AK361" s="46">
        <v>45750</v>
      </c>
      <c r="AL361" s="46">
        <v>45858</v>
      </c>
      <c r="AM361" s="46">
        <v>45858</v>
      </c>
      <c r="AN361" s="46">
        <v>45853</v>
      </c>
      <c r="AO361" s="46">
        <v>45858</v>
      </c>
      <c r="AP361" s="46"/>
      <c r="AQ361" s="46">
        <v>45858</v>
      </c>
      <c r="AR361" s="46">
        <v>45858</v>
      </c>
      <c r="AS361" s="46">
        <v>45868</v>
      </c>
      <c r="AT361" s="46">
        <v>45869</v>
      </c>
      <c r="AU361" s="47" t="s">
        <v>757</v>
      </c>
      <c r="AV361" s="151"/>
      <c r="AW361" s="151"/>
      <c r="AX361" s="151"/>
      <c r="AY361" s="151"/>
    </row>
    <row r="362" spans="1:51" ht="18.75" customHeight="1">
      <c r="A362" s="149">
        <v>813155</v>
      </c>
      <c r="B362" s="29" t="s">
        <v>716</v>
      </c>
      <c r="C362" s="30" t="s">
        <v>42</v>
      </c>
      <c r="D362" s="30"/>
      <c r="E362" s="30"/>
      <c r="F362" s="31" t="s">
        <v>43</v>
      </c>
      <c r="G362" s="33">
        <v>120</v>
      </c>
      <c r="H362" s="33">
        <v>500</v>
      </c>
      <c r="I362" s="34">
        <v>2</v>
      </c>
      <c r="J362" s="509" t="s">
        <v>717</v>
      </c>
      <c r="K362" s="31" t="s">
        <v>108</v>
      </c>
      <c r="L362" s="161" t="s">
        <v>801</v>
      </c>
      <c r="M362" s="30"/>
      <c r="N362" s="30" t="s">
        <v>361</v>
      </c>
      <c r="O362" s="30"/>
      <c r="P362" s="30" t="s">
        <v>480</v>
      </c>
      <c r="Q362" s="30"/>
      <c r="R362" s="30" t="s">
        <v>354</v>
      </c>
      <c r="S362" s="30" t="s">
        <v>361</v>
      </c>
      <c r="T362" s="29"/>
      <c r="U362" s="30" t="s">
        <v>354</v>
      </c>
      <c r="V362" s="36">
        <v>45810</v>
      </c>
      <c r="W362" s="36">
        <f>V362+30</f>
        <v>45840</v>
      </c>
      <c r="X362" s="36">
        <v>45821</v>
      </c>
      <c r="Y362" s="36">
        <f>X362+30</f>
        <v>45851</v>
      </c>
      <c r="Z362" s="31"/>
      <c r="AA362" s="31"/>
      <c r="AB362" s="31"/>
      <c r="AC362" s="37"/>
      <c r="AD362" s="31"/>
      <c r="AE362" s="99">
        <v>45884</v>
      </c>
      <c r="AF362" s="99">
        <v>45884</v>
      </c>
      <c r="AG362" s="36">
        <v>45859</v>
      </c>
      <c r="AH362" s="36">
        <v>45859</v>
      </c>
      <c r="AI362" s="36">
        <v>45863</v>
      </c>
      <c r="AJ362" s="99">
        <v>45708</v>
      </c>
      <c r="AK362" s="36">
        <v>45772</v>
      </c>
      <c r="AL362" s="36">
        <v>45863</v>
      </c>
      <c r="AM362" s="36">
        <v>45863</v>
      </c>
      <c r="AN362" s="36">
        <v>45856</v>
      </c>
      <c r="AO362" s="36">
        <v>45863</v>
      </c>
      <c r="AP362" s="36"/>
      <c r="AQ362" s="36">
        <v>45863</v>
      </c>
      <c r="AR362" s="99">
        <v>45869</v>
      </c>
      <c r="AS362" s="36">
        <v>45863</v>
      </c>
      <c r="AT362" s="99">
        <v>45869</v>
      </c>
      <c r="AU362" s="150"/>
      <c r="AV362" s="151"/>
      <c r="AW362" s="151"/>
      <c r="AX362" s="151"/>
      <c r="AY362" s="151"/>
    </row>
    <row r="363" spans="1:51" ht="18" customHeight="1">
      <c r="A363" s="40">
        <v>813155</v>
      </c>
      <c r="B363" s="41"/>
      <c r="C363" s="42"/>
      <c r="D363" s="42"/>
      <c r="E363" s="42"/>
      <c r="F363" s="43" t="s">
        <v>48</v>
      </c>
      <c r="G363" s="59"/>
      <c r="H363" s="59"/>
      <c r="I363" s="44"/>
      <c r="J363" s="52"/>
      <c r="K363" s="53"/>
      <c r="L363" s="537"/>
      <c r="M363" s="42"/>
      <c r="N363" s="42"/>
      <c r="O363" s="42"/>
      <c r="P363" s="42"/>
      <c r="Q363" s="42"/>
      <c r="R363" s="42"/>
      <c r="S363" s="42"/>
      <c r="T363" s="41"/>
      <c r="U363" s="42"/>
      <c r="V363" s="116">
        <v>45820</v>
      </c>
      <c r="W363" s="116">
        <v>45841</v>
      </c>
      <c r="X363" s="116">
        <v>45821</v>
      </c>
      <c r="Y363" s="116">
        <v>45854</v>
      </c>
      <c r="Z363" s="43"/>
      <c r="AA363" s="43"/>
      <c r="AB363" s="43"/>
      <c r="AC363" s="54"/>
      <c r="AD363" s="43"/>
      <c r="AE363" s="46">
        <v>45873</v>
      </c>
      <c r="AF363" s="46">
        <v>45884</v>
      </c>
      <c r="AG363" s="46">
        <v>45859</v>
      </c>
      <c r="AH363" s="46">
        <v>45859</v>
      </c>
      <c r="AI363" s="46">
        <v>45863</v>
      </c>
      <c r="AJ363" s="46">
        <v>45705</v>
      </c>
      <c r="AK363" s="46">
        <v>45705</v>
      </c>
      <c r="AL363" s="46">
        <v>45863</v>
      </c>
      <c r="AM363" s="46">
        <v>45863</v>
      </c>
      <c r="AN363" s="46">
        <v>45789</v>
      </c>
      <c r="AO363" s="46">
        <v>45863</v>
      </c>
      <c r="AP363" s="46"/>
      <c r="AQ363" s="46">
        <v>45863</v>
      </c>
      <c r="AR363" s="46">
        <v>45868</v>
      </c>
      <c r="AS363" s="46">
        <v>45860</v>
      </c>
      <c r="AT363" s="46">
        <v>45869</v>
      </c>
      <c r="AU363" s="150"/>
      <c r="AV363" s="151"/>
      <c r="AW363" s="151"/>
      <c r="AX363" s="151"/>
      <c r="AY363" s="151"/>
    </row>
    <row r="364" spans="1:51" ht="18.75" customHeight="1">
      <c r="A364" s="149">
        <v>813099</v>
      </c>
      <c r="B364" s="29" t="s">
        <v>671</v>
      </c>
      <c r="C364" s="30" t="s">
        <v>42</v>
      </c>
      <c r="D364" s="30"/>
      <c r="E364" s="30"/>
      <c r="F364" s="31" t="s">
        <v>43</v>
      </c>
      <c r="G364" s="33">
        <v>160</v>
      </c>
      <c r="H364" s="33">
        <v>220</v>
      </c>
      <c r="I364" s="34">
        <v>2</v>
      </c>
      <c r="J364" s="495" t="s">
        <v>670</v>
      </c>
      <c r="K364" s="31" t="s">
        <v>66</v>
      </c>
      <c r="L364" s="161" t="s">
        <v>805</v>
      </c>
      <c r="M364" s="30"/>
      <c r="N364" s="30" t="s">
        <v>710</v>
      </c>
      <c r="O364" s="30"/>
      <c r="P364" s="30" t="s">
        <v>715</v>
      </c>
      <c r="Q364" s="30"/>
      <c r="R364" s="30" t="s">
        <v>354</v>
      </c>
      <c r="S364" s="30" t="s">
        <v>361</v>
      </c>
      <c r="T364" s="29"/>
      <c r="U364" s="316" t="s">
        <v>354</v>
      </c>
      <c r="V364" s="36">
        <v>45807</v>
      </c>
      <c r="W364" s="36">
        <f>V364+15</f>
        <v>45822</v>
      </c>
      <c r="X364" s="36">
        <v>45807</v>
      </c>
      <c r="Y364" s="36">
        <f>X364+15</f>
        <v>45822</v>
      </c>
      <c r="Z364" s="31"/>
      <c r="AA364" s="31"/>
      <c r="AB364" s="31"/>
      <c r="AC364" s="37">
        <v>3</v>
      </c>
      <c r="AD364" s="31"/>
      <c r="AE364" s="36">
        <v>45862</v>
      </c>
      <c r="AF364" s="36">
        <v>45866</v>
      </c>
      <c r="AG364" s="36">
        <v>45866</v>
      </c>
      <c r="AH364" s="36">
        <v>45866</v>
      </c>
      <c r="AI364" s="99">
        <v>45902</v>
      </c>
      <c r="AJ364" s="36">
        <v>45740</v>
      </c>
      <c r="AK364" s="36">
        <v>45716</v>
      </c>
      <c r="AL364" s="36">
        <v>45868</v>
      </c>
      <c r="AM364" s="36">
        <v>45868</v>
      </c>
      <c r="AN364" s="99">
        <v>45859</v>
      </c>
      <c r="AO364" s="36">
        <v>45868</v>
      </c>
      <c r="AP364" s="36"/>
      <c r="AQ364" s="36">
        <v>45868</v>
      </c>
      <c r="AR364" s="99">
        <v>45869</v>
      </c>
      <c r="AS364" s="36">
        <v>45868</v>
      </c>
      <c r="AT364" s="99">
        <v>45869</v>
      </c>
      <c r="AU364" s="150"/>
      <c r="AV364" s="151"/>
      <c r="AW364" s="151"/>
      <c r="AX364" s="151"/>
      <c r="AY364" s="151"/>
    </row>
    <row r="365" spans="1:51" ht="18" customHeight="1">
      <c r="A365" s="40">
        <v>813099</v>
      </c>
      <c r="B365" s="41"/>
      <c r="C365" s="42"/>
      <c r="D365" s="42"/>
      <c r="E365" s="42"/>
      <c r="F365" s="43" t="s">
        <v>48</v>
      </c>
      <c r="G365" s="59"/>
      <c r="H365" s="59"/>
      <c r="I365" s="44"/>
      <c r="J365" s="52"/>
      <c r="K365" s="53"/>
      <c r="L365" s="537"/>
      <c r="M365" s="42"/>
      <c r="N365" s="42"/>
      <c r="O365" s="42"/>
      <c r="P365" s="42"/>
      <c r="Q365" s="42"/>
      <c r="R365" s="42"/>
      <c r="S365" s="42"/>
      <c r="T365" s="41"/>
      <c r="U365" s="42"/>
      <c r="V365" s="116">
        <v>45786</v>
      </c>
      <c r="W365" s="116">
        <v>45863</v>
      </c>
      <c r="X365" s="116">
        <v>45776</v>
      </c>
      <c r="Y365" s="116">
        <v>45863</v>
      </c>
      <c r="Z365" s="43"/>
      <c r="AA365" s="43"/>
      <c r="AB365" s="43"/>
      <c r="AC365" s="54"/>
      <c r="AD365" s="43"/>
      <c r="AE365" s="46">
        <v>45849</v>
      </c>
      <c r="AF365" s="46">
        <v>45861</v>
      </c>
      <c r="AG365" s="46" t="s">
        <v>786</v>
      </c>
      <c r="AH365" s="46" t="s">
        <v>787</v>
      </c>
      <c r="AI365" s="46"/>
      <c r="AJ365" s="46">
        <v>45756</v>
      </c>
      <c r="AK365" s="46">
        <v>45394</v>
      </c>
      <c r="AL365" s="46">
        <v>45848</v>
      </c>
      <c r="AM365" s="46">
        <v>45868</v>
      </c>
      <c r="AN365" s="46">
        <v>45859</v>
      </c>
      <c r="AO365" s="46">
        <v>45859</v>
      </c>
      <c r="AP365" s="46"/>
      <c r="AQ365" s="46">
        <v>45859</v>
      </c>
      <c r="AR365" s="46">
        <v>45870</v>
      </c>
      <c r="AS365" s="46">
        <v>45870</v>
      </c>
      <c r="AT365" s="46">
        <v>45869</v>
      </c>
      <c r="AU365" s="150"/>
      <c r="AV365" s="151"/>
      <c r="AW365" s="151"/>
      <c r="AX365" s="151"/>
      <c r="AY365" s="151"/>
    </row>
    <row r="366" spans="1:51" ht="18.75" customHeight="1">
      <c r="A366" s="149">
        <v>813107</v>
      </c>
      <c r="B366" s="29">
        <v>813107</v>
      </c>
      <c r="C366" s="30" t="s">
        <v>42</v>
      </c>
      <c r="D366" s="30"/>
      <c r="E366" s="30"/>
      <c r="F366" s="31" t="s">
        <v>43</v>
      </c>
      <c r="G366" s="33">
        <v>250</v>
      </c>
      <c r="H366" s="33">
        <v>275</v>
      </c>
      <c r="I366" s="34">
        <v>1</v>
      </c>
      <c r="J366" s="468" t="s">
        <v>669</v>
      </c>
      <c r="K366" s="31" t="s">
        <v>108</v>
      </c>
      <c r="L366" s="161" t="s">
        <v>805</v>
      </c>
      <c r="M366" s="30"/>
      <c r="N366" s="30" t="s">
        <v>710</v>
      </c>
      <c r="O366" s="30"/>
      <c r="P366" s="6" t="s">
        <v>389</v>
      </c>
      <c r="Q366" s="30"/>
      <c r="R366" s="30" t="s">
        <v>354</v>
      </c>
      <c r="S366" s="30" t="s">
        <v>361</v>
      </c>
      <c r="T366" s="29"/>
      <c r="U366" s="316" t="s">
        <v>354</v>
      </c>
      <c r="V366" s="36">
        <v>45747</v>
      </c>
      <c r="W366" s="36">
        <f>V366+15</f>
        <v>45762</v>
      </c>
      <c r="X366" s="36">
        <v>45762</v>
      </c>
      <c r="Y366" s="36">
        <f>X366+15</f>
        <v>45777</v>
      </c>
      <c r="Z366" s="31" t="s">
        <v>72</v>
      </c>
      <c r="AA366" s="31"/>
      <c r="AB366" s="31"/>
      <c r="AC366" s="37"/>
      <c r="AD366" s="31" t="s">
        <v>72</v>
      </c>
      <c r="AE366" s="36">
        <v>45862</v>
      </c>
      <c r="AF366" s="36">
        <v>45869</v>
      </c>
      <c r="AG366" s="36">
        <v>45869</v>
      </c>
      <c r="AH366" s="36">
        <v>45869</v>
      </c>
      <c r="AI366" s="99">
        <v>45879</v>
      </c>
      <c r="AJ366" s="36">
        <v>45736</v>
      </c>
      <c r="AK366" s="36">
        <v>45709</v>
      </c>
      <c r="AL366" s="36">
        <v>45869</v>
      </c>
      <c r="AM366" s="36">
        <v>45869</v>
      </c>
      <c r="AN366" s="36">
        <v>45862</v>
      </c>
      <c r="AO366" s="36">
        <v>45869</v>
      </c>
      <c r="AP366" s="36"/>
      <c r="AQ366" s="36">
        <v>45869</v>
      </c>
      <c r="AR366" s="36">
        <v>45869</v>
      </c>
      <c r="AS366" s="36">
        <v>45869</v>
      </c>
      <c r="AT366" s="36">
        <v>45872</v>
      </c>
      <c r="AU366" s="150"/>
      <c r="AV366" s="151"/>
      <c r="AW366" s="151"/>
      <c r="AX366" s="151"/>
      <c r="AY366" s="151"/>
    </row>
    <row r="367" spans="1:51" ht="18" customHeight="1" thickBot="1">
      <c r="A367" s="40">
        <v>813107</v>
      </c>
      <c r="B367" s="41"/>
      <c r="C367" s="42"/>
      <c r="D367" s="42"/>
      <c r="E367" s="42"/>
      <c r="F367" s="43" t="s">
        <v>48</v>
      </c>
      <c r="G367" s="59"/>
      <c r="H367" s="59"/>
      <c r="I367" s="44"/>
      <c r="J367" s="52"/>
      <c r="K367" s="53"/>
      <c r="L367" s="537"/>
      <c r="M367" s="42"/>
      <c r="N367" s="42"/>
      <c r="O367" s="42"/>
      <c r="P367" s="42"/>
      <c r="Q367" s="42"/>
      <c r="R367" s="42"/>
      <c r="S367" s="42"/>
      <c r="T367" s="41"/>
      <c r="U367" s="42"/>
      <c r="V367" s="116">
        <v>45748</v>
      </c>
      <c r="W367" s="116">
        <v>45842</v>
      </c>
      <c r="X367" s="116">
        <v>45758</v>
      </c>
      <c r="Y367" s="116">
        <v>45852</v>
      </c>
      <c r="Z367" s="43"/>
      <c r="AA367" s="43"/>
      <c r="AB367" s="43"/>
      <c r="AC367" s="54"/>
      <c r="AD367" s="43"/>
      <c r="AE367" s="46">
        <v>45852</v>
      </c>
      <c r="AF367" s="46">
        <v>45869</v>
      </c>
      <c r="AG367" s="46">
        <v>45866</v>
      </c>
      <c r="AH367" s="46">
        <v>45866</v>
      </c>
      <c r="AI367" s="46">
        <v>45876</v>
      </c>
      <c r="AJ367" s="46">
        <v>45721</v>
      </c>
      <c r="AK367" s="46">
        <v>45709</v>
      </c>
      <c r="AL367" s="46">
        <v>45869</v>
      </c>
      <c r="AM367" s="46">
        <v>45869</v>
      </c>
      <c r="AN367" s="46">
        <v>45862</v>
      </c>
      <c r="AO367" s="46">
        <v>45869</v>
      </c>
      <c r="AP367" s="46"/>
      <c r="AQ367" s="46">
        <v>45869</v>
      </c>
      <c r="AR367" s="46">
        <v>45869</v>
      </c>
      <c r="AS367" s="46">
        <v>45873</v>
      </c>
      <c r="AT367" s="46">
        <v>45880</v>
      </c>
      <c r="AU367" s="194"/>
      <c r="AV367" s="151"/>
      <c r="AW367" s="151"/>
      <c r="AX367" s="151"/>
      <c r="AY367" s="151"/>
    </row>
    <row r="368" spans="1:51" ht="16.5" customHeight="1" thickBot="1">
      <c r="A368" s="364"/>
      <c r="B368" s="364"/>
      <c r="C368" s="364"/>
      <c r="D368" s="364"/>
      <c r="E368" s="364"/>
      <c r="F368" s="364"/>
      <c r="G368" s="364"/>
      <c r="H368" s="364"/>
      <c r="I368" s="364"/>
      <c r="J368" s="364"/>
      <c r="K368" s="364"/>
      <c r="L368" s="364"/>
      <c r="M368" s="364"/>
      <c r="N368" s="364"/>
      <c r="O368" s="364"/>
      <c r="P368" s="364"/>
      <c r="Q368" s="364"/>
      <c r="R368" s="364"/>
      <c r="S368" s="364"/>
      <c r="T368" s="364"/>
      <c r="U368" s="364"/>
      <c r="V368" s="364"/>
      <c r="W368" s="364"/>
      <c r="X368" s="364"/>
      <c r="Y368" s="364"/>
      <c r="Z368" s="364"/>
      <c r="AA368" s="364"/>
      <c r="AB368" s="364"/>
      <c r="AC368" s="364"/>
      <c r="AD368" s="364"/>
      <c r="AE368" s="364"/>
      <c r="AF368" s="364"/>
      <c r="AG368" s="364"/>
      <c r="AH368" s="364"/>
      <c r="AI368" s="364"/>
      <c r="AJ368" s="364"/>
      <c r="AK368" s="364"/>
      <c r="AL368" s="364"/>
      <c r="AM368" s="364"/>
      <c r="AN368" s="364"/>
      <c r="AO368" s="364"/>
      <c r="AP368" s="364"/>
      <c r="AQ368" s="364"/>
      <c r="AR368" s="364"/>
      <c r="AS368" s="364"/>
      <c r="AT368" s="364"/>
      <c r="AU368" s="371"/>
      <c r="AV368" s="27"/>
      <c r="AW368" s="27"/>
      <c r="AX368" s="27"/>
      <c r="AY368" s="27"/>
    </row>
    <row r="369" spans="1:51" ht="21.75" customHeight="1">
      <c r="A369" s="160">
        <v>850623</v>
      </c>
      <c r="B369" s="29">
        <v>850623</v>
      </c>
      <c r="C369" s="30" t="s">
        <v>55</v>
      </c>
      <c r="D369" s="153">
        <v>0.5</v>
      </c>
      <c r="E369" s="30"/>
      <c r="F369" s="31" t="s">
        <v>43</v>
      </c>
      <c r="G369" s="33">
        <v>120</v>
      </c>
      <c r="H369" s="33">
        <v>220</v>
      </c>
      <c r="I369" s="34">
        <v>1</v>
      </c>
      <c r="J369" s="464" t="s">
        <v>544</v>
      </c>
      <c r="K369" s="31" t="s">
        <v>231</v>
      </c>
      <c r="L369" s="161" t="s">
        <v>802</v>
      </c>
      <c r="M369" s="30"/>
      <c r="N369" s="30"/>
      <c r="O369" s="30"/>
      <c r="P369" s="30"/>
      <c r="Q369" s="30"/>
      <c r="R369" s="30"/>
      <c r="S369" s="30"/>
      <c r="T369" s="29"/>
      <c r="U369" s="316" t="s">
        <v>354</v>
      </c>
      <c r="V369" s="36">
        <v>45875</v>
      </c>
      <c r="W369" s="36"/>
      <c r="X369" s="36"/>
      <c r="Y369" s="36"/>
      <c r="Z369" s="31"/>
      <c r="AA369" s="31"/>
      <c r="AB369" s="31"/>
      <c r="AC369" s="37"/>
      <c r="AD369" s="31"/>
      <c r="AE369" s="36">
        <v>45869</v>
      </c>
      <c r="AF369" s="36">
        <v>45873</v>
      </c>
      <c r="AG369" s="38" t="s">
        <v>791</v>
      </c>
      <c r="AH369" s="36">
        <v>45873</v>
      </c>
      <c r="AI369" s="36">
        <v>45884</v>
      </c>
      <c r="AJ369" s="36" t="s">
        <v>724</v>
      </c>
      <c r="AK369" s="36">
        <v>45713</v>
      </c>
      <c r="AL369" s="36">
        <v>45874</v>
      </c>
      <c r="AM369" s="36">
        <v>45874</v>
      </c>
      <c r="AN369" s="99">
        <v>45863</v>
      </c>
      <c r="AO369" s="36">
        <v>45874</v>
      </c>
      <c r="AP369" s="36"/>
      <c r="AQ369" s="36">
        <v>45874</v>
      </c>
      <c r="AR369" s="36">
        <v>45884</v>
      </c>
      <c r="AS369" s="36">
        <v>45884</v>
      </c>
      <c r="AT369" s="36">
        <v>45887</v>
      </c>
      <c r="AU369" s="637" t="s">
        <v>762</v>
      </c>
      <c r="AV369" s="27"/>
      <c r="AW369" s="27"/>
      <c r="AX369" s="27"/>
      <c r="AY369" s="27"/>
    </row>
    <row r="370" spans="1:51" ht="16.5" customHeight="1">
      <c r="A370" s="531" t="s">
        <v>509</v>
      </c>
      <c r="B370" s="71"/>
      <c r="C370" s="42">
        <v>850212</v>
      </c>
      <c r="D370" s="42"/>
      <c r="E370" s="42"/>
      <c r="F370" s="43" t="s">
        <v>48</v>
      </c>
      <c r="G370" s="59"/>
      <c r="H370" s="59"/>
      <c r="I370" s="44"/>
      <c r="J370" s="52"/>
      <c r="K370" s="53"/>
      <c r="L370" s="537"/>
      <c r="M370" s="42"/>
      <c r="N370" s="42"/>
      <c r="O370" s="42"/>
      <c r="P370" s="42"/>
      <c r="Q370" s="42"/>
      <c r="R370" s="42"/>
      <c r="S370" s="42"/>
      <c r="T370" s="41"/>
      <c r="U370" s="42"/>
      <c r="V370" s="116"/>
      <c r="W370" s="116"/>
      <c r="X370" s="116"/>
      <c r="Y370" s="116"/>
      <c r="Z370" s="43"/>
      <c r="AA370" s="43"/>
      <c r="AB370" s="43"/>
      <c r="AC370" s="54"/>
      <c r="AD370" s="43"/>
      <c r="AE370" s="46">
        <v>45869</v>
      </c>
      <c r="AF370" s="46">
        <v>45874</v>
      </c>
      <c r="AG370" s="46">
        <v>45870</v>
      </c>
      <c r="AH370" s="46">
        <v>45870</v>
      </c>
      <c r="AI370" s="46">
        <v>45895</v>
      </c>
      <c r="AJ370" s="46" t="s">
        <v>81</v>
      </c>
      <c r="AK370" s="46">
        <v>45736</v>
      </c>
      <c r="AL370" s="46">
        <v>45873</v>
      </c>
      <c r="AM370" s="46">
        <v>45874</v>
      </c>
      <c r="AN370" s="500">
        <v>45863</v>
      </c>
      <c r="AO370" s="46">
        <v>45870</v>
      </c>
      <c r="AP370" s="46"/>
      <c r="AQ370" s="46">
        <v>45870</v>
      </c>
      <c r="AR370" s="46">
        <v>45878</v>
      </c>
      <c r="AS370" s="46">
        <v>45884</v>
      </c>
      <c r="AT370" s="46">
        <v>45887</v>
      </c>
      <c r="AU370" s="638"/>
      <c r="AV370" s="27"/>
      <c r="AW370" s="27"/>
      <c r="AX370" s="27"/>
      <c r="AY370" s="27"/>
    </row>
    <row r="371" spans="1:51" ht="18.75" customHeight="1">
      <c r="A371" s="149">
        <v>813097</v>
      </c>
      <c r="B371" s="29" t="s">
        <v>668</v>
      </c>
      <c r="C371" s="30" t="s">
        <v>42</v>
      </c>
      <c r="D371" s="30"/>
      <c r="E371" s="30"/>
      <c r="F371" s="31" t="s">
        <v>43</v>
      </c>
      <c r="G371" s="33">
        <v>130</v>
      </c>
      <c r="H371" s="33">
        <v>220</v>
      </c>
      <c r="I371" s="34">
        <v>1</v>
      </c>
      <c r="J371" s="516" t="s">
        <v>667</v>
      </c>
      <c r="K371" s="31" t="s">
        <v>327</v>
      </c>
      <c r="L371" s="161" t="s">
        <v>799</v>
      </c>
      <c r="M371" s="30"/>
      <c r="N371" s="30" t="s">
        <v>336</v>
      </c>
      <c r="O371" s="30"/>
      <c r="P371" s="30" t="s">
        <v>713</v>
      </c>
      <c r="Q371" s="30"/>
      <c r="R371" s="30"/>
      <c r="S371" s="30"/>
      <c r="T371" s="29"/>
      <c r="U371" s="316" t="s">
        <v>354</v>
      </c>
      <c r="V371" s="36">
        <v>45755</v>
      </c>
      <c r="W371" s="36">
        <f>V371+15</f>
        <v>45770</v>
      </c>
      <c r="X371" s="36">
        <v>45777</v>
      </c>
      <c r="Y371" s="36">
        <f>X371+15</f>
        <v>45792</v>
      </c>
      <c r="Z371" s="31"/>
      <c r="AA371" s="31"/>
      <c r="AB371" s="31"/>
      <c r="AC371" s="37"/>
      <c r="AD371" s="31"/>
      <c r="AE371" s="36">
        <v>45873</v>
      </c>
      <c r="AF371" s="36">
        <v>45881</v>
      </c>
      <c r="AG371" s="36">
        <v>45881</v>
      </c>
      <c r="AH371" s="36">
        <v>45881</v>
      </c>
      <c r="AI371" s="36">
        <v>45889</v>
      </c>
      <c r="AJ371" s="36">
        <v>45743</v>
      </c>
      <c r="AK371" s="38" t="s">
        <v>686</v>
      </c>
      <c r="AL371" s="36">
        <v>45889</v>
      </c>
      <c r="AM371" s="36">
        <v>45889</v>
      </c>
      <c r="AN371" s="99">
        <v>45873</v>
      </c>
      <c r="AO371" s="36">
        <v>45889</v>
      </c>
      <c r="AP371" s="36"/>
      <c r="AQ371" s="36">
        <v>45889</v>
      </c>
      <c r="AR371" s="36">
        <v>45889</v>
      </c>
      <c r="AS371" s="36">
        <v>45889</v>
      </c>
      <c r="AT371" s="99">
        <v>45898</v>
      </c>
      <c r="AU371" s="638"/>
      <c r="AV371" s="151"/>
      <c r="AW371" s="151"/>
      <c r="AX371" s="151"/>
      <c r="AY371" s="151"/>
    </row>
    <row r="372" spans="1:51" ht="18" customHeight="1">
      <c r="A372" s="40">
        <v>813097</v>
      </c>
      <c r="B372" s="41"/>
      <c r="C372" s="42"/>
      <c r="D372" s="42"/>
      <c r="E372" s="42"/>
      <c r="F372" s="43" t="s">
        <v>48</v>
      </c>
      <c r="G372" s="59"/>
      <c r="H372" s="59"/>
      <c r="I372" s="44"/>
      <c r="J372" s="52"/>
      <c r="K372" s="53"/>
      <c r="L372" s="537"/>
      <c r="M372" s="42"/>
      <c r="N372" s="42"/>
      <c r="O372" s="42"/>
      <c r="P372" s="42"/>
      <c r="Q372" s="42"/>
      <c r="R372" s="42"/>
      <c r="S372" s="42"/>
      <c r="T372" s="41"/>
      <c r="U372" s="42"/>
      <c r="V372" s="116">
        <v>45755</v>
      </c>
      <c r="W372" s="116"/>
      <c r="X372" s="116"/>
      <c r="Y372" s="116"/>
      <c r="Z372" s="43"/>
      <c r="AA372" s="43"/>
      <c r="AB372" s="43"/>
      <c r="AC372" s="54"/>
      <c r="AD372" s="43"/>
      <c r="AE372" s="46">
        <v>45874</v>
      </c>
      <c r="AF372" s="46">
        <v>45882</v>
      </c>
      <c r="AG372" s="46">
        <v>45877</v>
      </c>
      <c r="AH372" s="46">
        <v>45877</v>
      </c>
      <c r="AI372" s="46">
        <v>45888</v>
      </c>
      <c r="AJ372" s="46">
        <v>45743</v>
      </c>
      <c r="AK372" s="304">
        <v>45714</v>
      </c>
      <c r="AL372" s="46">
        <v>45893</v>
      </c>
      <c r="AM372" s="500">
        <v>45888</v>
      </c>
      <c r="AN372" s="500">
        <v>45870</v>
      </c>
      <c r="AO372" s="46">
        <v>45888</v>
      </c>
      <c r="AP372" s="405"/>
      <c r="AQ372" s="46">
        <v>45888</v>
      </c>
      <c r="AR372" s="36">
        <v>45890</v>
      </c>
      <c r="AS372" s="36">
        <v>45890</v>
      </c>
      <c r="AT372" s="46">
        <v>45898</v>
      </c>
      <c r="AU372" s="638"/>
      <c r="AV372" s="151"/>
      <c r="AW372" s="151"/>
      <c r="AX372" s="151"/>
      <c r="AY372" s="151"/>
    </row>
    <row r="373" spans="1:51" ht="18.75" customHeight="1">
      <c r="A373" s="340">
        <v>813029</v>
      </c>
      <c r="B373" s="29" t="s">
        <v>614</v>
      </c>
      <c r="C373" s="30" t="s">
        <v>42</v>
      </c>
      <c r="D373" s="30"/>
      <c r="E373" s="30"/>
      <c r="F373" s="31" t="s">
        <v>43</v>
      </c>
      <c r="G373" s="33">
        <v>300</v>
      </c>
      <c r="H373" s="33">
        <v>410</v>
      </c>
      <c r="I373" s="34">
        <v>3</v>
      </c>
      <c r="J373" s="467" t="s">
        <v>615</v>
      </c>
      <c r="K373" s="66" t="s">
        <v>384</v>
      </c>
      <c r="L373" s="157" t="s">
        <v>799</v>
      </c>
      <c r="M373" s="30"/>
      <c r="N373" s="30" t="s">
        <v>270</v>
      </c>
      <c r="O373" s="30"/>
      <c r="P373" s="30" t="s">
        <v>360</v>
      </c>
      <c r="Q373" s="30"/>
      <c r="R373" s="30"/>
      <c r="S373" s="30"/>
      <c r="T373" s="29"/>
      <c r="U373" s="316" t="s">
        <v>354</v>
      </c>
      <c r="V373" s="36">
        <v>45670</v>
      </c>
      <c r="W373" s="36">
        <f>V373+15</f>
        <v>45685</v>
      </c>
      <c r="X373" s="36">
        <v>45670</v>
      </c>
      <c r="Y373" s="36">
        <f>X373+15</f>
        <v>45685</v>
      </c>
      <c r="Z373" s="66"/>
      <c r="AA373" s="31"/>
      <c r="AB373" s="31"/>
      <c r="AC373" s="37">
        <v>0</v>
      </c>
      <c r="AD373" s="31"/>
      <c r="AE373" s="36">
        <v>45879</v>
      </c>
      <c r="AF373" s="36">
        <v>45887</v>
      </c>
      <c r="AG373" s="36">
        <v>45887</v>
      </c>
      <c r="AH373" s="36">
        <v>45887</v>
      </c>
      <c r="AI373" s="99">
        <v>45902</v>
      </c>
      <c r="AJ373" s="36">
        <v>45745</v>
      </c>
      <c r="AK373" s="36">
        <v>45719</v>
      </c>
      <c r="AL373" s="36">
        <v>45894</v>
      </c>
      <c r="AM373" s="36">
        <v>45894</v>
      </c>
      <c r="AN373" s="99">
        <v>45873</v>
      </c>
      <c r="AO373" s="36">
        <v>45894</v>
      </c>
      <c r="AP373" s="36"/>
      <c r="AQ373" s="36">
        <v>45894</v>
      </c>
      <c r="AR373" s="36">
        <v>45894</v>
      </c>
      <c r="AS373" s="99">
        <v>45898</v>
      </c>
      <c r="AT373" s="36">
        <v>45898</v>
      </c>
      <c r="AU373" s="638"/>
      <c r="AV373" s="151"/>
      <c r="AW373" s="151"/>
      <c r="AX373" s="151"/>
      <c r="AY373" s="151"/>
    </row>
    <row r="374" spans="1:51" ht="18" customHeight="1">
      <c r="A374" s="40">
        <v>813029</v>
      </c>
      <c r="B374" s="41"/>
      <c r="C374" s="42"/>
      <c r="D374" s="42"/>
      <c r="E374" s="42"/>
      <c r="F374" s="43" t="s">
        <v>48</v>
      </c>
      <c r="G374" s="59"/>
      <c r="H374" s="59"/>
      <c r="I374" s="44"/>
      <c r="J374" s="52"/>
      <c r="K374" s="53"/>
      <c r="L374" s="537"/>
      <c r="M374" s="42"/>
      <c r="N374" s="42"/>
      <c r="O374" s="42"/>
      <c r="P374" s="42"/>
      <c r="Q374" s="42"/>
      <c r="R374" s="42"/>
      <c r="S374" s="42"/>
      <c r="T374" s="41"/>
      <c r="U374" s="42"/>
      <c r="V374" s="116"/>
      <c r="W374" s="116"/>
      <c r="X374" s="116"/>
      <c r="Y374" s="116"/>
      <c r="Z374" s="43"/>
      <c r="AA374" s="43"/>
      <c r="AB374" s="43"/>
      <c r="AC374" s="54"/>
      <c r="AD374" s="43"/>
      <c r="AE374" s="46">
        <v>45882</v>
      </c>
      <c r="AF374" s="46">
        <v>45894</v>
      </c>
      <c r="AG374" s="500">
        <v>45884</v>
      </c>
      <c r="AH374" s="46">
        <v>45887</v>
      </c>
      <c r="AI374" s="46">
        <v>45902</v>
      </c>
      <c r="AJ374" s="46" t="s">
        <v>729</v>
      </c>
      <c r="AK374" s="46">
        <v>45771</v>
      </c>
      <c r="AL374" s="46">
        <v>45882</v>
      </c>
      <c r="AM374" s="46">
        <v>45894</v>
      </c>
      <c r="AN374" s="46">
        <v>45863</v>
      </c>
      <c r="AO374" s="46">
        <v>45888</v>
      </c>
      <c r="AP374" s="46"/>
      <c r="AQ374" s="46">
        <v>45888</v>
      </c>
      <c r="AR374" s="46">
        <v>45894</v>
      </c>
      <c r="AS374" s="46">
        <v>45898</v>
      </c>
      <c r="AT374" s="46">
        <v>45898</v>
      </c>
      <c r="AU374" s="638"/>
      <c r="AV374" s="151"/>
      <c r="AW374" s="151"/>
      <c r="AX374" s="151"/>
      <c r="AY374" s="151"/>
    </row>
    <row r="375" spans="1:51" ht="18.75" customHeight="1">
      <c r="A375" s="149">
        <v>813178</v>
      </c>
      <c r="B375" s="29" t="s">
        <v>735</v>
      </c>
      <c r="C375" s="30" t="s">
        <v>55</v>
      </c>
      <c r="D375" s="153">
        <v>0.9</v>
      </c>
      <c r="E375" s="153">
        <v>0.5</v>
      </c>
      <c r="F375" s="31" t="s">
        <v>43</v>
      </c>
      <c r="G375" s="33">
        <v>334</v>
      </c>
      <c r="H375" s="33">
        <v>500</v>
      </c>
      <c r="I375" s="34">
        <v>3</v>
      </c>
      <c r="J375" s="515" t="s">
        <v>736</v>
      </c>
      <c r="K375" s="31" t="s">
        <v>231</v>
      </c>
      <c r="L375" s="161" t="s">
        <v>802</v>
      </c>
      <c r="M375" s="30"/>
      <c r="N375" s="30"/>
      <c r="O375" s="30"/>
      <c r="P375" s="30"/>
      <c r="Q375" s="30"/>
      <c r="R375" s="30"/>
      <c r="S375" s="30"/>
      <c r="T375" s="29"/>
      <c r="U375" s="30"/>
      <c r="V375" s="35"/>
      <c r="W375" s="35"/>
      <c r="X375" s="35"/>
      <c r="Y375" s="35"/>
      <c r="Z375" s="31"/>
      <c r="AA375" s="31"/>
      <c r="AB375" s="31"/>
      <c r="AC375" s="37"/>
      <c r="AD375" s="31"/>
      <c r="AE375" s="36">
        <v>45887</v>
      </c>
      <c r="AF375" s="36">
        <v>45895</v>
      </c>
      <c r="AG375" s="36">
        <v>45895</v>
      </c>
      <c r="AH375" s="36">
        <v>45895</v>
      </c>
      <c r="AI375" s="36">
        <v>45898</v>
      </c>
      <c r="AJ375" s="36">
        <v>45821</v>
      </c>
      <c r="AK375" s="36">
        <v>45821</v>
      </c>
      <c r="AL375" s="36">
        <v>45898</v>
      </c>
      <c r="AM375" s="36">
        <v>45898</v>
      </c>
      <c r="AN375" s="99">
        <v>45874</v>
      </c>
      <c r="AO375" s="36">
        <v>45898</v>
      </c>
      <c r="AP375" s="36"/>
      <c r="AQ375" s="36">
        <v>45898</v>
      </c>
      <c r="AR375" s="36">
        <v>45898</v>
      </c>
      <c r="AS375" s="36">
        <v>45898</v>
      </c>
      <c r="AT375" s="36">
        <v>45908</v>
      </c>
      <c r="AU375" s="638"/>
      <c r="AV375" s="151"/>
      <c r="AW375" s="151"/>
      <c r="AX375" s="151"/>
      <c r="AY375" s="151"/>
    </row>
    <row r="376" spans="1:51" ht="18" customHeight="1">
      <c r="A376" s="40"/>
      <c r="B376" s="41"/>
      <c r="C376" s="42">
        <v>813046</v>
      </c>
      <c r="D376" s="42"/>
      <c r="E376" s="42"/>
      <c r="F376" s="43" t="s">
        <v>48</v>
      </c>
      <c r="G376" s="59"/>
      <c r="H376" s="59"/>
      <c r="I376" s="44"/>
      <c r="J376" s="52"/>
      <c r="K376" s="53"/>
      <c r="L376" s="537"/>
      <c r="M376" s="42"/>
      <c r="N376" s="42"/>
      <c r="O376" s="42"/>
      <c r="P376" s="42"/>
      <c r="Q376" s="42"/>
      <c r="R376" s="42"/>
      <c r="S376" s="42"/>
      <c r="T376" s="41"/>
      <c r="U376" s="42"/>
      <c r="V376" s="53"/>
      <c r="W376" s="53"/>
      <c r="X376" s="53"/>
      <c r="Y376" s="53"/>
      <c r="Z376" s="43"/>
      <c r="AA376" s="43"/>
      <c r="AB376" s="43"/>
      <c r="AC376" s="54"/>
      <c r="AD376" s="43"/>
      <c r="AE376" s="46">
        <v>45874</v>
      </c>
      <c r="AF376" s="46">
        <v>45874</v>
      </c>
      <c r="AG376" s="46">
        <v>45890</v>
      </c>
      <c r="AH376" s="46">
        <v>45890</v>
      </c>
      <c r="AI376" s="46">
        <v>45896</v>
      </c>
      <c r="AJ376" s="46">
        <v>45821</v>
      </c>
      <c r="AK376" s="46">
        <v>45821</v>
      </c>
      <c r="AL376" s="46">
        <v>45883</v>
      </c>
      <c r="AM376" s="46" t="s">
        <v>824</v>
      </c>
      <c r="AN376" s="46">
        <v>45868</v>
      </c>
      <c r="AO376" s="46">
        <v>45882</v>
      </c>
      <c r="AP376" s="46"/>
      <c r="AQ376" s="46">
        <v>45882</v>
      </c>
      <c r="AR376" s="46">
        <v>45896</v>
      </c>
      <c r="AS376" s="46">
        <v>45896</v>
      </c>
      <c r="AT376" s="46">
        <v>45908</v>
      </c>
      <c r="AU376" s="638"/>
      <c r="AV376" s="151"/>
      <c r="AW376" s="151"/>
      <c r="AX376" s="151"/>
      <c r="AY376" s="151"/>
    </row>
    <row r="377" spans="1:51" ht="18.75" customHeight="1">
      <c r="A377" s="556">
        <v>813088</v>
      </c>
      <c r="B377" s="29">
        <v>813088</v>
      </c>
      <c r="C377" s="30" t="s">
        <v>42</v>
      </c>
      <c r="D377" s="30"/>
      <c r="E377" s="30"/>
      <c r="F377" s="31" t="s">
        <v>43</v>
      </c>
      <c r="G377" s="33">
        <v>520</v>
      </c>
      <c r="H377" s="33">
        <v>500</v>
      </c>
      <c r="I377" s="34">
        <v>1</v>
      </c>
      <c r="J377" s="530" t="s">
        <v>783</v>
      </c>
      <c r="K377" s="31" t="s">
        <v>66</v>
      </c>
      <c r="L377" s="161" t="s">
        <v>804</v>
      </c>
      <c r="M377" s="30"/>
      <c r="N377" s="30" t="s">
        <v>336</v>
      </c>
      <c r="O377" s="30"/>
      <c r="P377" s="30" t="s">
        <v>360</v>
      </c>
      <c r="Q377" s="551" t="s">
        <v>813</v>
      </c>
      <c r="R377" s="30"/>
      <c r="S377" s="30"/>
      <c r="T377" s="29"/>
      <c r="U377" s="30"/>
      <c r="V377" s="35">
        <v>45884</v>
      </c>
      <c r="W377" s="35">
        <f>V377+30</f>
        <v>45914</v>
      </c>
      <c r="X377" s="35">
        <v>45887</v>
      </c>
      <c r="Y377" s="35">
        <f>X377+30</f>
        <v>45917</v>
      </c>
      <c r="Z377" s="532" t="s">
        <v>788</v>
      </c>
      <c r="AA377" s="31" t="s">
        <v>72</v>
      </c>
      <c r="AB377" s="31" t="s">
        <v>789</v>
      </c>
      <c r="AC377" s="37"/>
      <c r="AD377" s="31" t="s">
        <v>72</v>
      </c>
      <c r="AE377" s="36">
        <v>45889</v>
      </c>
      <c r="AF377" s="36">
        <v>45898</v>
      </c>
      <c r="AG377" s="36">
        <v>45898</v>
      </c>
      <c r="AH377" s="36">
        <v>45898</v>
      </c>
      <c r="AI377" s="36">
        <v>45904</v>
      </c>
      <c r="AJ377" s="38">
        <v>45859</v>
      </c>
      <c r="AK377" s="38">
        <v>45859</v>
      </c>
      <c r="AL377" s="36">
        <v>45898</v>
      </c>
      <c r="AM377" s="36">
        <v>45898</v>
      </c>
      <c r="AN377" s="173">
        <v>45874</v>
      </c>
      <c r="AO377" s="36">
        <v>45898</v>
      </c>
      <c r="AP377" s="36"/>
      <c r="AQ377" s="36">
        <v>45898</v>
      </c>
      <c r="AR377" s="36">
        <v>45904</v>
      </c>
      <c r="AS377" s="36">
        <v>45904</v>
      </c>
      <c r="AT377" s="36">
        <v>45907</v>
      </c>
      <c r="AU377" s="638"/>
      <c r="AV377" s="151"/>
      <c r="AW377" s="151"/>
      <c r="AX377" s="151"/>
      <c r="AY377" s="151"/>
    </row>
    <row r="378" spans="1:51" ht="18" customHeight="1">
      <c r="A378" s="531" t="s">
        <v>509</v>
      </c>
      <c r="B378" s="41"/>
      <c r="C378" s="42"/>
      <c r="D378" s="42"/>
      <c r="E378" s="42"/>
      <c r="F378" s="43" t="s">
        <v>48</v>
      </c>
      <c r="G378" s="59"/>
      <c r="H378" s="59"/>
      <c r="I378" s="44"/>
      <c r="J378" s="52"/>
      <c r="K378" s="53"/>
      <c r="L378" s="537"/>
      <c r="M378" s="42"/>
      <c r="N378" s="42"/>
      <c r="O378" s="42"/>
      <c r="P378" s="42"/>
      <c r="Q378" s="42"/>
      <c r="R378" s="42"/>
      <c r="S378" s="42"/>
      <c r="T378" s="41"/>
      <c r="U378" s="42"/>
      <c r="V378" s="53">
        <v>45884</v>
      </c>
      <c r="W378" s="53"/>
      <c r="X378" s="53"/>
      <c r="Y378" s="53"/>
      <c r="Z378" s="43"/>
      <c r="AA378" s="43"/>
      <c r="AB378" s="43"/>
      <c r="AC378" s="54"/>
      <c r="AD378" s="43"/>
      <c r="AE378" s="46">
        <v>45887</v>
      </c>
      <c r="AF378" s="46">
        <v>45895</v>
      </c>
      <c r="AG378" s="46">
        <v>45891</v>
      </c>
      <c r="AH378" s="46">
        <v>45894</v>
      </c>
      <c r="AI378" s="46">
        <v>45923</v>
      </c>
      <c r="AJ378" s="46">
        <v>45862</v>
      </c>
      <c r="AK378" s="46">
        <v>45862</v>
      </c>
      <c r="AL378" s="46">
        <v>45895</v>
      </c>
      <c r="AM378" s="46">
        <v>45909</v>
      </c>
      <c r="AN378" s="46">
        <v>45863</v>
      </c>
      <c r="AO378" s="46">
        <v>45898</v>
      </c>
      <c r="AP378" s="46"/>
      <c r="AQ378" s="46">
        <v>45898</v>
      </c>
      <c r="AR378" s="46">
        <v>45918</v>
      </c>
      <c r="AS378" s="46">
        <v>45904</v>
      </c>
      <c r="AT378" s="46">
        <v>45784</v>
      </c>
      <c r="AU378" s="638"/>
      <c r="AV378" s="151"/>
      <c r="AW378" s="151"/>
      <c r="AX378" s="151"/>
      <c r="AY378" s="151"/>
    </row>
    <row r="379" spans="1:51" ht="18" customHeight="1">
      <c r="A379" s="149">
        <v>850690</v>
      </c>
      <c r="B379" s="29">
        <v>850690</v>
      </c>
      <c r="C379" s="167" t="s">
        <v>502</v>
      </c>
      <c r="D379" s="153"/>
      <c r="E379" s="30"/>
      <c r="F379" s="31" t="s">
        <v>43</v>
      </c>
      <c r="G379" s="33">
        <v>50</v>
      </c>
      <c r="H379" s="33">
        <v>110</v>
      </c>
      <c r="I379" s="34">
        <v>1</v>
      </c>
      <c r="J379" s="479" t="s">
        <v>777</v>
      </c>
      <c r="K379" s="32" t="s">
        <v>231</v>
      </c>
      <c r="L379" s="547" t="s">
        <v>802</v>
      </c>
      <c r="M379" s="30"/>
      <c r="N379" s="331"/>
      <c r="O379" s="333"/>
      <c r="P379" s="323"/>
      <c r="Q379" s="337"/>
      <c r="R379" s="333"/>
      <c r="S379" s="333"/>
      <c r="T379" s="345"/>
      <c r="U379" s="323"/>
      <c r="V379" s="36"/>
      <c r="W379" s="36"/>
      <c r="X379" s="36"/>
      <c r="Y379" s="36"/>
      <c r="Z379" s="36"/>
      <c r="AA379" s="36"/>
      <c r="AB379" s="31"/>
      <c r="AC379" s="37"/>
      <c r="AD379" s="31"/>
      <c r="AE379" s="36" t="s">
        <v>81</v>
      </c>
      <c r="AF379" s="36" t="s">
        <v>379</v>
      </c>
      <c r="AG379" s="36">
        <v>45898</v>
      </c>
      <c r="AH379" s="36">
        <v>45898</v>
      </c>
      <c r="AI379" s="36">
        <v>45908</v>
      </c>
      <c r="AJ379" s="36">
        <v>45852</v>
      </c>
      <c r="AK379" s="38">
        <v>45849</v>
      </c>
      <c r="AL379" s="36">
        <v>45908</v>
      </c>
      <c r="AM379" s="36">
        <v>45908</v>
      </c>
      <c r="AN379" s="36">
        <v>45877</v>
      </c>
      <c r="AO379" s="36">
        <v>45908</v>
      </c>
      <c r="AP379" s="36"/>
      <c r="AQ379" s="36">
        <v>45908</v>
      </c>
      <c r="AR379" s="36">
        <v>45908</v>
      </c>
      <c r="AS379" s="36">
        <v>45908</v>
      </c>
      <c r="AT379" s="36">
        <v>45912</v>
      </c>
      <c r="AU379" s="638"/>
      <c r="AV379" s="151"/>
      <c r="AW379" s="151"/>
      <c r="AX379" s="151"/>
      <c r="AY379" s="151"/>
    </row>
    <row r="380" spans="1:51" ht="18" customHeight="1" thickBot="1">
      <c r="A380" s="40" t="s">
        <v>509</v>
      </c>
      <c r="B380" s="41"/>
      <c r="C380" s="42"/>
      <c r="D380" s="42"/>
      <c r="E380" s="42"/>
      <c r="F380" s="43" t="s">
        <v>48</v>
      </c>
      <c r="G380" s="59"/>
      <c r="H380" s="59"/>
      <c r="I380" s="44"/>
      <c r="J380" s="52"/>
      <c r="K380" s="52"/>
      <c r="L380" s="550"/>
      <c r="M380" s="42"/>
      <c r="N380" s="42"/>
      <c r="O380" s="42"/>
      <c r="P380" s="42"/>
      <c r="Q380" s="42"/>
      <c r="R380" s="42"/>
      <c r="S380" s="42"/>
      <c r="T380" s="41"/>
      <c r="U380" s="42"/>
      <c r="V380" s="116"/>
      <c r="W380" s="116"/>
      <c r="X380" s="116"/>
      <c r="Y380" s="116"/>
      <c r="Z380" s="116"/>
      <c r="AA380" s="116"/>
      <c r="AB380" s="43"/>
      <c r="AC380" s="54"/>
      <c r="AD380" s="43"/>
      <c r="AE380" s="46" t="s">
        <v>81</v>
      </c>
      <c r="AF380" s="46" t="s">
        <v>81</v>
      </c>
      <c r="AG380" s="46" t="s">
        <v>834</v>
      </c>
      <c r="AH380" s="46">
        <v>45878</v>
      </c>
      <c r="AI380" s="46">
        <v>45919</v>
      </c>
      <c r="AJ380" s="46">
        <v>45852</v>
      </c>
      <c r="AK380" s="46">
        <v>45849</v>
      </c>
      <c r="AL380" s="46">
        <v>45926</v>
      </c>
      <c r="AM380" s="46">
        <v>45909</v>
      </c>
      <c r="AN380" s="46">
        <v>45902</v>
      </c>
      <c r="AO380" s="46" t="s">
        <v>502</v>
      </c>
      <c r="AP380" s="46"/>
      <c r="AQ380" s="46" t="s">
        <v>502</v>
      </c>
      <c r="AR380" s="46" t="s">
        <v>502</v>
      </c>
      <c r="AS380" s="46">
        <v>45925</v>
      </c>
      <c r="AT380" s="46">
        <v>45925</v>
      </c>
      <c r="AU380" s="639"/>
      <c r="AV380" s="151"/>
      <c r="AW380" s="151"/>
      <c r="AX380" s="151"/>
      <c r="AY380" s="151"/>
    </row>
    <row r="381" spans="1:51" ht="16.5" customHeight="1" thickBot="1">
      <c r="A381" s="364"/>
      <c r="B381" s="364"/>
      <c r="C381" s="364"/>
      <c r="D381" s="364"/>
      <c r="E381" s="364"/>
      <c r="F381" s="364"/>
      <c r="G381" s="364"/>
      <c r="H381" s="364"/>
      <c r="I381" s="364"/>
      <c r="J381" s="364"/>
      <c r="K381" s="364"/>
      <c r="L381" s="364"/>
      <c r="M381" s="364"/>
      <c r="N381" s="364"/>
      <c r="O381" s="364"/>
      <c r="P381" s="364"/>
      <c r="Q381" s="364"/>
      <c r="R381" s="364"/>
      <c r="S381" s="364"/>
      <c r="T381" s="364"/>
      <c r="U381" s="364"/>
      <c r="V381" s="364"/>
      <c r="W381" s="364"/>
      <c r="X381" s="364"/>
      <c r="Y381" s="364"/>
      <c r="Z381" s="364"/>
      <c r="AA381" s="364"/>
      <c r="AB381" s="364"/>
      <c r="AC381" s="364"/>
      <c r="AD381" s="364"/>
      <c r="AE381" s="364"/>
      <c r="AF381" s="364"/>
      <c r="AG381" s="364"/>
      <c r="AH381" s="364"/>
      <c r="AI381" s="364"/>
      <c r="AJ381" s="364"/>
      <c r="AK381" s="364"/>
      <c r="AL381" s="364"/>
      <c r="AM381" s="364"/>
      <c r="AN381" s="364"/>
      <c r="AO381" s="364"/>
      <c r="AP381" s="364"/>
      <c r="AQ381" s="364"/>
      <c r="AR381" s="364"/>
      <c r="AS381" s="364"/>
      <c r="AT381" s="364"/>
      <c r="AU381" s="371"/>
      <c r="AV381" s="27"/>
      <c r="AW381" s="27"/>
      <c r="AX381" s="27"/>
      <c r="AY381" s="27"/>
    </row>
    <row r="382" spans="1:51" ht="18.75" customHeight="1">
      <c r="A382" s="149">
        <v>850730</v>
      </c>
      <c r="B382" s="29">
        <v>850730</v>
      </c>
      <c r="C382" s="30" t="s">
        <v>42</v>
      </c>
      <c r="D382" s="30"/>
      <c r="E382" s="30"/>
      <c r="F382" s="31" t="s">
        <v>43</v>
      </c>
      <c r="G382" s="33">
        <v>180</v>
      </c>
      <c r="H382" s="33">
        <v>220</v>
      </c>
      <c r="I382" s="34">
        <v>2</v>
      </c>
      <c r="J382" s="526" t="s">
        <v>776</v>
      </c>
      <c r="K382" s="31" t="s">
        <v>231</v>
      </c>
      <c r="L382" s="161" t="s">
        <v>802</v>
      </c>
      <c r="M382" s="30"/>
      <c r="N382" s="30"/>
      <c r="O382" s="30"/>
      <c r="P382" s="30"/>
      <c r="Q382" s="30"/>
      <c r="R382" s="30"/>
      <c r="S382" s="30"/>
      <c r="T382" s="29"/>
      <c r="U382" s="30"/>
      <c r="V382" s="35">
        <v>45853</v>
      </c>
      <c r="W382" s="35"/>
      <c r="X382" s="35"/>
      <c r="Y382" s="35"/>
      <c r="Z382" s="31"/>
      <c r="AA382" s="31"/>
      <c r="AB382" s="31"/>
      <c r="AC382" s="37"/>
      <c r="AD382" s="31"/>
      <c r="AE382" s="36">
        <v>45903</v>
      </c>
      <c r="AF382" s="36">
        <v>45908</v>
      </c>
      <c r="AG382" s="36">
        <v>45908</v>
      </c>
      <c r="AH382" s="36">
        <v>45908</v>
      </c>
      <c r="AI382" s="36">
        <v>45916</v>
      </c>
      <c r="AJ382" s="36">
        <v>45852</v>
      </c>
      <c r="AK382" s="36">
        <v>45852</v>
      </c>
      <c r="AL382" s="36">
        <v>45916</v>
      </c>
      <c r="AM382" s="36">
        <v>45916</v>
      </c>
      <c r="AN382" s="99">
        <v>45873</v>
      </c>
      <c r="AO382" s="36">
        <v>45916</v>
      </c>
      <c r="AP382" s="36"/>
      <c r="AQ382" s="36">
        <v>45916</v>
      </c>
      <c r="AR382" s="36">
        <v>45916</v>
      </c>
      <c r="AS382" s="36">
        <v>45916</v>
      </c>
      <c r="AT382" s="36">
        <v>45919</v>
      </c>
      <c r="AU382" s="195"/>
      <c r="AV382" s="151"/>
      <c r="AW382" s="151"/>
      <c r="AX382" s="151"/>
      <c r="AY382" s="151"/>
    </row>
    <row r="383" spans="1:51" ht="18" customHeight="1">
      <c r="A383" s="531" t="s">
        <v>509</v>
      </c>
      <c r="B383" s="41"/>
      <c r="C383" s="42"/>
      <c r="D383" s="42"/>
      <c r="E383" s="42"/>
      <c r="F383" s="43" t="s">
        <v>48</v>
      </c>
      <c r="G383" s="59"/>
      <c r="H383" s="59"/>
      <c r="I383" s="44"/>
      <c r="J383" s="52"/>
      <c r="K383" s="53"/>
      <c r="L383" s="537"/>
      <c r="M383" s="42"/>
      <c r="N383" s="42"/>
      <c r="O383" s="42"/>
      <c r="P383" s="42"/>
      <c r="Q383" s="42"/>
      <c r="R383" s="42"/>
      <c r="S383" s="42"/>
      <c r="T383" s="41"/>
      <c r="U383" s="42"/>
      <c r="V383" s="53"/>
      <c r="W383" s="53"/>
      <c r="X383" s="53"/>
      <c r="Y383" s="53"/>
      <c r="Z383" s="43"/>
      <c r="AA383" s="43"/>
      <c r="AB383" s="43"/>
      <c r="AC383" s="54"/>
      <c r="AD383" s="43"/>
      <c r="AE383" s="46">
        <v>45897</v>
      </c>
      <c r="AF383" s="46">
        <v>45908</v>
      </c>
      <c r="AG383" s="46">
        <v>45878</v>
      </c>
      <c r="AH383" s="46">
        <v>45905</v>
      </c>
      <c r="AI383" s="46">
        <v>45915</v>
      </c>
      <c r="AJ383" s="46" t="s">
        <v>790</v>
      </c>
      <c r="AK383" s="46">
        <v>45860</v>
      </c>
      <c r="AL383" s="46">
        <v>45916</v>
      </c>
      <c r="AM383" s="46">
        <v>45909</v>
      </c>
      <c r="AN383" s="46">
        <v>45868</v>
      </c>
      <c r="AO383" s="46">
        <v>45916</v>
      </c>
      <c r="AP383" s="405"/>
      <c r="AQ383" s="46">
        <v>45916</v>
      </c>
      <c r="AR383" s="36">
        <v>45912</v>
      </c>
      <c r="AS383" s="46">
        <v>45925</v>
      </c>
      <c r="AT383" s="46">
        <v>45927</v>
      </c>
      <c r="AU383" s="150"/>
      <c r="AV383" s="151"/>
      <c r="AW383" s="151"/>
      <c r="AX383" s="151"/>
      <c r="AY383" s="151"/>
    </row>
    <row r="384" spans="1:51" ht="18" customHeight="1">
      <c r="A384" s="149">
        <v>812860</v>
      </c>
      <c r="B384" s="29" t="s">
        <v>450</v>
      </c>
      <c r="C384" s="167" t="s">
        <v>42</v>
      </c>
      <c r="D384" s="153"/>
      <c r="E384" s="30"/>
      <c r="F384" s="31" t="s">
        <v>43</v>
      </c>
      <c r="G384" s="33">
        <v>550</v>
      </c>
      <c r="H384" s="33">
        <v>330</v>
      </c>
      <c r="I384" s="34">
        <v>3</v>
      </c>
      <c r="J384" s="479" t="s">
        <v>451</v>
      </c>
      <c r="K384" s="32" t="s">
        <v>478</v>
      </c>
      <c r="L384" s="547" t="s">
        <v>803</v>
      </c>
      <c r="M384" s="30"/>
      <c r="N384" s="331" t="s">
        <v>336</v>
      </c>
      <c r="O384" s="333" t="s">
        <v>511</v>
      </c>
      <c r="P384" s="323" t="s">
        <v>373</v>
      </c>
      <c r="Q384" s="337" t="s">
        <v>408</v>
      </c>
      <c r="R384" s="333" t="s">
        <v>354</v>
      </c>
      <c r="S384" s="333" t="s">
        <v>361</v>
      </c>
      <c r="T384" s="345" t="s">
        <v>517</v>
      </c>
      <c r="U384" s="323" t="s">
        <v>354</v>
      </c>
      <c r="V384" s="36">
        <v>45407</v>
      </c>
      <c r="W384" s="36">
        <f>V384+15</f>
        <v>45422</v>
      </c>
      <c r="X384" s="36">
        <v>45407</v>
      </c>
      <c r="Y384" s="36">
        <f>X384+15</f>
        <v>45422</v>
      </c>
      <c r="Z384" s="36" t="s">
        <v>72</v>
      </c>
      <c r="AA384" s="36"/>
      <c r="AB384" s="31"/>
      <c r="AC384" s="37">
        <v>3</v>
      </c>
      <c r="AD384" s="31" t="s">
        <v>72</v>
      </c>
      <c r="AE384" s="36">
        <v>45897</v>
      </c>
      <c r="AF384" s="36">
        <v>45915</v>
      </c>
      <c r="AG384" s="36">
        <v>45915</v>
      </c>
      <c r="AH384" s="36">
        <v>45915</v>
      </c>
      <c r="AI384" s="561">
        <v>45930</v>
      </c>
      <c r="AJ384" s="36">
        <v>45763</v>
      </c>
      <c r="AK384" s="38" t="s">
        <v>452</v>
      </c>
      <c r="AL384" s="36">
        <v>45922</v>
      </c>
      <c r="AM384" s="36">
        <v>45922</v>
      </c>
      <c r="AN384" s="36">
        <v>45877</v>
      </c>
      <c r="AO384" s="36">
        <v>45922</v>
      </c>
      <c r="AP384" s="36"/>
      <c r="AQ384" s="36">
        <v>45922</v>
      </c>
      <c r="AR384" s="99">
        <v>45930</v>
      </c>
      <c r="AS384" s="99">
        <v>45930</v>
      </c>
      <c r="AT384" s="99">
        <v>45940</v>
      </c>
      <c r="AU384" s="150"/>
      <c r="AV384" s="151"/>
      <c r="AW384" s="151"/>
      <c r="AX384" s="151"/>
      <c r="AY384" s="151"/>
    </row>
    <row r="385" spans="1:51" ht="18" customHeight="1">
      <c r="A385" s="40">
        <v>812860</v>
      </c>
      <c r="B385" s="41"/>
      <c r="C385" s="42"/>
      <c r="D385" s="42"/>
      <c r="E385" s="42"/>
      <c r="F385" s="43" t="s">
        <v>48</v>
      </c>
      <c r="G385" s="59"/>
      <c r="H385" s="59"/>
      <c r="I385" s="44"/>
      <c r="J385" s="52"/>
      <c r="K385" s="52"/>
      <c r="L385" s="550"/>
      <c r="M385" s="42"/>
      <c r="N385" s="42"/>
      <c r="O385" s="42"/>
      <c r="P385" s="42"/>
      <c r="Q385" s="42"/>
      <c r="R385" s="42"/>
      <c r="S385" s="42"/>
      <c r="T385" s="41"/>
      <c r="U385" s="42"/>
      <c r="V385" s="116">
        <v>45404</v>
      </c>
      <c r="W385" s="116">
        <v>45644</v>
      </c>
      <c r="X385" s="116" t="s">
        <v>518</v>
      </c>
      <c r="Y385" s="116">
        <v>45701</v>
      </c>
      <c r="Z385" s="116"/>
      <c r="AA385" s="116"/>
      <c r="AB385" s="43"/>
      <c r="AC385" s="54"/>
      <c r="AD385" s="43"/>
      <c r="AE385" s="46">
        <v>45873</v>
      </c>
      <c r="AF385" s="46">
        <v>45909</v>
      </c>
      <c r="AG385" s="46" t="s">
        <v>835</v>
      </c>
      <c r="AH385" s="46">
        <v>45913</v>
      </c>
      <c r="AI385" s="46">
        <v>45976</v>
      </c>
      <c r="AJ385" s="46">
        <v>45398</v>
      </c>
      <c r="AK385" s="46">
        <v>45378</v>
      </c>
      <c r="AL385" s="46">
        <v>45922</v>
      </c>
      <c r="AM385" s="46">
        <v>45922</v>
      </c>
      <c r="AN385" s="46">
        <v>45874</v>
      </c>
      <c r="AO385" s="46">
        <v>45922</v>
      </c>
      <c r="AP385" s="46"/>
      <c r="AQ385" s="46">
        <v>45922</v>
      </c>
      <c r="AR385" s="46">
        <v>45930</v>
      </c>
      <c r="AS385" s="46">
        <v>45940</v>
      </c>
      <c r="AT385" s="46">
        <v>45940</v>
      </c>
      <c r="AU385" s="150"/>
      <c r="AV385" s="151"/>
      <c r="AW385" s="151"/>
      <c r="AX385" s="151"/>
      <c r="AY385" s="151"/>
    </row>
    <row r="386" spans="1:51" ht="18.75" customHeight="1">
      <c r="A386" s="149">
        <v>813191</v>
      </c>
      <c r="B386" s="29" t="s">
        <v>753</v>
      </c>
      <c r="C386" s="167" t="s">
        <v>42</v>
      </c>
      <c r="D386" s="30"/>
      <c r="E386" s="30"/>
      <c r="F386" s="31" t="s">
        <v>43</v>
      </c>
      <c r="G386" s="33">
        <v>30</v>
      </c>
      <c r="H386" s="33">
        <v>220</v>
      </c>
      <c r="I386" s="34">
        <v>2</v>
      </c>
      <c r="J386" s="522" t="s">
        <v>754</v>
      </c>
      <c r="K386" s="31" t="s">
        <v>351</v>
      </c>
      <c r="L386" s="161" t="s">
        <v>804</v>
      </c>
      <c r="M386" s="30"/>
      <c r="N386" s="30" t="s">
        <v>361</v>
      </c>
      <c r="O386" s="30"/>
      <c r="P386" s="309" t="s">
        <v>389</v>
      </c>
      <c r="Q386" s="30"/>
      <c r="R386" s="30" t="s">
        <v>406</v>
      </c>
      <c r="S386" s="30" t="s">
        <v>406</v>
      </c>
      <c r="T386" s="29"/>
      <c r="U386" s="30" t="s">
        <v>354</v>
      </c>
      <c r="V386" s="35">
        <v>45849</v>
      </c>
      <c r="W386" s="35">
        <f>V386+30</f>
        <v>45879</v>
      </c>
      <c r="X386" s="35">
        <v>45849</v>
      </c>
      <c r="Y386" s="35">
        <v>45880</v>
      </c>
      <c r="Z386" s="31"/>
      <c r="AA386" s="31"/>
      <c r="AB386" s="31"/>
      <c r="AC386" s="37"/>
      <c r="AD386" s="31"/>
      <c r="AE386" s="36">
        <v>45912</v>
      </c>
      <c r="AF386" s="99">
        <v>45930</v>
      </c>
      <c r="AG386" s="36">
        <v>45922</v>
      </c>
      <c r="AH386" s="36">
        <v>45922</v>
      </c>
      <c r="AI386" s="36">
        <v>45926</v>
      </c>
      <c r="AJ386" s="36" t="s">
        <v>81</v>
      </c>
      <c r="AK386" s="36">
        <v>45848</v>
      </c>
      <c r="AL386" s="36">
        <v>45926</v>
      </c>
      <c r="AM386" s="36">
        <v>45926</v>
      </c>
      <c r="AN386" s="36">
        <v>45881</v>
      </c>
      <c r="AO386" s="36">
        <v>45926</v>
      </c>
      <c r="AP386" s="36"/>
      <c r="AQ386" s="36">
        <v>45926</v>
      </c>
      <c r="AR386" s="36">
        <v>45926</v>
      </c>
      <c r="AS386" s="36">
        <v>45926</v>
      </c>
      <c r="AT386" s="36">
        <v>45928</v>
      </c>
      <c r="AU386" s="150"/>
      <c r="AV386" s="151"/>
      <c r="AW386" s="151"/>
      <c r="AX386" s="151"/>
      <c r="AY386" s="151"/>
    </row>
    <row r="387" spans="1:51" ht="18" customHeight="1">
      <c r="A387" s="40">
        <v>813191</v>
      </c>
      <c r="B387" s="41"/>
      <c r="C387" s="42"/>
      <c r="D387" s="42"/>
      <c r="E387" s="42"/>
      <c r="F387" s="43" t="s">
        <v>48</v>
      </c>
      <c r="G387" s="59"/>
      <c r="H387" s="59"/>
      <c r="I387" s="44"/>
      <c r="J387" s="52"/>
      <c r="K387" s="53"/>
      <c r="L387" s="537"/>
      <c r="M387" s="42"/>
      <c r="N387" s="42"/>
      <c r="O387" s="42"/>
      <c r="P387" s="42"/>
      <c r="Q387" s="42"/>
      <c r="R387" s="42"/>
      <c r="S387" s="42"/>
      <c r="T387" s="41"/>
      <c r="U387" s="42"/>
      <c r="V387" s="53">
        <v>45849</v>
      </c>
      <c r="W387" s="53">
        <v>45888</v>
      </c>
      <c r="X387" s="53">
        <v>45849</v>
      </c>
      <c r="Y387" s="53">
        <v>45880</v>
      </c>
      <c r="Z387" s="43"/>
      <c r="AA387" s="43"/>
      <c r="AB387" s="43"/>
      <c r="AC387" s="54"/>
      <c r="AD387" s="43"/>
      <c r="AE387" s="46">
        <v>45912</v>
      </c>
      <c r="AF387" s="46">
        <v>45930</v>
      </c>
      <c r="AG387" s="500">
        <v>45922</v>
      </c>
      <c r="AH387" s="46">
        <v>45922</v>
      </c>
      <c r="AI387" s="46">
        <v>45926</v>
      </c>
      <c r="AJ387" s="46" t="s">
        <v>81</v>
      </c>
      <c r="AK387" s="46">
        <v>45842</v>
      </c>
      <c r="AL387" s="46">
        <v>45916</v>
      </c>
      <c r="AM387" s="46">
        <v>45925</v>
      </c>
      <c r="AN387" s="46">
        <v>45881</v>
      </c>
      <c r="AO387" s="46">
        <v>45926</v>
      </c>
      <c r="AP387" s="46"/>
      <c r="AQ387" s="46">
        <v>45926</v>
      </c>
      <c r="AR387" s="46">
        <v>45922</v>
      </c>
      <c r="AS387" s="46">
        <v>45926</v>
      </c>
      <c r="AT387" s="46">
        <v>45928</v>
      </c>
      <c r="AU387" s="47" t="s">
        <v>827</v>
      </c>
      <c r="AV387" s="151"/>
      <c r="AW387" s="151"/>
      <c r="AX387" s="151"/>
      <c r="AY387" s="151"/>
    </row>
    <row r="388" spans="1:51" ht="18.75" customHeight="1">
      <c r="A388" s="340">
        <v>813050</v>
      </c>
      <c r="B388" s="29" t="s">
        <v>618</v>
      </c>
      <c r="C388" s="167" t="s">
        <v>42</v>
      </c>
      <c r="D388" s="30"/>
      <c r="E388" s="30"/>
      <c r="F388" s="31" t="s">
        <v>43</v>
      </c>
      <c r="G388" s="33">
        <v>150</v>
      </c>
      <c r="H388" s="33">
        <v>400</v>
      </c>
      <c r="I388" s="34">
        <v>4</v>
      </c>
      <c r="J388" s="466" t="s">
        <v>611</v>
      </c>
      <c r="K388" s="66" t="s">
        <v>66</v>
      </c>
      <c r="L388" s="157" t="s">
        <v>799</v>
      </c>
      <c r="M388" s="30"/>
      <c r="N388" s="309" t="s">
        <v>336</v>
      </c>
      <c r="O388" s="309"/>
      <c r="P388" s="309" t="s">
        <v>352</v>
      </c>
      <c r="Q388" s="30"/>
      <c r="R388" s="333" t="s">
        <v>354</v>
      </c>
      <c r="S388" s="333" t="s">
        <v>354</v>
      </c>
      <c r="T388" s="29"/>
      <c r="U388" s="316" t="s">
        <v>354</v>
      </c>
      <c r="V388" s="36">
        <v>45762</v>
      </c>
      <c r="W388" s="36">
        <f>V388+15</f>
        <v>45777</v>
      </c>
      <c r="X388" s="36">
        <v>45762</v>
      </c>
      <c r="Y388" s="36">
        <f>X388+15</f>
        <v>45777</v>
      </c>
      <c r="Z388" s="66"/>
      <c r="AA388" s="31"/>
      <c r="AB388" s="31"/>
      <c r="AC388" s="37"/>
      <c r="AD388" s="31"/>
      <c r="AE388" s="36">
        <v>45915</v>
      </c>
      <c r="AF388" s="36">
        <v>45926</v>
      </c>
      <c r="AG388" s="36">
        <v>45926</v>
      </c>
      <c r="AH388" s="36">
        <v>45926</v>
      </c>
      <c r="AI388" s="99">
        <v>45940</v>
      </c>
      <c r="AJ388" s="36">
        <v>45628</v>
      </c>
      <c r="AK388" s="36">
        <v>45639</v>
      </c>
      <c r="AL388" s="36">
        <v>45930</v>
      </c>
      <c r="AM388" s="561">
        <v>45930</v>
      </c>
      <c r="AN388" s="561">
        <v>45881</v>
      </c>
      <c r="AO388" s="36">
        <v>45930</v>
      </c>
      <c r="AP388" s="36"/>
      <c r="AQ388" s="36">
        <v>45930</v>
      </c>
      <c r="AR388" s="36">
        <v>45930</v>
      </c>
      <c r="AS388" s="36">
        <v>45930</v>
      </c>
      <c r="AT388" s="36">
        <v>45930</v>
      </c>
      <c r="AU388" s="150"/>
      <c r="AV388" s="151"/>
      <c r="AW388" s="151"/>
      <c r="AX388" s="151"/>
      <c r="AY388" s="151"/>
    </row>
    <row r="389" spans="1:51" ht="18" customHeight="1">
      <c r="A389" s="40"/>
      <c r="B389" s="41"/>
      <c r="C389" s="42"/>
      <c r="D389" s="42"/>
      <c r="E389" s="42"/>
      <c r="F389" s="43" t="s">
        <v>48</v>
      </c>
      <c r="G389" s="59"/>
      <c r="H389" s="59"/>
      <c r="I389" s="44"/>
      <c r="J389" s="52"/>
      <c r="K389" s="53"/>
      <c r="L389" s="537"/>
      <c r="M389" s="42"/>
      <c r="N389" s="42"/>
      <c r="O389" s="42"/>
      <c r="P389" s="42"/>
      <c r="Q389" s="42"/>
      <c r="R389" s="42"/>
      <c r="S389" s="42"/>
      <c r="T389" s="41"/>
      <c r="U389" s="42"/>
      <c r="V389" s="116">
        <v>45762</v>
      </c>
      <c r="W389" s="116"/>
      <c r="X389" s="116">
        <v>45762</v>
      </c>
      <c r="Y389" s="116"/>
      <c r="Z389" s="43"/>
      <c r="AA389" s="43"/>
      <c r="AB389" s="43"/>
      <c r="AC389" s="54"/>
      <c r="AD389" s="43"/>
      <c r="AE389" s="46">
        <v>45909</v>
      </c>
      <c r="AF389" s="46" t="s">
        <v>836</v>
      </c>
      <c r="AG389" s="46">
        <v>45930</v>
      </c>
      <c r="AH389" s="46">
        <v>45930</v>
      </c>
      <c r="AI389" s="46">
        <v>45953</v>
      </c>
      <c r="AJ389" s="116">
        <v>45635</v>
      </c>
      <c r="AK389" s="366">
        <v>45635</v>
      </c>
      <c r="AL389" s="46">
        <v>45925</v>
      </c>
      <c r="AM389" s="46" t="s">
        <v>837</v>
      </c>
      <c r="AN389" s="46" t="s">
        <v>254</v>
      </c>
      <c r="AO389" s="46">
        <v>45928</v>
      </c>
      <c r="AP389" s="46"/>
      <c r="AQ389" s="46">
        <v>45928</v>
      </c>
      <c r="AR389" s="46">
        <v>45930</v>
      </c>
      <c r="AS389" s="46">
        <v>45930</v>
      </c>
      <c r="AT389" s="46">
        <v>45930</v>
      </c>
      <c r="AU389" s="150"/>
      <c r="AV389" s="151"/>
      <c r="AW389" s="151"/>
      <c r="AX389" s="151"/>
      <c r="AY389" s="151"/>
    </row>
    <row r="390" spans="1:51" ht="18.75" customHeight="1">
      <c r="A390" s="340">
        <v>813069</v>
      </c>
      <c r="B390" s="29" t="s">
        <v>625</v>
      </c>
      <c r="C390" s="30" t="s">
        <v>173</v>
      </c>
      <c r="D390" s="153">
        <v>1</v>
      </c>
      <c r="E390" s="153">
        <v>0.7</v>
      </c>
      <c r="F390" s="31" t="s">
        <v>43</v>
      </c>
      <c r="G390" s="33">
        <v>300</v>
      </c>
      <c r="H390" s="33">
        <v>275</v>
      </c>
      <c r="I390" s="34">
        <v>2</v>
      </c>
      <c r="J390" s="469" t="s">
        <v>626</v>
      </c>
      <c r="K390" s="66" t="s">
        <v>66</v>
      </c>
      <c r="L390" s="157" t="s">
        <v>800</v>
      </c>
      <c r="M390" s="30"/>
      <c r="N390" s="331" t="s">
        <v>336</v>
      </c>
      <c r="O390" s="331"/>
      <c r="P390" s="331" t="s">
        <v>373</v>
      </c>
      <c r="Q390" s="30"/>
      <c r="R390" s="333" t="s">
        <v>354</v>
      </c>
      <c r="S390" s="333" t="s">
        <v>361</v>
      </c>
      <c r="T390" s="29"/>
      <c r="U390" s="316" t="s">
        <v>354</v>
      </c>
      <c r="V390" s="36">
        <v>45678</v>
      </c>
      <c r="W390" s="36">
        <f>V390+15</f>
        <v>45693</v>
      </c>
      <c r="X390" s="36">
        <v>45678</v>
      </c>
      <c r="Y390" s="36">
        <f>X390+15</f>
        <v>45693</v>
      </c>
      <c r="Z390" s="66"/>
      <c r="AA390" s="31"/>
      <c r="AB390" s="31"/>
      <c r="AC390" s="37"/>
      <c r="AD390" s="31"/>
      <c r="AE390" s="36">
        <v>45922</v>
      </c>
      <c r="AF390" s="36">
        <v>45930</v>
      </c>
      <c r="AG390" s="36">
        <v>45930</v>
      </c>
      <c r="AH390" s="36">
        <v>45930</v>
      </c>
      <c r="AI390" s="36">
        <v>45930</v>
      </c>
      <c r="AJ390" s="38">
        <v>45628</v>
      </c>
      <c r="AK390" s="348" t="s">
        <v>627</v>
      </c>
      <c r="AL390" s="36">
        <v>45930</v>
      </c>
      <c r="AM390" s="36">
        <v>45930</v>
      </c>
      <c r="AN390" s="36">
        <v>45881</v>
      </c>
      <c r="AO390" s="36">
        <v>45930</v>
      </c>
      <c r="AP390" s="36"/>
      <c r="AQ390" s="36">
        <v>45930</v>
      </c>
      <c r="AR390" s="36">
        <v>45930</v>
      </c>
      <c r="AS390" s="36">
        <v>45930</v>
      </c>
      <c r="AT390" s="36">
        <v>45930</v>
      </c>
      <c r="AU390" s="150"/>
      <c r="AV390" s="151"/>
      <c r="AW390" s="151"/>
      <c r="AX390" s="151"/>
      <c r="AY390" s="151"/>
    </row>
    <row r="391" spans="1:51" ht="18" customHeight="1">
      <c r="A391" s="40">
        <v>813069</v>
      </c>
      <c r="B391" s="41"/>
      <c r="C391" s="42">
        <v>822807</v>
      </c>
      <c r="D391" s="42"/>
      <c r="E391" s="42"/>
      <c r="F391" s="43" t="s">
        <v>48</v>
      </c>
      <c r="G391" s="59"/>
      <c r="H391" s="59"/>
      <c r="I391" s="44"/>
      <c r="J391" s="52"/>
      <c r="K391" s="53"/>
      <c r="L391" s="537"/>
      <c r="M391" s="42"/>
      <c r="N391" s="42"/>
      <c r="O391" s="42"/>
      <c r="P391" s="42"/>
      <c r="Q391" s="42"/>
      <c r="R391" s="42"/>
      <c r="S391" s="42"/>
      <c r="T391" s="41"/>
      <c r="U391" s="42"/>
      <c r="V391" s="116">
        <v>45678</v>
      </c>
      <c r="W391" s="116">
        <v>45707</v>
      </c>
      <c r="X391" s="116">
        <v>45678</v>
      </c>
      <c r="Y391" s="116">
        <v>45707</v>
      </c>
      <c r="Z391" s="43"/>
      <c r="AA391" s="43"/>
      <c r="AB391" s="43"/>
      <c r="AC391" s="54"/>
      <c r="AD391" s="43"/>
      <c r="AE391" s="46" t="s">
        <v>81</v>
      </c>
      <c r="AF391" s="46" t="s">
        <v>81</v>
      </c>
      <c r="AG391" s="46">
        <v>45930</v>
      </c>
      <c r="AH391" s="46">
        <v>45930</v>
      </c>
      <c r="AI391" s="46">
        <v>45928</v>
      </c>
      <c r="AJ391" s="46">
        <v>45628</v>
      </c>
      <c r="AK391" s="46">
        <v>45993</v>
      </c>
      <c r="AL391" s="46">
        <v>45925</v>
      </c>
      <c r="AM391" s="46">
        <v>45930</v>
      </c>
      <c r="AN391" s="46">
        <v>45881</v>
      </c>
      <c r="AO391" s="46">
        <v>45926</v>
      </c>
      <c r="AP391" s="46"/>
      <c r="AQ391" s="46">
        <v>45926</v>
      </c>
      <c r="AR391" s="46">
        <v>45926</v>
      </c>
      <c r="AS391" s="46">
        <v>45926</v>
      </c>
      <c r="AT391" s="46">
        <v>45926</v>
      </c>
      <c r="AU391" s="150"/>
      <c r="AV391" s="151"/>
      <c r="AW391" s="151"/>
      <c r="AX391" s="151"/>
      <c r="AY391" s="151"/>
    </row>
    <row r="392" spans="1:51" ht="18.75" customHeight="1">
      <c r="A392" s="533">
        <v>813215</v>
      </c>
      <c r="B392" s="29" t="s">
        <v>792</v>
      </c>
      <c r="C392" s="30" t="s">
        <v>55</v>
      </c>
      <c r="D392" s="153">
        <v>0.95</v>
      </c>
      <c r="E392" s="153">
        <v>0.8</v>
      </c>
      <c r="F392" s="31" t="s">
        <v>43</v>
      </c>
      <c r="G392" s="33">
        <v>334</v>
      </c>
      <c r="H392" s="33">
        <v>500</v>
      </c>
      <c r="I392" s="34">
        <v>3</v>
      </c>
      <c r="J392" s="469" t="s">
        <v>780</v>
      </c>
      <c r="K392" s="31" t="s">
        <v>231</v>
      </c>
      <c r="L392" s="161" t="s">
        <v>804</v>
      </c>
      <c r="M392" s="30"/>
      <c r="N392" s="30" t="s">
        <v>336</v>
      </c>
      <c r="O392" s="30"/>
      <c r="P392" s="30" t="s">
        <v>876</v>
      </c>
      <c r="Q392" s="30"/>
      <c r="R392" s="30"/>
      <c r="S392" s="30"/>
      <c r="T392" s="29"/>
      <c r="U392" s="316" t="s">
        <v>354</v>
      </c>
      <c r="V392" s="35">
        <v>45898</v>
      </c>
      <c r="W392" s="35">
        <v>45916</v>
      </c>
      <c r="X392" s="35">
        <v>45889</v>
      </c>
      <c r="Y392" s="35">
        <v>45929</v>
      </c>
      <c r="Z392" s="31"/>
      <c r="AA392" s="31"/>
      <c r="AB392" s="31"/>
      <c r="AC392" s="37"/>
      <c r="AD392" s="31"/>
      <c r="AE392" s="36">
        <v>45922</v>
      </c>
      <c r="AF392" s="36">
        <v>45930</v>
      </c>
      <c r="AG392" s="36">
        <v>45930</v>
      </c>
      <c r="AH392" s="36">
        <v>45930</v>
      </c>
      <c r="AI392" s="36">
        <v>45939</v>
      </c>
      <c r="AJ392" s="36">
        <v>45881</v>
      </c>
      <c r="AK392" s="36">
        <v>45881</v>
      </c>
      <c r="AL392" s="36">
        <v>45939</v>
      </c>
      <c r="AM392" s="36">
        <v>45939</v>
      </c>
      <c r="AN392" s="99">
        <v>45902</v>
      </c>
      <c r="AO392" s="36">
        <v>45939</v>
      </c>
      <c r="AP392" s="36"/>
      <c r="AQ392" s="36">
        <v>45939</v>
      </c>
      <c r="AR392" s="36">
        <v>45940</v>
      </c>
      <c r="AS392" s="36">
        <v>45940</v>
      </c>
      <c r="AT392" s="36">
        <v>45943</v>
      </c>
      <c r="AU392" s="150"/>
      <c r="AV392" s="151"/>
      <c r="AW392" s="151"/>
      <c r="AX392" s="151"/>
      <c r="AY392" s="151"/>
    </row>
    <row r="393" spans="1:51" ht="18" customHeight="1" thickBot="1">
      <c r="A393" s="40"/>
      <c r="B393" s="41"/>
      <c r="C393" s="42">
        <v>813175</v>
      </c>
      <c r="D393" s="42"/>
      <c r="E393" s="42"/>
      <c r="F393" s="43" t="s">
        <v>48</v>
      </c>
      <c r="G393" s="59"/>
      <c r="H393" s="59"/>
      <c r="I393" s="44"/>
      <c r="J393" s="52"/>
      <c r="K393" s="53"/>
      <c r="L393" s="537"/>
      <c r="M393" s="42"/>
      <c r="N393" s="42"/>
      <c r="O393" s="42"/>
      <c r="P393" s="42"/>
      <c r="Q393" s="42"/>
      <c r="R393" s="42"/>
      <c r="S393" s="42"/>
      <c r="T393" s="41"/>
      <c r="U393" s="42"/>
      <c r="V393" s="53">
        <v>45897</v>
      </c>
      <c r="W393" s="53">
        <v>45916</v>
      </c>
      <c r="X393" s="53">
        <v>45889</v>
      </c>
      <c r="Y393" s="53">
        <v>45929</v>
      </c>
      <c r="Z393" s="43"/>
      <c r="AA393" s="43"/>
      <c r="AB393" s="43"/>
      <c r="AC393" s="54"/>
      <c r="AD393" s="43"/>
      <c r="AE393" s="46">
        <v>45922</v>
      </c>
      <c r="AF393" s="46">
        <v>45930</v>
      </c>
      <c r="AG393" s="46">
        <v>45930</v>
      </c>
      <c r="AH393" s="46">
        <v>45930</v>
      </c>
      <c r="AI393" s="46">
        <v>45925</v>
      </c>
      <c r="AJ393" s="46">
        <v>45881</v>
      </c>
      <c r="AK393" s="46">
        <v>45881</v>
      </c>
      <c r="AL393" s="46">
        <v>45917</v>
      </c>
      <c r="AM393" s="46">
        <v>45939</v>
      </c>
      <c r="AN393" s="46">
        <v>45902</v>
      </c>
      <c r="AO393" s="46">
        <v>45926</v>
      </c>
      <c r="AP393" s="46"/>
      <c r="AQ393" s="46">
        <v>45926</v>
      </c>
      <c r="AR393" s="46">
        <v>45940</v>
      </c>
      <c r="AS393" s="46">
        <v>45940</v>
      </c>
      <c r="AT393" s="46">
        <v>45943</v>
      </c>
      <c r="AU393" s="194"/>
      <c r="AV393" s="151"/>
      <c r="AW393" s="151"/>
      <c r="AX393" s="151"/>
      <c r="AY393" s="151"/>
    </row>
    <row r="394" spans="1:51" ht="16.5" customHeight="1" thickBot="1">
      <c r="A394" s="364"/>
      <c r="B394" s="364"/>
      <c r="C394" s="364"/>
      <c r="D394" s="364"/>
      <c r="E394" s="364"/>
      <c r="F394" s="364"/>
      <c r="G394" s="364"/>
      <c r="H394" s="364"/>
      <c r="I394" s="364"/>
      <c r="J394" s="364"/>
      <c r="K394" s="364"/>
      <c r="L394" s="364"/>
      <c r="M394" s="364"/>
      <c r="N394" s="364"/>
      <c r="O394" s="364"/>
      <c r="P394" s="364"/>
      <c r="Q394" s="364"/>
      <c r="R394" s="364"/>
      <c r="S394" s="364"/>
      <c r="T394" s="364"/>
      <c r="U394" s="364"/>
      <c r="V394" s="364"/>
      <c r="W394" s="364"/>
      <c r="X394" s="364"/>
      <c r="Y394" s="364"/>
      <c r="Z394" s="364"/>
      <c r="AA394" s="364"/>
      <c r="AB394" s="364"/>
      <c r="AC394" s="364"/>
      <c r="AD394" s="364"/>
      <c r="AE394" s="364"/>
      <c r="AF394" s="364"/>
      <c r="AG394" s="364"/>
      <c r="AH394" s="364"/>
      <c r="AI394" s="364"/>
      <c r="AJ394" s="364"/>
      <c r="AK394" s="364"/>
      <c r="AL394" s="364"/>
      <c r="AM394" s="364"/>
      <c r="AN394" s="364"/>
      <c r="AO394" s="364"/>
      <c r="AP394" s="364"/>
      <c r="AQ394" s="364"/>
      <c r="AR394" s="364"/>
      <c r="AS394" s="364"/>
      <c r="AT394" s="364"/>
      <c r="AU394" s="371"/>
      <c r="AV394" s="27"/>
      <c r="AW394" s="27"/>
      <c r="AX394" s="27"/>
      <c r="AY394" s="27"/>
    </row>
    <row r="395" spans="1:51" ht="21" customHeight="1">
      <c r="A395" s="149">
        <v>813125</v>
      </c>
      <c r="B395" s="491" t="s">
        <v>695</v>
      </c>
      <c r="C395" s="30" t="s">
        <v>55</v>
      </c>
      <c r="D395" s="153">
        <v>0.95</v>
      </c>
      <c r="E395" s="153">
        <v>0.95</v>
      </c>
      <c r="F395" s="31" t="s">
        <v>43</v>
      </c>
      <c r="G395" s="33">
        <v>160</v>
      </c>
      <c r="H395" s="33">
        <v>400</v>
      </c>
      <c r="I395" s="34">
        <v>3</v>
      </c>
      <c r="J395" s="507" t="s">
        <v>705</v>
      </c>
      <c r="K395" s="31" t="s">
        <v>351</v>
      </c>
      <c r="L395" s="161" t="s">
        <v>804</v>
      </c>
      <c r="M395" s="30"/>
      <c r="N395" s="309" t="s">
        <v>336</v>
      </c>
      <c r="O395" s="309"/>
      <c r="P395" s="309" t="s">
        <v>480</v>
      </c>
      <c r="Q395" s="30"/>
      <c r="R395" s="30" t="s">
        <v>354</v>
      </c>
      <c r="S395" s="30" t="s">
        <v>361</v>
      </c>
      <c r="T395" s="29"/>
      <c r="U395" s="30" t="s">
        <v>354</v>
      </c>
      <c r="V395" s="36">
        <v>45777</v>
      </c>
      <c r="W395" s="36">
        <f>V395+15</f>
        <v>45792</v>
      </c>
      <c r="X395" s="36">
        <v>45777</v>
      </c>
      <c r="Y395" s="36">
        <f>X395+15</f>
        <v>45792</v>
      </c>
      <c r="Z395" s="31"/>
      <c r="AA395" s="31"/>
      <c r="AB395" s="31"/>
      <c r="AC395" s="37"/>
      <c r="AD395" s="31"/>
      <c r="AE395" s="36">
        <v>45939</v>
      </c>
      <c r="AF395" s="36">
        <v>45943</v>
      </c>
      <c r="AG395" s="36">
        <v>45943</v>
      </c>
      <c r="AH395" s="36">
        <v>45943</v>
      </c>
      <c r="AI395" s="36">
        <v>45950</v>
      </c>
      <c r="AJ395" s="36">
        <v>45762</v>
      </c>
      <c r="AK395" s="36">
        <v>45785</v>
      </c>
      <c r="AL395" s="36">
        <v>45950</v>
      </c>
      <c r="AM395" s="36">
        <v>45950</v>
      </c>
      <c r="AN395" s="36">
        <v>45887</v>
      </c>
      <c r="AO395" s="36">
        <v>45950</v>
      </c>
      <c r="AP395" s="36"/>
      <c r="AQ395" s="36">
        <v>45950</v>
      </c>
      <c r="AR395" s="36">
        <v>45950</v>
      </c>
      <c r="AS395" s="36">
        <v>45950</v>
      </c>
      <c r="AT395" s="36">
        <v>45953</v>
      </c>
      <c r="AU395" s="195"/>
      <c r="AV395" s="151"/>
      <c r="AW395" s="151"/>
      <c r="AX395" s="151"/>
      <c r="AY395" s="151"/>
    </row>
    <row r="396" spans="1:51" ht="18" customHeight="1">
      <c r="A396" s="40">
        <v>813125</v>
      </c>
      <c r="B396" s="41"/>
      <c r="C396" s="42">
        <v>812976</v>
      </c>
      <c r="D396" s="42"/>
      <c r="E396" s="42"/>
      <c r="F396" s="43" t="s">
        <v>48</v>
      </c>
      <c r="G396" s="59"/>
      <c r="H396" s="59"/>
      <c r="I396" s="44"/>
      <c r="J396" s="52"/>
      <c r="K396" s="53"/>
      <c r="L396" s="537"/>
      <c r="M396" s="42"/>
      <c r="N396" s="42"/>
      <c r="O396" s="42"/>
      <c r="P396" s="42"/>
      <c r="Q396" s="42"/>
      <c r="R396" s="42"/>
      <c r="S396" s="42"/>
      <c r="T396" s="41"/>
      <c r="U396" s="42"/>
      <c r="V396" s="116">
        <v>45777</v>
      </c>
      <c r="W396" s="116">
        <v>45853</v>
      </c>
      <c r="X396" s="116">
        <v>45777</v>
      </c>
      <c r="Y396" s="116">
        <v>45853</v>
      </c>
      <c r="Z396" s="43"/>
      <c r="AA396" s="43"/>
      <c r="AB396" s="43"/>
      <c r="AC396" s="54"/>
      <c r="AD396" s="43"/>
      <c r="AE396" s="46">
        <v>45939</v>
      </c>
      <c r="AF396" s="46">
        <v>45943</v>
      </c>
      <c r="AG396" s="46">
        <v>45943</v>
      </c>
      <c r="AH396" s="46">
        <v>45943</v>
      </c>
      <c r="AI396" s="46">
        <v>45944</v>
      </c>
      <c r="AJ396" s="46">
        <v>45762</v>
      </c>
      <c r="AK396" s="46">
        <v>45748</v>
      </c>
      <c r="AL396" s="46">
        <v>45947</v>
      </c>
      <c r="AM396" s="46">
        <v>45947</v>
      </c>
      <c r="AN396" s="46">
        <v>45887</v>
      </c>
      <c r="AO396" s="46">
        <v>45947</v>
      </c>
      <c r="AP396" s="46"/>
      <c r="AQ396" s="46">
        <v>45947</v>
      </c>
      <c r="AR396" s="46">
        <v>45947</v>
      </c>
      <c r="AS396" s="46">
        <v>45947</v>
      </c>
      <c r="AT396" s="46">
        <v>45947</v>
      </c>
      <c r="AU396" s="150"/>
      <c r="AV396" s="151"/>
      <c r="AW396" s="151"/>
      <c r="AX396" s="151"/>
      <c r="AY396" s="151"/>
    </row>
    <row r="397" spans="1:51" ht="18.75" customHeight="1">
      <c r="A397" s="149">
        <v>813111</v>
      </c>
      <c r="B397" s="29" t="s">
        <v>690</v>
      </c>
      <c r="C397" s="30" t="s">
        <v>42</v>
      </c>
      <c r="D397" s="30"/>
      <c r="E397" s="30"/>
      <c r="F397" s="31" t="s">
        <v>43</v>
      </c>
      <c r="G397" s="33">
        <v>280</v>
      </c>
      <c r="H397" s="33">
        <v>400</v>
      </c>
      <c r="I397" s="34">
        <v>3</v>
      </c>
      <c r="J397" s="498" t="s">
        <v>689</v>
      </c>
      <c r="K397" s="31" t="s">
        <v>45</v>
      </c>
      <c r="L397" s="161" t="s">
        <v>803</v>
      </c>
      <c r="M397" s="30"/>
      <c r="N397" s="30" t="s">
        <v>336</v>
      </c>
      <c r="O397" s="30"/>
      <c r="P397" s="30" t="s">
        <v>480</v>
      </c>
      <c r="Q397" s="30"/>
      <c r="R397" s="30" t="s">
        <v>354</v>
      </c>
      <c r="S397" s="30" t="s">
        <v>361</v>
      </c>
      <c r="T397" s="29"/>
      <c r="U397" s="30" t="s">
        <v>354</v>
      </c>
      <c r="V397" s="36">
        <v>45838</v>
      </c>
      <c r="W397" s="36">
        <f>V397+15</f>
        <v>45853</v>
      </c>
      <c r="X397" s="36">
        <v>45838</v>
      </c>
      <c r="Y397" s="36">
        <f>X397+15</f>
        <v>45853</v>
      </c>
      <c r="Z397" s="31" t="s">
        <v>72</v>
      </c>
      <c r="AA397" s="31"/>
      <c r="AB397" s="31"/>
      <c r="AC397" s="37"/>
      <c r="AD397" s="31"/>
      <c r="AE397" s="36">
        <v>45945</v>
      </c>
      <c r="AF397" s="36">
        <v>45947</v>
      </c>
      <c r="AG397" s="36">
        <v>45947</v>
      </c>
      <c r="AH397" s="36">
        <v>45947</v>
      </c>
      <c r="AI397" s="36">
        <v>45953</v>
      </c>
      <c r="AJ397" s="36">
        <v>45796</v>
      </c>
      <c r="AK397" s="36">
        <v>45787</v>
      </c>
      <c r="AL397" s="36">
        <v>45953</v>
      </c>
      <c r="AM397" s="36">
        <v>45953</v>
      </c>
      <c r="AN397" s="36">
        <v>45891</v>
      </c>
      <c r="AO397" s="36">
        <v>45953</v>
      </c>
      <c r="AP397" s="36"/>
      <c r="AQ397" s="36">
        <v>45953</v>
      </c>
      <c r="AR397" s="36">
        <v>45953</v>
      </c>
      <c r="AS397" s="99">
        <v>45966</v>
      </c>
      <c r="AT397" s="99">
        <v>45967</v>
      </c>
      <c r="AU397" s="150"/>
      <c r="AV397" s="151"/>
      <c r="AW397" s="151"/>
      <c r="AX397" s="151"/>
      <c r="AY397" s="151"/>
    </row>
    <row r="398" spans="1:51" ht="18" customHeight="1">
      <c r="A398" s="40">
        <v>813111</v>
      </c>
      <c r="B398" s="41"/>
      <c r="C398" s="42"/>
      <c r="D398" s="42"/>
      <c r="E398" s="42"/>
      <c r="F398" s="43" t="s">
        <v>48</v>
      </c>
      <c r="G398" s="59"/>
      <c r="H398" s="59"/>
      <c r="I398" s="44"/>
      <c r="J398" s="52"/>
      <c r="K398" s="53"/>
      <c r="L398" s="537"/>
      <c r="M398" s="42"/>
      <c r="N398" s="42"/>
      <c r="O398" s="42"/>
      <c r="P398" s="42"/>
      <c r="Q398" s="42"/>
      <c r="R398" s="42"/>
      <c r="S398" s="42"/>
      <c r="T398" s="41"/>
      <c r="U398" s="42"/>
      <c r="V398" s="116"/>
      <c r="W398" s="116"/>
      <c r="X398" s="116"/>
      <c r="Y398" s="116"/>
      <c r="Z398" s="43"/>
      <c r="AA398" s="43"/>
      <c r="AB398" s="43"/>
      <c r="AC398" s="54"/>
      <c r="AD398" s="43"/>
      <c r="AE398" s="46">
        <v>45922</v>
      </c>
      <c r="AF398" s="46">
        <v>45943</v>
      </c>
      <c r="AG398" s="46">
        <v>45946</v>
      </c>
      <c r="AH398" s="46">
        <v>45943</v>
      </c>
      <c r="AI398" s="46">
        <v>45967</v>
      </c>
      <c r="AJ398" s="46">
        <v>45770</v>
      </c>
      <c r="AK398" s="46">
        <v>45770</v>
      </c>
      <c r="AL398" s="46">
        <v>45953</v>
      </c>
      <c r="AM398" s="46">
        <v>45953</v>
      </c>
      <c r="AN398" s="46">
        <v>45891</v>
      </c>
      <c r="AO398" s="46">
        <v>45953</v>
      </c>
      <c r="AP398" s="405"/>
      <c r="AQ398" s="46">
        <v>45953</v>
      </c>
      <c r="AR398" s="36">
        <v>45950</v>
      </c>
      <c r="AS398" s="46">
        <v>45966</v>
      </c>
      <c r="AT398" s="46">
        <v>45967</v>
      </c>
      <c r="AU398" s="150"/>
      <c r="AV398" s="151"/>
      <c r="AW398" s="151"/>
      <c r="AX398" s="151"/>
      <c r="AY398" s="151"/>
    </row>
    <row r="399" spans="1:51" ht="18.75" customHeight="1">
      <c r="A399" s="149">
        <v>813165</v>
      </c>
      <c r="B399" s="29" t="s">
        <v>774</v>
      </c>
      <c r="C399" s="30" t="s">
        <v>42</v>
      </c>
      <c r="D399" s="30"/>
      <c r="E399" s="30"/>
      <c r="F399" s="31" t="s">
        <v>43</v>
      </c>
      <c r="G399" s="33">
        <v>100</v>
      </c>
      <c r="H399" s="33">
        <v>400</v>
      </c>
      <c r="I399" s="34">
        <v>3</v>
      </c>
      <c r="J399" s="509" t="s">
        <v>720</v>
      </c>
      <c r="K399" s="31" t="s">
        <v>351</v>
      </c>
      <c r="L399" s="161" t="s">
        <v>805</v>
      </c>
      <c r="M399" s="30"/>
      <c r="N399" s="309" t="s">
        <v>352</v>
      </c>
      <c r="O399" s="30"/>
      <c r="P399" s="309" t="s">
        <v>709</v>
      </c>
      <c r="Q399" s="30"/>
      <c r="R399" s="309" t="s">
        <v>406</v>
      </c>
      <c r="S399" s="30" t="s">
        <v>361</v>
      </c>
      <c r="T399" s="29"/>
      <c r="U399" s="30" t="s">
        <v>354</v>
      </c>
      <c r="V399" s="36">
        <v>45807</v>
      </c>
      <c r="W399" s="36">
        <f>V399+30</f>
        <v>45837</v>
      </c>
      <c r="X399" s="36">
        <v>45852</v>
      </c>
      <c r="Y399" s="36">
        <f>X399+30</f>
        <v>45882</v>
      </c>
      <c r="Z399" s="31"/>
      <c r="AA399" s="31"/>
      <c r="AB399" s="31"/>
      <c r="AC399" s="37"/>
      <c r="AD399" s="31"/>
      <c r="AE399" s="36">
        <v>45950</v>
      </c>
      <c r="AF399" s="36">
        <v>45952</v>
      </c>
      <c r="AG399" s="36">
        <v>45953</v>
      </c>
      <c r="AH399" s="36">
        <v>45954</v>
      </c>
      <c r="AI399" s="36">
        <v>45957</v>
      </c>
      <c r="AJ399" s="36">
        <v>45783</v>
      </c>
      <c r="AK399" s="99">
        <v>45777</v>
      </c>
      <c r="AL399" s="36">
        <v>45957</v>
      </c>
      <c r="AM399" s="36">
        <v>45957</v>
      </c>
      <c r="AN399" s="36">
        <v>45928</v>
      </c>
      <c r="AO399" s="36">
        <v>45957</v>
      </c>
      <c r="AP399" s="36"/>
      <c r="AQ399" s="36">
        <v>45957</v>
      </c>
      <c r="AR399" s="36">
        <v>45957</v>
      </c>
      <c r="AS399" s="36">
        <v>45957</v>
      </c>
      <c r="AT399" s="36">
        <v>45959</v>
      </c>
      <c r="AU399" s="150"/>
      <c r="AV399" s="151"/>
      <c r="AW399" s="151"/>
      <c r="AX399" s="151"/>
      <c r="AY399" s="151"/>
    </row>
    <row r="400" spans="1:51" ht="18" customHeight="1">
      <c r="A400" s="40">
        <v>813165</v>
      </c>
      <c r="B400" s="41"/>
      <c r="C400" s="42"/>
      <c r="D400" s="42"/>
      <c r="E400" s="42"/>
      <c r="F400" s="43" t="s">
        <v>48</v>
      </c>
      <c r="G400" s="59"/>
      <c r="H400" s="59"/>
      <c r="I400" s="44"/>
      <c r="J400" s="52"/>
      <c r="K400" s="53"/>
      <c r="L400" s="537"/>
      <c r="M400" s="42"/>
      <c r="N400" s="42"/>
      <c r="O400" s="42"/>
      <c r="P400" s="42"/>
      <c r="Q400" s="42"/>
      <c r="R400" s="42"/>
      <c r="S400" s="42"/>
      <c r="T400" s="41"/>
      <c r="U400" s="42"/>
      <c r="V400" s="116">
        <v>45852</v>
      </c>
      <c r="W400" s="116">
        <v>45894</v>
      </c>
      <c r="X400" s="116">
        <v>45852</v>
      </c>
      <c r="Y400" s="116"/>
      <c r="Z400" s="43"/>
      <c r="AA400" s="43"/>
      <c r="AB400" s="43"/>
      <c r="AC400" s="54"/>
      <c r="AD400" s="43"/>
      <c r="AE400" s="46">
        <v>45941</v>
      </c>
      <c r="AF400" s="46">
        <v>45947</v>
      </c>
      <c r="AG400" s="46">
        <v>45952</v>
      </c>
      <c r="AH400" s="46">
        <v>45956</v>
      </c>
      <c r="AI400" s="46">
        <v>45968</v>
      </c>
      <c r="AJ400" s="46">
        <v>45775</v>
      </c>
      <c r="AK400" s="46">
        <v>45775</v>
      </c>
      <c r="AL400" s="46">
        <v>45959</v>
      </c>
      <c r="AM400" s="46">
        <v>45957</v>
      </c>
      <c r="AN400" s="46">
        <v>45928</v>
      </c>
      <c r="AO400" s="46">
        <v>45959</v>
      </c>
      <c r="AP400" s="46"/>
      <c r="AQ400" s="46">
        <v>45959</v>
      </c>
      <c r="AR400" s="46">
        <v>45957</v>
      </c>
      <c r="AS400" s="46">
        <v>45975</v>
      </c>
      <c r="AT400" s="46">
        <v>45959</v>
      </c>
      <c r="AU400" s="47" t="s">
        <v>833</v>
      </c>
      <c r="AV400" s="151"/>
      <c r="AW400" s="151"/>
      <c r="AX400" s="151"/>
      <c r="AY400" s="151"/>
    </row>
    <row r="401" spans="1:51" ht="18.75" customHeight="1">
      <c r="A401" s="149">
        <v>813168</v>
      </c>
      <c r="B401" s="29" t="s">
        <v>775</v>
      </c>
      <c r="C401" s="30" t="s">
        <v>55</v>
      </c>
      <c r="D401" s="153">
        <v>0.5</v>
      </c>
      <c r="E401" s="153">
        <v>0.7</v>
      </c>
      <c r="F401" s="31" t="s">
        <v>43</v>
      </c>
      <c r="G401" s="33">
        <v>100</v>
      </c>
      <c r="H401" s="33">
        <v>400</v>
      </c>
      <c r="I401" s="34">
        <v>2</v>
      </c>
      <c r="J401" s="509" t="s">
        <v>720</v>
      </c>
      <c r="K401" s="31" t="s">
        <v>351</v>
      </c>
      <c r="L401" s="161" t="s">
        <v>805</v>
      </c>
      <c r="M401" s="30"/>
      <c r="N401" s="309" t="s">
        <v>352</v>
      </c>
      <c r="O401" s="30"/>
      <c r="P401" s="309" t="s">
        <v>709</v>
      </c>
      <c r="Q401" s="30"/>
      <c r="R401" s="309" t="s">
        <v>406</v>
      </c>
      <c r="S401" s="30" t="s">
        <v>361</v>
      </c>
      <c r="T401" s="29"/>
      <c r="U401" s="30" t="s">
        <v>354</v>
      </c>
      <c r="V401" s="36">
        <v>45823</v>
      </c>
      <c r="W401" s="36">
        <f>V401+30</f>
        <v>45853</v>
      </c>
      <c r="X401" s="36">
        <v>45860</v>
      </c>
      <c r="Y401" s="36">
        <f>X401+30</f>
        <v>45890</v>
      </c>
      <c r="Z401" s="31"/>
      <c r="AA401" s="31"/>
      <c r="AB401" s="31"/>
      <c r="AC401" s="37"/>
      <c r="AD401" s="31"/>
      <c r="AE401" s="36">
        <v>45952</v>
      </c>
      <c r="AF401" s="36">
        <v>45957</v>
      </c>
      <c r="AG401" s="36">
        <v>45957</v>
      </c>
      <c r="AH401" s="36">
        <v>45957</v>
      </c>
      <c r="AI401" s="565">
        <v>45958</v>
      </c>
      <c r="AJ401" s="36">
        <v>45783</v>
      </c>
      <c r="AK401" s="36">
        <v>45783</v>
      </c>
      <c r="AL401" s="36">
        <v>45958</v>
      </c>
      <c r="AM401" s="36">
        <v>45958</v>
      </c>
      <c r="AN401" s="36">
        <v>45928</v>
      </c>
      <c r="AO401" s="36">
        <v>45958</v>
      </c>
      <c r="AP401" s="36"/>
      <c r="AQ401" s="36">
        <v>45958</v>
      </c>
      <c r="AR401" s="36">
        <v>45958</v>
      </c>
      <c r="AS401" s="36">
        <v>45958</v>
      </c>
      <c r="AT401" s="36">
        <v>45960</v>
      </c>
      <c r="AU401" s="150"/>
      <c r="AV401" s="151"/>
      <c r="AW401" s="151"/>
      <c r="AX401" s="151"/>
      <c r="AY401" s="151"/>
    </row>
    <row r="402" spans="1:51" ht="18" customHeight="1">
      <c r="A402" s="40">
        <v>813168</v>
      </c>
      <c r="B402" s="41"/>
      <c r="C402" s="42">
        <v>813020</v>
      </c>
      <c r="D402" s="42"/>
      <c r="E402" s="42"/>
      <c r="F402" s="43" t="s">
        <v>48</v>
      </c>
      <c r="G402" s="59"/>
      <c r="H402" s="59"/>
      <c r="I402" s="44"/>
      <c r="J402" s="52"/>
      <c r="K402" s="53"/>
      <c r="L402" s="537"/>
      <c r="M402" s="42"/>
      <c r="N402" s="42"/>
      <c r="O402" s="42"/>
      <c r="P402" s="42"/>
      <c r="Q402" s="42"/>
      <c r="R402" s="42"/>
      <c r="S402" s="42"/>
      <c r="T402" s="41"/>
      <c r="U402" s="42"/>
      <c r="V402" s="116">
        <v>45860</v>
      </c>
      <c r="W402" s="116">
        <v>45894</v>
      </c>
      <c r="X402" s="116">
        <v>45860</v>
      </c>
      <c r="Y402" s="116"/>
      <c r="Z402" s="43"/>
      <c r="AA402" s="43"/>
      <c r="AB402" s="43"/>
      <c r="AC402" s="54"/>
      <c r="AD402" s="43"/>
      <c r="AE402" s="46">
        <v>45946</v>
      </c>
      <c r="AF402" s="46">
        <v>45953</v>
      </c>
      <c r="AG402" s="46">
        <v>45957</v>
      </c>
      <c r="AH402" s="46">
        <v>45959</v>
      </c>
      <c r="AI402" s="46">
        <v>45975</v>
      </c>
      <c r="AJ402" s="46">
        <v>45775</v>
      </c>
      <c r="AK402" s="46">
        <v>45775</v>
      </c>
      <c r="AL402" s="46">
        <v>45959</v>
      </c>
      <c r="AM402" s="46">
        <v>45958</v>
      </c>
      <c r="AN402" s="46">
        <v>45928</v>
      </c>
      <c r="AO402" s="46">
        <v>45959</v>
      </c>
      <c r="AP402" s="46"/>
      <c r="AQ402" s="46">
        <v>45959</v>
      </c>
      <c r="AR402" s="46">
        <v>45958</v>
      </c>
      <c r="AS402" s="46">
        <v>45958</v>
      </c>
      <c r="AT402" s="46">
        <v>45960</v>
      </c>
      <c r="AU402" s="150"/>
      <c r="AV402" s="151"/>
      <c r="AW402" s="151"/>
      <c r="AX402" s="151"/>
      <c r="AY402" s="151"/>
    </row>
    <row r="403" spans="1:51" ht="18.75" customHeight="1">
      <c r="A403" s="340">
        <v>813095</v>
      </c>
      <c r="B403" s="29" t="s">
        <v>664</v>
      </c>
      <c r="C403" s="30" t="s">
        <v>731</v>
      </c>
      <c r="D403" s="30"/>
      <c r="E403" s="30"/>
      <c r="F403" s="31" t="s">
        <v>43</v>
      </c>
      <c r="G403" s="33">
        <v>450</v>
      </c>
      <c r="H403" s="33">
        <v>400</v>
      </c>
      <c r="I403" s="34">
        <v>2</v>
      </c>
      <c r="J403" s="493" t="s">
        <v>665</v>
      </c>
      <c r="K403" s="66" t="s">
        <v>66</v>
      </c>
      <c r="L403" s="157" t="s">
        <v>799</v>
      </c>
      <c r="M403" s="30"/>
      <c r="N403" s="309" t="s">
        <v>336</v>
      </c>
      <c r="O403" s="309"/>
      <c r="P403" s="309" t="s">
        <v>373</v>
      </c>
      <c r="Q403" s="30"/>
      <c r="R403" s="30" t="s">
        <v>354</v>
      </c>
      <c r="S403" s="30" t="s">
        <v>361</v>
      </c>
      <c r="T403" s="29"/>
      <c r="U403" s="30" t="s">
        <v>354</v>
      </c>
      <c r="V403" s="36">
        <v>45838</v>
      </c>
      <c r="W403" s="36">
        <f>V403+15</f>
        <v>45853</v>
      </c>
      <c r="X403" s="36">
        <v>45838</v>
      </c>
      <c r="Y403" s="36">
        <f>X403+15</f>
        <v>45853</v>
      </c>
      <c r="Z403" s="66"/>
      <c r="AA403" s="31"/>
      <c r="AB403" s="31"/>
      <c r="AC403" s="37">
        <v>3</v>
      </c>
      <c r="AD403" s="31"/>
      <c r="AE403" s="36">
        <v>45954</v>
      </c>
      <c r="AF403" s="36">
        <v>45960</v>
      </c>
      <c r="AG403" s="36">
        <v>45960</v>
      </c>
      <c r="AH403" s="36">
        <v>45960</v>
      </c>
      <c r="AI403" s="36">
        <v>45960</v>
      </c>
      <c r="AJ403" s="36" t="s">
        <v>703</v>
      </c>
      <c r="AK403" s="38" t="s">
        <v>666</v>
      </c>
      <c r="AL403" s="36">
        <v>45960</v>
      </c>
      <c r="AM403" s="36">
        <v>45960</v>
      </c>
      <c r="AN403" s="36">
        <v>45915</v>
      </c>
      <c r="AO403" s="36">
        <v>45960</v>
      </c>
      <c r="AP403" s="36"/>
      <c r="AQ403" s="36">
        <v>45960</v>
      </c>
      <c r="AR403" s="36">
        <v>45960</v>
      </c>
      <c r="AS403" s="99">
        <v>45964</v>
      </c>
      <c r="AT403" s="99">
        <v>45966</v>
      </c>
      <c r="AU403" s="228"/>
      <c r="AV403" s="151"/>
      <c r="AW403" s="151"/>
      <c r="AX403" s="151"/>
      <c r="AY403" s="151"/>
    </row>
    <row r="404" spans="1:51" ht="18" customHeight="1" thickBot="1">
      <c r="A404" s="40">
        <f>IF(A403="","",A403)</f>
        <v>813095</v>
      </c>
      <c r="B404" s="41"/>
      <c r="C404" s="42"/>
      <c r="D404" s="42"/>
      <c r="E404" s="42"/>
      <c r="F404" s="43" t="s">
        <v>48</v>
      </c>
      <c r="G404" s="59"/>
      <c r="H404" s="59"/>
      <c r="I404" s="44"/>
      <c r="J404" s="52"/>
      <c r="K404" s="53"/>
      <c r="L404" s="537"/>
      <c r="M404" s="42"/>
      <c r="N404" s="42"/>
      <c r="O404" s="42"/>
      <c r="P404" s="42"/>
      <c r="Q404" s="42"/>
      <c r="R404" s="42"/>
      <c r="S404" s="42"/>
      <c r="T404" s="41"/>
      <c r="U404" s="42"/>
      <c r="V404" s="116">
        <v>45838</v>
      </c>
      <c r="W404" s="116">
        <v>45876</v>
      </c>
      <c r="X404" s="116">
        <v>45838</v>
      </c>
      <c r="Y404" s="116">
        <v>45876</v>
      </c>
      <c r="Z404" s="43"/>
      <c r="AA404" s="43"/>
      <c r="AB404" s="43"/>
      <c r="AC404" s="54"/>
      <c r="AD404" s="43"/>
      <c r="AE404" s="46">
        <v>45954</v>
      </c>
      <c r="AF404" s="46">
        <v>45964</v>
      </c>
      <c r="AG404" s="46">
        <v>45965</v>
      </c>
      <c r="AH404" s="46">
        <v>45966</v>
      </c>
      <c r="AI404" s="46">
        <v>45972</v>
      </c>
      <c r="AJ404" s="46">
        <v>45831</v>
      </c>
      <c r="AK404" s="46">
        <v>45665</v>
      </c>
      <c r="AL404" s="46">
        <v>45953</v>
      </c>
      <c r="AM404" s="46">
        <v>45953</v>
      </c>
      <c r="AN404" s="46">
        <v>45915</v>
      </c>
      <c r="AO404" s="46">
        <v>45946</v>
      </c>
      <c r="AP404" s="46"/>
      <c r="AQ404" s="46">
        <v>45946</v>
      </c>
      <c r="AR404" s="46">
        <v>45960</v>
      </c>
      <c r="AS404" s="46">
        <v>45964</v>
      </c>
      <c r="AT404" s="46">
        <v>45966</v>
      </c>
      <c r="AU404" s="194"/>
      <c r="AV404" s="151"/>
      <c r="AW404" s="151"/>
      <c r="AX404" s="151"/>
      <c r="AY404" s="151"/>
    </row>
    <row r="405" spans="1:51" ht="16.5" customHeight="1" thickBot="1">
      <c r="A405" s="364"/>
      <c r="B405" s="364"/>
      <c r="C405" s="364"/>
      <c r="D405" s="364"/>
      <c r="E405" s="364"/>
      <c r="F405" s="364"/>
      <c r="G405" s="364"/>
      <c r="H405" s="364"/>
      <c r="I405" s="364"/>
      <c r="J405" s="364"/>
      <c r="K405" s="364"/>
      <c r="L405" s="364"/>
      <c r="M405" s="364"/>
      <c r="N405" s="364"/>
      <c r="O405" s="364"/>
      <c r="P405" s="364"/>
      <c r="Q405" s="364"/>
      <c r="R405" s="364"/>
      <c r="S405" s="364"/>
      <c r="T405" s="364"/>
      <c r="U405" s="364"/>
      <c r="V405" s="364"/>
      <c r="W405" s="364"/>
      <c r="X405" s="364"/>
      <c r="Y405" s="364"/>
      <c r="Z405" s="364"/>
      <c r="AA405" s="364"/>
      <c r="AB405" s="364"/>
      <c r="AC405" s="364"/>
      <c r="AD405" s="364"/>
      <c r="AE405" s="364"/>
      <c r="AF405" s="364"/>
      <c r="AG405" s="364"/>
      <c r="AH405" s="364"/>
      <c r="AI405" s="364"/>
      <c r="AJ405" s="364"/>
      <c r="AK405" s="364"/>
      <c r="AL405" s="364"/>
      <c r="AM405" s="364"/>
      <c r="AN405" s="364"/>
      <c r="AO405" s="364"/>
      <c r="AP405" s="364"/>
      <c r="AQ405" s="364"/>
      <c r="AR405" s="364"/>
      <c r="AS405" s="364"/>
      <c r="AT405" s="364"/>
      <c r="AU405" s="371"/>
      <c r="AV405" s="27"/>
      <c r="AW405" s="27"/>
      <c r="AX405" s="27"/>
      <c r="AY405" s="27"/>
    </row>
    <row r="406" spans="1:51" ht="18.75" customHeight="1">
      <c r="A406" s="149">
        <v>813072</v>
      </c>
      <c r="B406" s="29" t="s">
        <v>661</v>
      </c>
      <c r="C406" s="30" t="s">
        <v>42</v>
      </c>
      <c r="D406" s="30"/>
      <c r="E406" s="30"/>
      <c r="F406" s="31" t="s">
        <v>43</v>
      </c>
      <c r="G406" s="33">
        <v>140</v>
      </c>
      <c r="H406" s="33">
        <v>400</v>
      </c>
      <c r="I406" s="34">
        <v>2</v>
      </c>
      <c r="J406" s="516" t="s">
        <v>662</v>
      </c>
      <c r="K406" s="31" t="s">
        <v>108</v>
      </c>
      <c r="L406" s="161" t="s">
        <v>805</v>
      </c>
      <c r="M406" s="30"/>
      <c r="N406" s="309" t="s">
        <v>352</v>
      </c>
      <c r="O406" s="309"/>
      <c r="P406" s="309" t="s">
        <v>709</v>
      </c>
      <c r="Q406" s="30"/>
      <c r="R406" s="30" t="s">
        <v>354</v>
      </c>
      <c r="S406" s="30" t="s">
        <v>361</v>
      </c>
      <c r="T406" s="29"/>
      <c r="U406" s="323" t="s">
        <v>481</v>
      </c>
      <c r="V406" s="36">
        <v>45807</v>
      </c>
      <c r="W406" s="36">
        <f>V406+15</f>
        <v>45822</v>
      </c>
      <c r="X406" s="36">
        <v>45828</v>
      </c>
      <c r="Y406" s="36">
        <f>X406+15</f>
        <v>45843</v>
      </c>
      <c r="Z406" s="31"/>
      <c r="AA406" s="31"/>
      <c r="AB406" s="31"/>
      <c r="AC406" s="37"/>
      <c r="AD406" s="31"/>
      <c r="AE406" s="36">
        <v>45958</v>
      </c>
      <c r="AF406" s="36">
        <v>45967</v>
      </c>
      <c r="AG406" s="36">
        <v>45967</v>
      </c>
      <c r="AH406" s="36">
        <v>45967</v>
      </c>
      <c r="AI406" s="36">
        <v>45976</v>
      </c>
      <c r="AJ406" s="36">
        <v>45796</v>
      </c>
      <c r="AK406" s="36">
        <v>45796</v>
      </c>
      <c r="AL406" s="36">
        <v>45976</v>
      </c>
      <c r="AM406" s="36">
        <v>45976</v>
      </c>
      <c r="AN406" s="36">
        <v>45915</v>
      </c>
      <c r="AO406" s="36">
        <v>45976</v>
      </c>
      <c r="AP406" s="36"/>
      <c r="AQ406" s="36">
        <v>45976</v>
      </c>
      <c r="AR406" s="36">
        <v>45976</v>
      </c>
      <c r="AS406" s="36">
        <v>45976</v>
      </c>
      <c r="AT406" s="36">
        <v>45979</v>
      </c>
      <c r="AU406" s="195"/>
      <c r="AV406" s="151"/>
      <c r="AW406" s="151"/>
      <c r="AX406" s="151"/>
      <c r="AY406" s="151"/>
    </row>
    <row r="407" spans="1:51" ht="18" customHeight="1">
      <c r="A407" s="40">
        <v>813073</v>
      </c>
      <c r="B407" s="41"/>
      <c r="C407" s="42"/>
      <c r="D407" s="42"/>
      <c r="E407" s="42"/>
      <c r="F407" s="43" t="s">
        <v>48</v>
      </c>
      <c r="G407" s="59"/>
      <c r="H407" s="59"/>
      <c r="I407" s="44"/>
      <c r="J407" s="52"/>
      <c r="K407" s="53"/>
      <c r="L407" s="537"/>
      <c r="M407" s="42"/>
      <c r="N407" s="42"/>
      <c r="O407" s="42"/>
      <c r="P407" s="42"/>
      <c r="Q407" s="42"/>
      <c r="R407" s="42"/>
      <c r="S407" s="42"/>
      <c r="T407" s="41"/>
      <c r="U407" s="42"/>
      <c r="V407" s="116">
        <v>45828</v>
      </c>
      <c r="W407" s="116">
        <v>45874</v>
      </c>
      <c r="X407" s="116">
        <v>45828</v>
      </c>
      <c r="Y407" s="116">
        <v>45877</v>
      </c>
      <c r="Z407" s="43"/>
      <c r="AA407" s="43"/>
      <c r="AB407" s="43"/>
      <c r="AC407" s="54"/>
      <c r="AD407" s="43"/>
      <c r="AE407" s="46">
        <v>45957</v>
      </c>
      <c r="AF407" s="46">
        <v>45965</v>
      </c>
      <c r="AG407" s="46">
        <v>45974</v>
      </c>
      <c r="AH407" s="46">
        <v>45971</v>
      </c>
      <c r="AI407" s="46">
        <v>45979</v>
      </c>
      <c r="AJ407" s="46">
        <v>45705</v>
      </c>
      <c r="AK407" s="46">
        <v>45731</v>
      </c>
      <c r="AL407" s="46">
        <v>45976</v>
      </c>
      <c r="AM407" s="46">
        <v>45976</v>
      </c>
      <c r="AN407" s="46">
        <v>45915</v>
      </c>
      <c r="AO407" s="46">
        <v>45976</v>
      </c>
      <c r="AP407" s="46"/>
      <c r="AQ407" s="46">
        <v>45976</v>
      </c>
      <c r="AR407" s="46">
        <v>45968</v>
      </c>
      <c r="AS407" s="46">
        <v>45976</v>
      </c>
      <c r="AT407" s="46">
        <v>45979</v>
      </c>
      <c r="AU407" s="150"/>
      <c r="AV407" s="151"/>
      <c r="AW407" s="151"/>
      <c r="AX407" s="151"/>
      <c r="AY407" s="151"/>
    </row>
    <row r="408" spans="1:51" ht="18" customHeight="1">
      <c r="A408" s="149">
        <v>813170</v>
      </c>
      <c r="B408" s="29" t="s">
        <v>737</v>
      </c>
      <c r="C408" s="30" t="s">
        <v>55</v>
      </c>
      <c r="D408" s="153">
        <v>0.7</v>
      </c>
      <c r="E408" s="153">
        <v>0.5</v>
      </c>
      <c r="F408" s="31" t="s">
        <v>43</v>
      </c>
      <c r="G408" s="33">
        <v>334</v>
      </c>
      <c r="H408" s="33">
        <v>500</v>
      </c>
      <c r="I408" s="34">
        <v>4</v>
      </c>
      <c r="J408" s="560" t="s">
        <v>738</v>
      </c>
      <c r="K408" s="31" t="s">
        <v>108</v>
      </c>
      <c r="L408" s="161" t="s">
        <v>806</v>
      </c>
      <c r="M408" s="30"/>
      <c r="N408" s="309" t="s">
        <v>819</v>
      </c>
      <c r="O408" s="309"/>
      <c r="P408" s="309" t="s">
        <v>820</v>
      </c>
      <c r="Q408" s="30"/>
      <c r="R408" s="30" t="s">
        <v>354</v>
      </c>
      <c r="S408" s="30" t="s">
        <v>361</v>
      </c>
      <c r="T408" s="29"/>
      <c r="U408" s="30" t="s">
        <v>354</v>
      </c>
      <c r="V408" s="35">
        <v>45835</v>
      </c>
      <c r="W408" s="35">
        <f>V408+30</f>
        <v>45865</v>
      </c>
      <c r="X408" s="35">
        <v>45835</v>
      </c>
      <c r="Y408" s="35">
        <f>X408+30</f>
        <v>45865</v>
      </c>
      <c r="Z408" s="31"/>
      <c r="AA408" s="31"/>
      <c r="AB408" s="31"/>
      <c r="AC408" s="37"/>
      <c r="AD408" s="31" t="s">
        <v>72</v>
      </c>
      <c r="AE408" s="36">
        <v>45965</v>
      </c>
      <c r="AF408" s="36">
        <v>45972</v>
      </c>
      <c r="AG408" s="36">
        <v>45972</v>
      </c>
      <c r="AH408" s="36">
        <v>45972</v>
      </c>
      <c r="AI408" s="36">
        <v>45986</v>
      </c>
      <c r="AJ408" s="36">
        <v>45792</v>
      </c>
      <c r="AK408" s="36">
        <v>45799</v>
      </c>
      <c r="AL408" s="36">
        <v>45981</v>
      </c>
      <c r="AM408" s="36">
        <v>45981</v>
      </c>
      <c r="AN408" s="36">
        <v>45908</v>
      </c>
      <c r="AO408" s="36">
        <v>45981</v>
      </c>
      <c r="AP408" s="36"/>
      <c r="AQ408" s="36">
        <v>45981</v>
      </c>
      <c r="AR408" s="36">
        <v>45982</v>
      </c>
      <c r="AS408" s="36">
        <v>45983</v>
      </c>
      <c r="AT408" s="36">
        <v>45984</v>
      </c>
      <c r="AU408" s="150"/>
      <c r="AV408" s="151"/>
      <c r="AW408" s="151"/>
      <c r="AX408" s="151"/>
      <c r="AY408" s="151"/>
    </row>
    <row r="409" spans="1:51" ht="18" customHeight="1">
      <c r="A409" s="40">
        <v>813170</v>
      </c>
      <c r="B409" s="41"/>
      <c r="C409" s="42">
        <v>812645</v>
      </c>
      <c r="D409" s="42"/>
      <c r="E409" s="42"/>
      <c r="F409" s="43" t="s">
        <v>48</v>
      </c>
      <c r="G409" s="59"/>
      <c r="H409" s="59"/>
      <c r="I409" s="44"/>
      <c r="J409" s="52"/>
      <c r="K409" s="53"/>
      <c r="L409" s="537"/>
      <c r="M409" s="42"/>
      <c r="N409" s="42"/>
      <c r="O409" s="42"/>
      <c r="P409" s="42"/>
      <c r="Q409" s="42"/>
      <c r="R409" s="42"/>
      <c r="S409" s="42"/>
      <c r="T409" s="41"/>
      <c r="U409" s="42"/>
      <c r="V409" s="53">
        <v>45835</v>
      </c>
      <c r="W409" s="53"/>
      <c r="X409" s="53">
        <v>45835</v>
      </c>
      <c r="Y409" s="53"/>
      <c r="Z409" s="43"/>
      <c r="AA409" s="43"/>
      <c r="AB409" s="43"/>
      <c r="AC409" s="54"/>
      <c r="AD409" s="43"/>
      <c r="AE409" s="46" t="s">
        <v>402</v>
      </c>
      <c r="AF409" s="46" t="s">
        <v>402</v>
      </c>
      <c r="AG409" s="46">
        <v>45972</v>
      </c>
      <c r="AH409" s="46">
        <v>45972</v>
      </c>
      <c r="AI409" s="46">
        <v>45986</v>
      </c>
      <c r="AJ409" s="46">
        <v>45792</v>
      </c>
      <c r="AK409" s="46">
        <v>45799</v>
      </c>
      <c r="AL409" s="46">
        <v>45970</v>
      </c>
      <c r="AM409" s="46">
        <v>45981</v>
      </c>
      <c r="AN409" s="46">
        <v>45908</v>
      </c>
      <c r="AO409" s="46">
        <v>45978</v>
      </c>
      <c r="AP409" s="46"/>
      <c r="AQ409" s="46">
        <v>45978</v>
      </c>
      <c r="AR409" s="46">
        <v>45982</v>
      </c>
      <c r="AS409" s="46">
        <v>45983</v>
      </c>
      <c r="AT409" s="46">
        <v>45984</v>
      </c>
      <c r="AU409" s="150"/>
      <c r="AV409" s="151"/>
      <c r="AW409" s="151"/>
      <c r="AX409" s="151"/>
      <c r="AY409" s="151"/>
    </row>
    <row r="410" spans="1:51" ht="18.75" customHeight="1">
      <c r="A410" s="149">
        <v>813225</v>
      </c>
      <c r="B410" s="29" t="s">
        <v>917</v>
      </c>
      <c r="C410" s="30" t="s">
        <v>42</v>
      </c>
      <c r="D410" s="30"/>
      <c r="E410" s="30"/>
      <c r="F410" s="31" t="s">
        <v>43</v>
      </c>
      <c r="G410" s="33">
        <v>400</v>
      </c>
      <c r="H410" s="33">
        <v>500</v>
      </c>
      <c r="I410" s="34">
        <v>6</v>
      </c>
      <c r="J410" s="555" t="s">
        <v>822</v>
      </c>
      <c r="K410" s="31" t="s">
        <v>231</v>
      </c>
      <c r="L410" s="161" t="s">
        <v>802</v>
      </c>
      <c r="M410" s="30"/>
      <c r="N410" s="30" t="s">
        <v>336</v>
      </c>
      <c r="O410" s="30"/>
      <c r="P410" s="30"/>
      <c r="Q410" s="30"/>
      <c r="R410" s="30"/>
      <c r="S410" s="30"/>
      <c r="T410" s="29"/>
      <c r="U410" s="30"/>
      <c r="V410" s="35"/>
      <c r="W410" s="35"/>
      <c r="X410" s="35"/>
      <c r="Y410" s="35"/>
      <c r="Z410" s="31"/>
      <c r="AA410" s="31"/>
      <c r="AB410" s="31"/>
      <c r="AC410" s="37"/>
      <c r="AD410" s="31"/>
      <c r="AE410" s="36">
        <v>45971</v>
      </c>
      <c r="AF410" s="36">
        <v>45989</v>
      </c>
      <c r="AG410" s="36">
        <v>45983</v>
      </c>
      <c r="AH410" s="36">
        <v>45983</v>
      </c>
      <c r="AI410" s="36">
        <v>45986</v>
      </c>
      <c r="AJ410" s="36">
        <v>45903</v>
      </c>
      <c r="AK410" s="36">
        <v>45903</v>
      </c>
      <c r="AL410" s="36">
        <v>45986</v>
      </c>
      <c r="AM410" s="36">
        <v>45986</v>
      </c>
      <c r="AN410" s="36">
        <v>45939</v>
      </c>
      <c r="AO410" s="36">
        <v>45986</v>
      </c>
      <c r="AP410" s="36"/>
      <c r="AQ410" s="36">
        <v>45986</v>
      </c>
      <c r="AR410" s="36">
        <v>45986</v>
      </c>
      <c r="AS410" s="36">
        <v>45986</v>
      </c>
      <c r="AT410" s="36">
        <v>45989</v>
      </c>
      <c r="AU410" s="150"/>
      <c r="AV410" s="151"/>
      <c r="AW410" s="151"/>
      <c r="AX410" s="151"/>
      <c r="AY410" s="151"/>
    </row>
    <row r="411" spans="1:51" ht="18" customHeight="1">
      <c r="A411" s="40"/>
      <c r="B411" s="41"/>
      <c r="C411" s="42"/>
      <c r="D411" s="42"/>
      <c r="E411" s="42"/>
      <c r="F411" s="43" t="s">
        <v>48</v>
      </c>
      <c r="G411" s="59"/>
      <c r="H411" s="59"/>
      <c r="I411" s="44"/>
      <c r="J411" s="52"/>
      <c r="K411" s="53"/>
      <c r="L411" s="537"/>
      <c r="M411" s="42"/>
      <c r="N411" s="42"/>
      <c r="O411" s="42"/>
      <c r="P411" s="42"/>
      <c r="Q411" s="42"/>
      <c r="R411" s="42"/>
      <c r="S411" s="42"/>
      <c r="T411" s="41"/>
      <c r="U411" s="42"/>
      <c r="V411" s="53">
        <v>45958</v>
      </c>
      <c r="W411" s="53"/>
      <c r="X411" s="53"/>
      <c r="Y411" s="53"/>
      <c r="Z411" s="43"/>
      <c r="AA411" s="43"/>
      <c r="AB411" s="43"/>
      <c r="AC411" s="54"/>
      <c r="AD411" s="43"/>
      <c r="AE411" s="46">
        <v>45971</v>
      </c>
      <c r="AF411" s="46" t="s">
        <v>857</v>
      </c>
      <c r="AG411" s="46">
        <v>45986</v>
      </c>
      <c r="AH411" s="46">
        <v>45986</v>
      </c>
      <c r="AI411" s="46">
        <v>45986</v>
      </c>
      <c r="AJ411" s="46">
        <v>45943</v>
      </c>
      <c r="AK411" s="46">
        <v>45903</v>
      </c>
      <c r="AL411" s="46">
        <v>45985</v>
      </c>
      <c r="AM411" s="46">
        <v>46001</v>
      </c>
      <c r="AN411" s="46" t="s">
        <v>254</v>
      </c>
      <c r="AO411" s="46">
        <v>45980</v>
      </c>
      <c r="AP411" s="46"/>
      <c r="AQ411" s="46">
        <v>45980</v>
      </c>
      <c r="AR411" s="46" t="s">
        <v>897</v>
      </c>
      <c r="AS411" s="46">
        <v>45986</v>
      </c>
      <c r="AT411" s="46">
        <v>45989</v>
      </c>
      <c r="AU411" s="150"/>
      <c r="AV411" s="151"/>
      <c r="AW411" s="151"/>
      <c r="AX411" s="151"/>
      <c r="AY411" s="151"/>
    </row>
    <row r="412" spans="1:51" ht="21.75" customHeight="1">
      <c r="A412" s="149">
        <v>812925</v>
      </c>
      <c r="B412" s="29">
        <v>812925</v>
      </c>
      <c r="C412" s="30" t="s">
        <v>55</v>
      </c>
      <c r="D412" s="153">
        <v>0.7</v>
      </c>
      <c r="E412" s="153">
        <v>0.6</v>
      </c>
      <c r="F412" s="31" t="s">
        <v>43</v>
      </c>
      <c r="G412" s="33">
        <v>400</v>
      </c>
      <c r="H412" s="33">
        <v>400</v>
      </c>
      <c r="I412" s="34">
        <v>1</v>
      </c>
      <c r="J412" s="427" t="s">
        <v>453</v>
      </c>
      <c r="K412" s="81" t="s">
        <v>478</v>
      </c>
      <c r="L412" s="538" t="s">
        <v>800</v>
      </c>
      <c r="M412" s="30"/>
      <c r="N412" s="331" t="s">
        <v>336</v>
      </c>
      <c r="O412" s="376" t="s">
        <v>72</v>
      </c>
      <c r="P412" s="323" t="s">
        <v>373</v>
      </c>
      <c r="Q412" s="333" t="s">
        <v>510</v>
      </c>
      <c r="R412" s="333" t="s">
        <v>354</v>
      </c>
      <c r="S412" s="333" t="s">
        <v>361</v>
      </c>
      <c r="T412" s="29"/>
      <c r="U412" s="323" t="s">
        <v>354</v>
      </c>
      <c r="V412" s="36">
        <v>45436</v>
      </c>
      <c r="W412" s="36">
        <f>V412+15</f>
        <v>45451</v>
      </c>
      <c r="X412" s="36">
        <v>45436</v>
      </c>
      <c r="Y412" s="36">
        <f>X412+15</f>
        <v>45451</v>
      </c>
      <c r="Z412" s="36"/>
      <c r="AA412" s="36"/>
      <c r="AB412" s="31"/>
      <c r="AC412" s="37">
        <v>3</v>
      </c>
      <c r="AD412" s="31"/>
      <c r="AE412" s="36">
        <v>45975</v>
      </c>
      <c r="AF412" s="36">
        <v>45989</v>
      </c>
      <c r="AG412" s="36">
        <v>45987</v>
      </c>
      <c r="AH412" s="36">
        <v>45987</v>
      </c>
      <c r="AI412" s="36">
        <v>45989</v>
      </c>
      <c r="AJ412" s="36">
        <v>45456</v>
      </c>
      <c r="AK412" s="38" t="s">
        <v>452</v>
      </c>
      <c r="AL412" s="36">
        <v>45989</v>
      </c>
      <c r="AM412" s="36">
        <v>45989</v>
      </c>
      <c r="AN412" s="36">
        <v>45922</v>
      </c>
      <c r="AO412" s="36">
        <v>45989</v>
      </c>
      <c r="AP412" s="36"/>
      <c r="AQ412" s="36">
        <v>45989</v>
      </c>
      <c r="AR412" s="36">
        <v>45989</v>
      </c>
      <c r="AS412" s="36">
        <v>45989</v>
      </c>
      <c r="AT412" s="36">
        <v>45994</v>
      </c>
      <c r="AU412" s="47" t="s">
        <v>851</v>
      </c>
      <c r="AV412" s="151"/>
      <c r="AW412" s="151"/>
      <c r="AX412" s="151"/>
      <c r="AY412" s="151"/>
    </row>
    <row r="413" spans="1:51" ht="18" customHeight="1">
      <c r="A413" s="40">
        <v>812925</v>
      </c>
      <c r="B413" s="41"/>
      <c r="C413" s="42">
        <v>812698</v>
      </c>
      <c r="D413" s="42"/>
      <c r="E413" s="42"/>
      <c r="F413" s="43" t="s">
        <v>48</v>
      </c>
      <c r="G413" s="59"/>
      <c r="H413" s="59"/>
      <c r="I413" s="44"/>
      <c r="J413" s="52"/>
      <c r="K413" s="52"/>
      <c r="L413" s="52"/>
      <c r="M413" s="52"/>
      <c r="N413" s="42"/>
      <c r="O413" s="42"/>
      <c r="P413" s="42"/>
      <c r="Q413" s="42"/>
      <c r="R413" s="42"/>
      <c r="S413" s="42"/>
      <c r="T413" s="41"/>
      <c r="U413" s="42"/>
      <c r="V413" s="116">
        <v>45436</v>
      </c>
      <c r="W413" s="116" t="s">
        <v>706</v>
      </c>
      <c r="X413" s="116">
        <v>45436</v>
      </c>
      <c r="Y413" s="116">
        <v>45624</v>
      </c>
      <c r="Z413" s="116"/>
      <c r="AA413" s="116"/>
      <c r="AB413" s="43"/>
      <c r="AC413" s="54"/>
      <c r="AD413" s="43"/>
      <c r="AE413" s="46">
        <v>45975</v>
      </c>
      <c r="AF413" s="46">
        <v>45967</v>
      </c>
      <c r="AG413" s="46">
        <v>45986</v>
      </c>
      <c r="AH413" s="46">
        <v>45986</v>
      </c>
      <c r="AI413" s="46">
        <v>45989</v>
      </c>
      <c r="AJ413" s="46">
        <v>45456</v>
      </c>
      <c r="AK413" s="46">
        <v>45625</v>
      </c>
      <c r="AL413" s="46">
        <v>45986</v>
      </c>
      <c r="AM413" s="46">
        <v>45989</v>
      </c>
      <c r="AN413" s="46">
        <v>45922</v>
      </c>
      <c r="AO413" s="46">
        <v>45986</v>
      </c>
      <c r="AP413" s="46"/>
      <c r="AQ413" s="46">
        <v>45986</v>
      </c>
      <c r="AR413" s="46">
        <v>45989</v>
      </c>
      <c r="AS413" s="46">
        <v>45989</v>
      </c>
      <c r="AT413" s="46">
        <v>45991</v>
      </c>
      <c r="AU413" s="150"/>
      <c r="AV413" s="151"/>
      <c r="AW413" s="151"/>
      <c r="AX413" s="151"/>
      <c r="AY413" s="151"/>
    </row>
    <row r="414" spans="1:51" ht="21.75" customHeight="1">
      <c r="A414" s="149">
        <v>813115</v>
      </c>
      <c r="B414" s="29" t="s">
        <v>676</v>
      </c>
      <c r="C414" s="30" t="s">
        <v>55</v>
      </c>
      <c r="D414" s="153">
        <v>0.8</v>
      </c>
      <c r="E414" s="153">
        <v>0.5</v>
      </c>
      <c r="F414" s="31" t="s">
        <v>43</v>
      </c>
      <c r="G414" s="33">
        <v>200</v>
      </c>
      <c r="H414" s="33">
        <v>400</v>
      </c>
      <c r="I414" s="34">
        <v>9</v>
      </c>
      <c r="J414" s="516" t="s">
        <v>317</v>
      </c>
      <c r="K414" s="31" t="s">
        <v>108</v>
      </c>
      <c r="L414" s="161" t="s">
        <v>799</v>
      </c>
      <c r="M414" s="30"/>
      <c r="N414" s="309" t="s">
        <v>336</v>
      </c>
      <c r="O414" s="309" t="s">
        <v>511</v>
      </c>
      <c r="P414" s="309" t="s">
        <v>643</v>
      </c>
      <c r="Q414" s="30"/>
      <c r="R414" s="30" t="s">
        <v>354</v>
      </c>
      <c r="S414" s="30" t="s">
        <v>361</v>
      </c>
      <c r="T414" s="29"/>
      <c r="U414" s="30" t="s">
        <v>354</v>
      </c>
      <c r="V414" s="36">
        <v>45792</v>
      </c>
      <c r="W414" s="36">
        <f>V414+15</f>
        <v>45807</v>
      </c>
      <c r="X414" s="36">
        <v>45792</v>
      </c>
      <c r="Y414" s="36">
        <f>X414+15</f>
        <v>45807</v>
      </c>
      <c r="Z414" s="31"/>
      <c r="AA414" s="31"/>
      <c r="AB414" s="31"/>
      <c r="AC414" s="37"/>
      <c r="AD414" s="31"/>
      <c r="AE414" s="36">
        <v>45982</v>
      </c>
      <c r="AF414" s="36">
        <v>45989</v>
      </c>
      <c r="AG414" s="36">
        <v>45989</v>
      </c>
      <c r="AH414" s="36">
        <v>45989</v>
      </c>
      <c r="AI414" s="36">
        <v>45989</v>
      </c>
      <c r="AJ414" s="36">
        <v>45708</v>
      </c>
      <c r="AK414" s="38" t="s">
        <v>680</v>
      </c>
      <c r="AL414" s="36">
        <v>45989</v>
      </c>
      <c r="AM414" s="36">
        <v>45989</v>
      </c>
      <c r="AN414" s="36">
        <v>45922</v>
      </c>
      <c r="AO414" s="36">
        <v>45989</v>
      </c>
      <c r="AP414" s="36"/>
      <c r="AQ414" s="36">
        <v>45989</v>
      </c>
      <c r="AR414" s="36">
        <v>45989</v>
      </c>
      <c r="AS414" s="36">
        <v>45989</v>
      </c>
      <c r="AT414" s="36">
        <v>45995</v>
      </c>
      <c r="AU414" s="150"/>
      <c r="AV414" s="151"/>
      <c r="AW414" s="151"/>
      <c r="AX414" s="151"/>
      <c r="AY414" s="151"/>
    </row>
    <row r="415" spans="1:51" ht="18" customHeight="1">
      <c r="A415" s="40">
        <v>813115</v>
      </c>
      <c r="B415" s="41"/>
      <c r="C415" s="42">
        <v>812825</v>
      </c>
      <c r="D415" s="42"/>
      <c r="E415" s="42"/>
      <c r="F415" s="43" t="s">
        <v>48</v>
      </c>
      <c r="G415" s="59"/>
      <c r="H415" s="59"/>
      <c r="I415" s="44"/>
      <c r="J415" s="52"/>
      <c r="K415" s="53"/>
      <c r="L415" s="537"/>
      <c r="M415" s="42"/>
      <c r="N415" s="42"/>
      <c r="O415" s="42"/>
      <c r="P415" s="42"/>
      <c r="Q415" s="42"/>
      <c r="R415" s="42"/>
      <c r="S415" s="42"/>
      <c r="T415" s="41"/>
      <c r="U415" s="42"/>
      <c r="V415" s="116"/>
      <c r="W415" s="116">
        <f>V415+15</f>
        <v>15</v>
      </c>
      <c r="X415" s="116"/>
      <c r="Y415" s="116"/>
      <c r="Z415" s="43"/>
      <c r="AA415" s="43"/>
      <c r="AB415" s="43"/>
      <c r="AC415" s="54"/>
      <c r="AD415" s="43"/>
      <c r="AE415" s="46">
        <v>45982</v>
      </c>
      <c r="AF415" s="46">
        <v>45986</v>
      </c>
      <c r="AG415" s="46">
        <v>45986</v>
      </c>
      <c r="AH415" s="46">
        <v>45986</v>
      </c>
      <c r="AI415" s="46">
        <v>45989</v>
      </c>
      <c r="AJ415" s="46">
        <v>45705</v>
      </c>
      <c r="AK415" s="46">
        <v>45705</v>
      </c>
      <c r="AL415" s="46">
        <v>45986</v>
      </c>
      <c r="AM415" s="46">
        <v>45989</v>
      </c>
      <c r="AN415" s="46">
        <v>45922</v>
      </c>
      <c r="AO415" s="46">
        <v>45986</v>
      </c>
      <c r="AP415" s="46"/>
      <c r="AQ415" s="46">
        <v>45986</v>
      </c>
      <c r="AR415" s="46">
        <v>45989</v>
      </c>
      <c r="AS415" s="46">
        <v>45989</v>
      </c>
      <c r="AT415" s="46">
        <v>45995</v>
      </c>
      <c r="AU415" s="150"/>
      <c r="AV415" s="151"/>
      <c r="AW415" s="151"/>
      <c r="AX415" s="151"/>
      <c r="AY415" s="151"/>
    </row>
    <row r="416" spans="1:51" ht="18.75" customHeight="1">
      <c r="A416" s="149">
        <v>850731</v>
      </c>
      <c r="B416" s="29" t="s">
        <v>839</v>
      </c>
      <c r="C416" s="30"/>
      <c r="D416" s="30"/>
      <c r="E416" s="30"/>
      <c r="F416" s="31" t="s">
        <v>43</v>
      </c>
      <c r="G416" s="33">
        <v>180</v>
      </c>
      <c r="H416" s="33">
        <v>220</v>
      </c>
      <c r="I416" s="34">
        <v>2</v>
      </c>
      <c r="J416" s="555" t="s">
        <v>793</v>
      </c>
      <c r="K416" s="31" t="s">
        <v>231</v>
      </c>
      <c r="L416" s="161" t="s">
        <v>802</v>
      </c>
      <c r="M416" s="30"/>
      <c r="N416" s="30"/>
      <c r="O416" s="30"/>
      <c r="P416" s="30"/>
      <c r="Q416" s="30"/>
      <c r="R416" s="30"/>
      <c r="S416" s="30"/>
      <c r="T416" s="29"/>
      <c r="U416" s="30"/>
      <c r="V416" s="35"/>
      <c r="W416" s="35"/>
      <c r="X416" s="35"/>
      <c r="Y416" s="35"/>
      <c r="Z416" s="31"/>
      <c r="AA416" s="31"/>
      <c r="AB416" s="31"/>
      <c r="AC416" s="37"/>
      <c r="AD416" s="31"/>
      <c r="AE416" s="36" t="s">
        <v>850</v>
      </c>
      <c r="AF416" s="36" t="s">
        <v>850</v>
      </c>
      <c r="AG416" s="36">
        <v>45996</v>
      </c>
      <c r="AH416" s="36">
        <v>45996</v>
      </c>
      <c r="AI416" s="36">
        <v>46006</v>
      </c>
      <c r="AJ416" s="36" t="s">
        <v>81</v>
      </c>
      <c r="AK416" s="36">
        <v>45884</v>
      </c>
      <c r="AL416" s="36">
        <v>46006</v>
      </c>
      <c r="AM416" s="36">
        <v>46006</v>
      </c>
      <c r="AN416" s="36">
        <v>45946</v>
      </c>
      <c r="AO416" s="36">
        <v>46006</v>
      </c>
      <c r="AP416" s="36"/>
      <c r="AQ416" s="36">
        <v>46006</v>
      </c>
      <c r="AR416" s="36">
        <v>46006</v>
      </c>
      <c r="AS416" s="36">
        <v>46006</v>
      </c>
      <c r="AT416" s="36">
        <v>46009</v>
      </c>
      <c r="AU416" s="150"/>
      <c r="AV416" s="151"/>
      <c r="AW416" s="151"/>
      <c r="AX416" s="151"/>
      <c r="AY416" s="151"/>
    </row>
    <row r="417" spans="1:51" ht="20.25" customHeight="1">
      <c r="A417" s="40"/>
      <c r="B417" s="566" t="s">
        <v>859</v>
      </c>
      <c r="C417" s="42"/>
      <c r="D417" s="42"/>
      <c r="E417" s="42"/>
      <c r="F417" s="43" t="s">
        <v>48</v>
      </c>
      <c r="G417" s="59"/>
      <c r="H417" s="59"/>
      <c r="I417" s="44"/>
      <c r="J417" s="52"/>
      <c r="K417" s="53"/>
      <c r="L417" s="537"/>
      <c r="M417" s="42"/>
      <c r="N417" s="42"/>
      <c r="O417" s="42"/>
      <c r="P417" s="42"/>
      <c r="Q417" s="42"/>
      <c r="R417" s="42"/>
      <c r="S417" s="42"/>
      <c r="T417" s="41"/>
      <c r="U417" s="42"/>
      <c r="V417" s="53"/>
      <c r="W417" s="53"/>
      <c r="X417" s="53"/>
      <c r="Y417" s="53"/>
      <c r="Z417" s="43"/>
      <c r="AA417" s="43"/>
      <c r="AB417" s="43"/>
      <c r="AC417" s="54"/>
      <c r="AD417" s="43"/>
      <c r="AE417" s="43">
        <v>45989</v>
      </c>
      <c r="AF417" s="43">
        <v>45999</v>
      </c>
      <c r="AG417" s="46">
        <v>45992</v>
      </c>
      <c r="AH417" s="46">
        <v>45992</v>
      </c>
      <c r="AI417" s="46">
        <v>45991</v>
      </c>
      <c r="AJ417" s="46" t="s">
        <v>502</v>
      </c>
      <c r="AK417" s="46">
        <v>45917</v>
      </c>
      <c r="AL417" s="46" t="s">
        <v>502</v>
      </c>
      <c r="AM417" s="46" t="s">
        <v>898</v>
      </c>
      <c r="AN417" s="46">
        <v>45945</v>
      </c>
      <c r="AO417" s="46">
        <v>46006</v>
      </c>
      <c r="AP417" s="46"/>
      <c r="AQ417" s="46">
        <v>46006</v>
      </c>
      <c r="AR417" s="505">
        <v>46001</v>
      </c>
      <c r="AS417" s="46">
        <v>46001</v>
      </c>
      <c r="AT417" s="46">
        <v>46010</v>
      </c>
      <c r="AU417" s="150"/>
      <c r="AV417" s="151"/>
      <c r="AW417" s="151"/>
      <c r="AX417" s="151"/>
      <c r="AY417" s="151"/>
    </row>
    <row r="418" spans="1:51" ht="18.75" customHeight="1">
      <c r="A418" s="149">
        <v>850737</v>
      </c>
      <c r="B418" s="29">
        <v>850737</v>
      </c>
      <c r="C418" s="30" t="s">
        <v>55</v>
      </c>
      <c r="D418" s="153">
        <v>0.9</v>
      </c>
      <c r="E418" s="153">
        <v>0.8</v>
      </c>
      <c r="F418" s="31" t="s">
        <v>43</v>
      </c>
      <c r="G418" s="33">
        <v>180</v>
      </c>
      <c r="H418" s="33">
        <v>220</v>
      </c>
      <c r="I418" s="34">
        <v>1</v>
      </c>
      <c r="J418" s="526" t="s">
        <v>776</v>
      </c>
      <c r="K418" s="31"/>
      <c r="L418" s="161" t="s">
        <v>802</v>
      </c>
      <c r="M418" s="30"/>
      <c r="N418" s="30"/>
      <c r="O418" s="30"/>
      <c r="P418" s="30"/>
      <c r="Q418" s="30"/>
      <c r="R418" s="30"/>
      <c r="S418" s="30"/>
      <c r="T418" s="29"/>
      <c r="U418" s="30"/>
      <c r="V418" s="35"/>
      <c r="W418" s="35"/>
      <c r="X418" s="35"/>
      <c r="Y418" s="35"/>
      <c r="Z418" s="31"/>
      <c r="AA418" s="31"/>
      <c r="AB418" s="31"/>
      <c r="AC418" s="37"/>
      <c r="AD418" s="31"/>
      <c r="AE418" s="36">
        <v>45987</v>
      </c>
      <c r="AF418" s="36">
        <v>45999</v>
      </c>
      <c r="AG418" s="36">
        <v>45999</v>
      </c>
      <c r="AH418" s="36">
        <v>45999</v>
      </c>
      <c r="AI418" s="36">
        <v>46008</v>
      </c>
      <c r="AJ418" s="89">
        <v>45950</v>
      </c>
      <c r="AK418" s="89">
        <v>45950</v>
      </c>
      <c r="AL418" s="36">
        <v>46008</v>
      </c>
      <c r="AM418" s="36">
        <v>46008</v>
      </c>
      <c r="AN418" s="89">
        <v>45950</v>
      </c>
      <c r="AO418" s="36">
        <v>46008</v>
      </c>
      <c r="AP418" s="36"/>
      <c r="AQ418" s="36">
        <v>46008</v>
      </c>
      <c r="AR418" s="36">
        <v>46008</v>
      </c>
      <c r="AS418" s="36">
        <v>46008</v>
      </c>
      <c r="AT418" s="36">
        <v>46010</v>
      </c>
      <c r="AU418" s="150"/>
      <c r="AV418" s="151"/>
      <c r="AW418" s="151"/>
      <c r="AX418" s="151"/>
      <c r="AY418" s="151"/>
    </row>
    <row r="419" spans="1:51" ht="18" customHeight="1" thickBot="1">
      <c r="A419" s="40"/>
      <c r="B419" s="41"/>
      <c r="C419" s="42">
        <v>850730</v>
      </c>
      <c r="D419" s="42"/>
      <c r="E419" s="42"/>
      <c r="F419" s="43" t="s">
        <v>48</v>
      </c>
      <c r="G419" s="59"/>
      <c r="H419" s="59"/>
      <c r="I419" s="44"/>
      <c r="J419" s="52"/>
      <c r="K419" s="53"/>
      <c r="L419" s="537"/>
      <c r="M419" s="42"/>
      <c r="N419" s="42"/>
      <c r="O419" s="42"/>
      <c r="P419" s="42"/>
      <c r="Q419" s="42"/>
      <c r="R419" s="42"/>
      <c r="S419" s="42"/>
      <c r="T419" s="41"/>
      <c r="U419" s="42"/>
      <c r="V419" s="53"/>
      <c r="W419" s="53"/>
      <c r="X419" s="53"/>
      <c r="Y419" s="53"/>
      <c r="Z419" s="43"/>
      <c r="AA419" s="43"/>
      <c r="AB419" s="43"/>
      <c r="AC419" s="54"/>
      <c r="AD419" s="43"/>
      <c r="AE419" s="46">
        <v>45987</v>
      </c>
      <c r="AF419" s="36">
        <v>45999</v>
      </c>
      <c r="AG419" s="46">
        <v>45986</v>
      </c>
      <c r="AH419" s="46">
        <v>45986</v>
      </c>
      <c r="AI419" s="46">
        <v>45991</v>
      </c>
      <c r="AJ419" s="46">
        <v>45954</v>
      </c>
      <c r="AK419" s="46">
        <v>45953</v>
      </c>
      <c r="AL419" s="46">
        <v>46008</v>
      </c>
      <c r="AM419" s="46">
        <v>46006</v>
      </c>
      <c r="AN419" s="46">
        <v>45952</v>
      </c>
      <c r="AO419" s="46">
        <v>46008</v>
      </c>
      <c r="AP419" s="46"/>
      <c r="AQ419" s="46">
        <v>46008</v>
      </c>
      <c r="AR419" s="46">
        <v>45991</v>
      </c>
      <c r="AS419" s="46">
        <v>45991</v>
      </c>
      <c r="AT419" s="46">
        <v>45991</v>
      </c>
      <c r="AU419" s="194"/>
      <c r="AV419" s="151"/>
      <c r="AW419" s="151"/>
      <c r="AX419" s="151"/>
      <c r="AY419" s="151"/>
    </row>
    <row r="420" spans="1:51" ht="16.5" customHeight="1" thickBot="1">
      <c r="A420" s="527"/>
      <c r="B420" s="364"/>
      <c r="C420" s="364"/>
      <c r="D420" s="364"/>
      <c r="E420" s="364"/>
      <c r="F420" s="364"/>
      <c r="G420" s="364"/>
      <c r="H420" s="364"/>
      <c r="I420" s="364"/>
      <c r="J420" s="364"/>
      <c r="K420" s="364"/>
      <c r="L420" s="364"/>
      <c r="M420" s="364"/>
      <c r="N420" s="364"/>
      <c r="O420" s="364"/>
      <c r="P420" s="364"/>
      <c r="Q420" s="364"/>
      <c r="R420" s="364"/>
      <c r="S420" s="364"/>
      <c r="T420" s="364"/>
      <c r="U420" s="364"/>
      <c r="V420" s="364"/>
      <c r="W420" s="364"/>
      <c r="X420" s="364"/>
      <c r="Y420" s="364"/>
      <c r="Z420" s="364"/>
      <c r="AA420" s="364"/>
      <c r="AB420" s="364"/>
      <c r="AC420" s="364"/>
      <c r="AD420" s="364"/>
      <c r="AE420" s="364"/>
      <c r="AF420" s="364"/>
      <c r="AG420" s="364"/>
      <c r="AH420" s="364"/>
      <c r="AI420" s="364"/>
      <c r="AJ420" s="364"/>
      <c r="AK420" s="364"/>
      <c r="AL420" s="364"/>
      <c r="AM420" s="364"/>
      <c r="AN420" s="364"/>
      <c r="AO420" s="364"/>
      <c r="AP420" s="364"/>
      <c r="AQ420" s="364"/>
      <c r="AR420" s="364"/>
      <c r="AS420" s="364"/>
      <c r="AT420" s="364"/>
      <c r="AU420" s="371"/>
      <c r="AV420" s="27"/>
      <c r="AW420" s="27"/>
      <c r="AX420" s="27"/>
      <c r="AY420" s="27"/>
    </row>
    <row r="421" spans="1:51" ht="19.5" customHeight="1">
      <c r="A421" s="149">
        <v>850620</v>
      </c>
      <c r="B421" s="29">
        <v>850620</v>
      </c>
      <c r="C421" s="30" t="s">
        <v>42</v>
      </c>
      <c r="D421" s="30"/>
      <c r="E421" s="30"/>
      <c r="F421" s="31" t="s">
        <v>43</v>
      </c>
      <c r="G421" s="33">
        <v>150</v>
      </c>
      <c r="H421" s="33">
        <v>220</v>
      </c>
      <c r="I421" s="34">
        <v>1</v>
      </c>
      <c r="J421" s="462" t="s">
        <v>542</v>
      </c>
      <c r="K421" s="31" t="s">
        <v>327</v>
      </c>
      <c r="L421" s="161" t="s">
        <v>804</v>
      </c>
      <c r="M421" s="30"/>
      <c r="N421" s="30" t="s">
        <v>812</v>
      </c>
      <c r="O421" s="30"/>
      <c r="P421" s="30" t="s">
        <v>389</v>
      </c>
      <c r="Q421" s="30"/>
      <c r="R421" s="30" t="s">
        <v>354</v>
      </c>
      <c r="S421" s="30"/>
      <c r="T421" s="29"/>
      <c r="U421" s="30" t="s">
        <v>354</v>
      </c>
      <c r="V421" s="35"/>
      <c r="W421" s="35"/>
      <c r="X421" s="35"/>
      <c r="Y421" s="35"/>
      <c r="Z421" s="31"/>
      <c r="AA421" s="31"/>
      <c r="AB421" s="31"/>
      <c r="AC421" s="37"/>
      <c r="AD421" s="31"/>
      <c r="AE421" s="36" t="s">
        <v>379</v>
      </c>
      <c r="AF421" s="36">
        <v>45996</v>
      </c>
      <c r="AG421" s="36">
        <v>45996</v>
      </c>
      <c r="AH421" s="36">
        <v>45996</v>
      </c>
      <c r="AI421" s="36">
        <v>46013</v>
      </c>
      <c r="AJ421" s="36" t="s">
        <v>81</v>
      </c>
      <c r="AK421" s="36">
        <v>45762</v>
      </c>
      <c r="AL421" s="36">
        <v>45986</v>
      </c>
      <c r="AM421" s="36">
        <v>45986</v>
      </c>
      <c r="AN421" s="36">
        <v>45946</v>
      </c>
      <c r="AO421" s="36">
        <v>45986</v>
      </c>
      <c r="AP421" s="36"/>
      <c r="AQ421" s="36">
        <v>45986</v>
      </c>
      <c r="AR421" s="36">
        <v>46006</v>
      </c>
      <c r="AS421" s="36">
        <v>46006</v>
      </c>
      <c r="AT421" s="36">
        <v>46006</v>
      </c>
      <c r="AU421" s="195"/>
      <c r="AV421" s="151"/>
      <c r="AW421" s="151"/>
      <c r="AX421" s="151"/>
      <c r="AY421" s="151"/>
    </row>
    <row r="422" spans="1:51" ht="18" customHeight="1">
      <c r="A422" s="40">
        <f>IF(A421="","",A421)</f>
        <v>850620</v>
      </c>
      <c r="B422" s="41"/>
      <c r="C422" s="42"/>
      <c r="D422" s="42"/>
      <c r="E422" s="42"/>
      <c r="F422" s="43" t="s">
        <v>48</v>
      </c>
      <c r="G422" s="59"/>
      <c r="H422" s="59"/>
      <c r="I422" s="44"/>
      <c r="J422" s="52"/>
      <c r="K422" s="53"/>
      <c r="L422" s="537"/>
      <c r="M422" s="42"/>
      <c r="N422" s="42"/>
      <c r="O422" s="42"/>
      <c r="P422" s="42"/>
      <c r="Q422" s="42"/>
      <c r="R422" s="42"/>
      <c r="S422" s="42"/>
      <c r="T422" s="41"/>
      <c r="U422" s="42"/>
      <c r="V422" s="53"/>
      <c r="W422" s="53"/>
      <c r="X422" s="53"/>
      <c r="Y422" s="53"/>
      <c r="Z422" s="43"/>
      <c r="AA422" s="43"/>
      <c r="AB422" s="43"/>
      <c r="AC422" s="54"/>
      <c r="AD422" s="43"/>
      <c r="AE422" s="46" t="s">
        <v>81</v>
      </c>
      <c r="AF422" s="46" t="s">
        <v>502</v>
      </c>
      <c r="AG422" s="46">
        <v>46006</v>
      </c>
      <c r="AH422" s="46">
        <v>46006</v>
      </c>
      <c r="AI422" s="46">
        <v>46014</v>
      </c>
      <c r="AJ422" s="46" t="s">
        <v>899</v>
      </c>
      <c r="AK422" s="46">
        <v>45762</v>
      </c>
      <c r="AL422" s="46">
        <v>46006</v>
      </c>
      <c r="AM422" s="46">
        <v>45986</v>
      </c>
      <c r="AN422" s="46">
        <v>45946</v>
      </c>
      <c r="AO422" s="46" t="s">
        <v>502</v>
      </c>
      <c r="AP422" s="46"/>
      <c r="AQ422" s="46" t="s">
        <v>502</v>
      </c>
      <c r="AR422" s="46">
        <v>46008</v>
      </c>
      <c r="AS422" s="46">
        <v>46006</v>
      </c>
      <c r="AT422" s="46">
        <v>46006</v>
      </c>
      <c r="AU422" s="150"/>
      <c r="AV422" s="151"/>
      <c r="AW422" s="151"/>
      <c r="AX422" s="151"/>
      <c r="AY422" s="151"/>
    </row>
    <row r="423" spans="1:51" ht="18.75" customHeight="1">
      <c r="A423" s="564">
        <v>812947</v>
      </c>
      <c r="B423" s="177">
        <v>812947</v>
      </c>
      <c r="C423" s="30" t="s">
        <v>42</v>
      </c>
      <c r="D423" s="30"/>
      <c r="E423" s="30"/>
      <c r="F423" s="31" t="s">
        <v>43</v>
      </c>
      <c r="G423" s="50">
        <v>340</v>
      </c>
      <c r="H423" s="50">
        <v>330</v>
      </c>
      <c r="I423" s="6">
        <v>1</v>
      </c>
      <c r="J423" s="446" t="s">
        <v>403</v>
      </c>
      <c r="K423" s="81" t="s">
        <v>478</v>
      </c>
      <c r="L423" s="538" t="s">
        <v>800</v>
      </c>
      <c r="M423" s="178"/>
      <c r="N423" s="316" t="s">
        <v>336</v>
      </c>
      <c r="O423" s="316" t="s">
        <v>72</v>
      </c>
      <c r="P423" s="326" t="s">
        <v>404</v>
      </c>
      <c r="Q423" s="316" t="s">
        <v>405</v>
      </c>
      <c r="R423" s="178" t="s">
        <v>354</v>
      </c>
      <c r="S423" s="178" t="s">
        <v>406</v>
      </c>
      <c r="T423" s="345"/>
      <c r="U423" s="316" t="s">
        <v>354</v>
      </c>
      <c r="V423" s="36">
        <v>45412</v>
      </c>
      <c r="W423" s="36">
        <f>V423+15</f>
        <v>45427</v>
      </c>
      <c r="X423" s="36">
        <v>45412</v>
      </c>
      <c r="Y423" s="36">
        <f>X423+15</f>
        <v>45427</v>
      </c>
      <c r="Z423" s="161"/>
      <c r="AA423" s="31"/>
      <c r="AB423" s="31"/>
      <c r="AC423" s="37"/>
      <c r="AD423" s="36" t="s">
        <v>72</v>
      </c>
      <c r="AE423" s="36">
        <v>45992</v>
      </c>
      <c r="AF423" s="89">
        <v>46003</v>
      </c>
      <c r="AG423" s="89">
        <v>46003</v>
      </c>
      <c r="AH423" s="89">
        <v>46003</v>
      </c>
      <c r="AI423" s="36">
        <v>46008</v>
      </c>
      <c r="AJ423" s="36">
        <v>45389</v>
      </c>
      <c r="AK423" s="36">
        <v>45394</v>
      </c>
      <c r="AL423" s="36">
        <v>46008</v>
      </c>
      <c r="AM423" s="36">
        <v>46008</v>
      </c>
      <c r="AN423" s="563">
        <v>45873</v>
      </c>
      <c r="AO423" s="36">
        <v>46008</v>
      </c>
      <c r="AP423" s="36"/>
      <c r="AQ423" s="36">
        <v>46008</v>
      </c>
      <c r="AR423" s="36">
        <v>46008</v>
      </c>
      <c r="AS423" s="36">
        <v>46008</v>
      </c>
      <c r="AT423" s="99">
        <v>46022</v>
      </c>
      <c r="AU423" s="150"/>
      <c r="AV423" s="151"/>
      <c r="AW423" s="151"/>
      <c r="AX423" s="151"/>
      <c r="AY423" s="151"/>
    </row>
    <row r="424" spans="1:51" ht="18" customHeight="1">
      <c r="A424" s="185">
        <v>812947</v>
      </c>
      <c r="B424" s="181"/>
      <c r="C424" s="42"/>
      <c r="D424" s="42"/>
      <c r="E424" s="42"/>
      <c r="F424" s="43" t="s">
        <v>48</v>
      </c>
      <c r="G424" s="183"/>
      <c r="H424" s="183"/>
      <c r="I424" s="184"/>
      <c r="J424" s="429"/>
      <c r="K424" s="53"/>
      <c r="L424" s="537"/>
      <c r="M424" s="185"/>
      <c r="N424" s="185"/>
      <c r="O424" s="185"/>
      <c r="P424" s="185"/>
      <c r="Q424" s="185"/>
      <c r="R424" s="185"/>
      <c r="S424" s="185"/>
      <c r="T424" s="181"/>
      <c r="U424" s="185"/>
      <c r="V424" s="116">
        <v>45412</v>
      </c>
      <c r="W424" s="116">
        <v>45601</v>
      </c>
      <c r="X424" s="116">
        <v>45407</v>
      </c>
      <c r="Y424" s="116">
        <v>45490</v>
      </c>
      <c r="Z424" s="158"/>
      <c r="AA424" s="43"/>
      <c r="AB424" s="43"/>
      <c r="AC424" s="54"/>
      <c r="AD424" s="46"/>
      <c r="AE424" s="46">
        <v>45992</v>
      </c>
      <c r="AF424" s="46">
        <v>46001</v>
      </c>
      <c r="AG424" s="46">
        <v>45999</v>
      </c>
      <c r="AH424" s="46">
        <v>45996</v>
      </c>
      <c r="AI424" s="46">
        <v>46008</v>
      </c>
      <c r="AJ424" s="46">
        <v>45379</v>
      </c>
      <c r="AK424" s="46">
        <v>45379</v>
      </c>
      <c r="AL424" s="46">
        <v>46008</v>
      </c>
      <c r="AM424" s="46">
        <v>46003</v>
      </c>
      <c r="AN424" s="46">
        <v>45874</v>
      </c>
      <c r="AO424" s="46">
        <v>46008</v>
      </c>
      <c r="AP424" s="46"/>
      <c r="AQ424" s="46">
        <v>46008</v>
      </c>
      <c r="AR424" s="46">
        <v>46008</v>
      </c>
      <c r="AS424" s="46">
        <v>46008</v>
      </c>
      <c r="AT424" s="46">
        <v>46022</v>
      </c>
      <c r="AU424" s="150"/>
      <c r="AV424" s="151"/>
      <c r="AW424" s="151"/>
      <c r="AX424" s="151"/>
      <c r="AY424" s="151"/>
    </row>
    <row r="425" spans="1:51" ht="18.75" customHeight="1">
      <c r="A425" s="149">
        <v>813101</v>
      </c>
      <c r="B425" s="491" t="s">
        <v>673</v>
      </c>
      <c r="C425" s="30" t="s">
        <v>42</v>
      </c>
      <c r="D425" s="30"/>
      <c r="E425" s="30"/>
      <c r="F425" s="31" t="s">
        <v>43</v>
      </c>
      <c r="G425" s="33">
        <v>120</v>
      </c>
      <c r="H425" s="33">
        <v>132</v>
      </c>
      <c r="I425" s="34">
        <v>3</v>
      </c>
      <c r="J425" s="516" t="s">
        <v>674</v>
      </c>
      <c r="K425" s="31" t="s">
        <v>45</v>
      </c>
      <c r="L425" s="161" t="s">
        <v>803</v>
      </c>
      <c r="M425" s="30"/>
      <c r="N425" s="323" t="s">
        <v>336</v>
      </c>
      <c r="O425" s="30"/>
      <c r="P425" s="30" t="s">
        <v>389</v>
      </c>
      <c r="Q425" s="30"/>
      <c r="R425" s="30" t="s">
        <v>354</v>
      </c>
      <c r="S425" s="30" t="s">
        <v>361</v>
      </c>
      <c r="T425" s="29"/>
      <c r="U425" s="316" t="s">
        <v>354</v>
      </c>
      <c r="V425" s="36">
        <v>45792</v>
      </c>
      <c r="W425" s="36">
        <f>V425+30</f>
        <v>45822</v>
      </c>
      <c r="X425" s="36">
        <v>45792</v>
      </c>
      <c r="Y425" s="36">
        <f>X425+30</f>
        <v>45822</v>
      </c>
      <c r="Z425" s="31"/>
      <c r="AA425" s="31" t="s">
        <v>481</v>
      </c>
      <c r="AB425" s="74" t="s">
        <v>860</v>
      </c>
      <c r="AC425" s="37"/>
      <c r="AD425" s="31" t="s">
        <v>700</v>
      </c>
      <c r="AE425" s="36">
        <v>45996</v>
      </c>
      <c r="AF425" s="36">
        <v>46009</v>
      </c>
      <c r="AG425" s="36">
        <v>46009</v>
      </c>
      <c r="AH425" s="36">
        <v>46009</v>
      </c>
      <c r="AI425" s="36">
        <v>46013</v>
      </c>
      <c r="AJ425" s="36">
        <v>45731</v>
      </c>
      <c r="AK425" s="36">
        <v>45736</v>
      </c>
      <c r="AL425" s="36">
        <v>46013</v>
      </c>
      <c r="AM425" s="36">
        <v>46013</v>
      </c>
      <c r="AN425" s="36">
        <v>45954</v>
      </c>
      <c r="AO425" s="36">
        <v>46013</v>
      </c>
      <c r="AP425" s="36"/>
      <c r="AQ425" s="36">
        <v>46013</v>
      </c>
      <c r="AR425" s="36">
        <v>46013</v>
      </c>
      <c r="AS425" s="36">
        <v>46013</v>
      </c>
      <c r="AT425" s="304">
        <v>46026</v>
      </c>
      <c r="AU425" s="150"/>
      <c r="AV425" s="151"/>
      <c r="AW425" s="151"/>
      <c r="AX425" s="151"/>
      <c r="AY425" s="151"/>
    </row>
    <row r="426" spans="1:51" ht="18" customHeight="1">
      <c r="A426" s="40">
        <f>IF(A425="","",A425)</f>
        <v>813101</v>
      </c>
      <c r="B426" s="41"/>
      <c r="C426" s="42"/>
      <c r="D426" s="42"/>
      <c r="E426" s="42"/>
      <c r="F426" s="43" t="s">
        <v>48</v>
      </c>
      <c r="G426" s="59"/>
      <c r="H426" s="59"/>
      <c r="I426" s="44"/>
      <c r="J426" s="52"/>
      <c r="K426" s="53"/>
      <c r="L426" s="537"/>
      <c r="M426" s="42"/>
      <c r="N426" s="42"/>
      <c r="O426" s="42"/>
      <c r="P426" s="42"/>
      <c r="Q426" s="42"/>
      <c r="R426" s="42"/>
      <c r="S426" s="42"/>
      <c r="T426" s="41"/>
      <c r="U426" s="42"/>
      <c r="V426" s="116" t="s">
        <v>871</v>
      </c>
      <c r="W426" s="116" t="s">
        <v>872</v>
      </c>
      <c r="X426" s="116">
        <v>38528</v>
      </c>
      <c r="Y426" s="116" t="s">
        <v>872</v>
      </c>
      <c r="Z426" s="43"/>
      <c r="AA426" s="43"/>
      <c r="AB426" s="43"/>
      <c r="AC426" s="54"/>
      <c r="AD426" s="43"/>
      <c r="AE426" s="46">
        <v>45992</v>
      </c>
      <c r="AF426" s="46">
        <v>45999</v>
      </c>
      <c r="AG426" s="490">
        <v>46013</v>
      </c>
      <c r="AH426" s="46">
        <v>46009</v>
      </c>
      <c r="AI426" s="46">
        <v>46022</v>
      </c>
      <c r="AJ426" s="46">
        <v>45731</v>
      </c>
      <c r="AK426" s="46">
        <v>45736</v>
      </c>
      <c r="AL426" s="46">
        <v>46013</v>
      </c>
      <c r="AM426" s="46">
        <v>46013</v>
      </c>
      <c r="AN426" s="46">
        <v>45964</v>
      </c>
      <c r="AO426" s="46">
        <v>46013</v>
      </c>
      <c r="AP426" s="405"/>
      <c r="AQ426" s="46">
        <v>46013</v>
      </c>
      <c r="AR426" s="36">
        <v>46001</v>
      </c>
      <c r="AS426" s="46">
        <v>46013</v>
      </c>
      <c r="AT426" s="46">
        <v>46026</v>
      </c>
      <c r="AU426" s="150"/>
      <c r="AV426" s="151"/>
      <c r="AW426" s="151"/>
      <c r="AX426" s="151"/>
      <c r="AY426" s="151"/>
    </row>
    <row r="427" spans="1:51" ht="18.75" customHeight="1">
      <c r="A427" s="149">
        <v>813143</v>
      </c>
      <c r="B427" s="29">
        <v>813143</v>
      </c>
      <c r="C427" s="30" t="s">
        <v>42</v>
      </c>
      <c r="D427" s="30"/>
      <c r="E427" s="30"/>
      <c r="F427" s="31" t="s">
        <v>43</v>
      </c>
      <c r="G427" s="33">
        <v>60</v>
      </c>
      <c r="H427" s="33">
        <v>275</v>
      </c>
      <c r="I427" s="34">
        <v>1</v>
      </c>
      <c r="J427" s="427" t="s">
        <v>784</v>
      </c>
      <c r="K427" s="31" t="s">
        <v>45</v>
      </c>
      <c r="L427" s="161" t="s">
        <v>804</v>
      </c>
      <c r="M427" s="30"/>
      <c r="N427" s="309" t="s">
        <v>336</v>
      </c>
      <c r="O427" s="30"/>
      <c r="P427" s="317" t="s">
        <v>418</v>
      </c>
      <c r="Q427" s="30" t="s">
        <v>875</v>
      </c>
      <c r="R427" s="30" t="s">
        <v>355</v>
      </c>
      <c r="S427" s="30" t="s">
        <v>406</v>
      </c>
      <c r="T427" s="29"/>
      <c r="U427" s="317" t="s">
        <v>354</v>
      </c>
      <c r="V427" s="36">
        <v>45930</v>
      </c>
      <c r="W427" s="36">
        <f>V427+15</f>
        <v>45945</v>
      </c>
      <c r="X427" s="36">
        <v>45930</v>
      </c>
      <c r="Y427" s="36">
        <f>X427+15</f>
        <v>45945</v>
      </c>
      <c r="Z427" s="31"/>
      <c r="AA427" s="31"/>
      <c r="AB427" s="31"/>
      <c r="AC427" s="37"/>
      <c r="AD427" s="36" t="s">
        <v>72</v>
      </c>
      <c r="AE427" s="36">
        <v>45999</v>
      </c>
      <c r="AF427" s="36">
        <v>46014</v>
      </c>
      <c r="AG427" s="36">
        <v>46014</v>
      </c>
      <c r="AH427" s="36">
        <v>46014</v>
      </c>
      <c r="AI427" s="36">
        <v>46019</v>
      </c>
      <c r="AJ427" s="99">
        <v>45910</v>
      </c>
      <c r="AK427" s="99">
        <v>45910</v>
      </c>
      <c r="AL427" s="99">
        <v>46019</v>
      </c>
      <c r="AM427" s="36">
        <v>46019</v>
      </c>
      <c r="AN427" s="36">
        <v>45969</v>
      </c>
      <c r="AO427" s="36">
        <v>46019</v>
      </c>
      <c r="AP427" s="36"/>
      <c r="AQ427" s="36">
        <v>46019</v>
      </c>
      <c r="AR427" s="502">
        <v>46022</v>
      </c>
      <c r="AS427" s="36">
        <v>46019</v>
      </c>
      <c r="AT427" s="304">
        <v>46026</v>
      </c>
      <c r="AU427" s="47" t="s">
        <v>856</v>
      </c>
      <c r="AV427" s="151"/>
      <c r="AW427" s="151"/>
      <c r="AX427" s="151"/>
      <c r="AY427" s="151"/>
    </row>
    <row r="428" spans="1:51" ht="18" customHeight="1">
      <c r="A428" s="40"/>
      <c r="B428" s="41"/>
      <c r="C428" s="42"/>
      <c r="D428" s="42"/>
      <c r="E428" s="42"/>
      <c r="F428" s="43" t="s">
        <v>48</v>
      </c>
      <c r="G428" s="59"/>
      <c r="H428" s="59"/>
      <c r="I428" s="44"/>
      <c r="J428" s="52"/>
      <c r="K428" s="53"/>
      <c r="L428" s="537"/>
      <c r="M428" s="42"/>
      <c r="N428" s="42"/>
      <c r="O428" s="42"/>
      <c r="P428" s="42"/>
      <c r="Q428" s="42"/>
      <c r="R428" s="42"/>
      <c r="S428" s="42"/>
      <c r="T428" s="41"/>
      <c r="U428" s="42"/>
      <c r="V428" s="116">
        <v>45930</v>
      </c>
      <c r="W428" s="116">
        <v>45999</v>
      </c>
      <c r="X428" s="116">
        <v>45930</v>
      </c>
      <c r="Y428" s="116">
        <v>46058</v>
      </c>
      <c r="Z428" s="53"/>
      <c r="AA428" s="43"/>
      <c r="AB428" s="43"/>
      <c r="AC428" s="54"/>
      <c r="AD428" s="43"/>
      <c r="AE428" s="46">
        <v>45999</v>
      </c>
      <c r="AF428" s="46">
        <v>46008</v>
      </c>
      <c r="AG428" s="490">
        <v>46020</v>
      </c>
      <c r="AH428" s="46">
        <v>46014</v>
      </c>
      <c r="AI428" s="46">
        <v>46016</v>
      </c>
      <c r="AJ428" s="46">
        <v>45910</v>
      </c>
      <c r="AK428" s="46">
        <v>45910</v>
      </c>
      <c r="AL428" s="46">
        <v>46016</v>
      </c>
      <c r="AM428" s="46">
        <v>46019</v>
      </c>
      <c r="AN428" s="46">
        <v>45986</v>
      </c>
      <c r="AO428" s="46">
        <v>46017</v>
      </c>
      <c r="AP428" s="46"/>
      <c r="AQ428" s="46">
        <v>46017</v>
      </c>
      <c r="AR428" s="46">
        <v>46050</v>
      </c>
      <c r="AS428" s="46">
        <v>46050</v>
      </c>
      <c r="AT428" s="46">
        <v>46050</v>
      </c>
      <c r="AU428" s="150"/>
      <c r="AV428" s="151"/>
      <c r="AW428" s="151"/>
      <c r="AX428" s="151"/>
      <c r="AY428" s="151"/>
    </row>
    <row r="429" spans="1:51" ht="18.75" customHeight="1">
      <c r="A429" s="347">
        <v>812871</v>
      </c>
      <c r="B429" s="177" t="s">
        <v>416</v>
      </c>
      <c r="C429" s="30" t="s">
        <v>173</v>
      </c>
      <c r="D429" s="153">
        <v>1</v>
      </c>
      <c r="E429" s="153">
        <v>0.8</v>
      </c>
      <c r="F429" s="31" t="s">
        <v>43</v>
      </c>
      <c r="G429" s="50">
        <v>83.3</v>
      </c>
      <c r="H429" s="50">
        <v>400</v>
      </c>
      <c r="I429" s="34">
        <v>29</v>
      </c>
      <c r="J429" s="458" t="s">
        <v>417</v>
      </c>
      <c r="K429" s="31" t="s">
        <v>66</v>
      </c>
      <c r="L429" s="161" t="s">
        <v>801</v>
      </c>
      <c r="M429" s="178"/>
      <c r="N429" s="373" t="s">
        <v>336</v>
      </c>
      <c r="O429" s="30" t="s">
        <v>511</v>
      </c>
      <c r="P429" s="317" t="s">
        <v>418</v>
      </c>
      <c r="Q429" s="178"/>
      <c r="R429" s="317" t="s">
        <v>354</v>
      </c>
      <c r="S429" s="333" t="s">
        <v>361</v>
      </c>
      <c r="T429" s="177" t="s">
        <v>821</v>
      </c>
      <c r="U429" s="317" t="s">
        <v>354</v>
      </c>
      <c r="V429" s="36">
        <v>45616</v>
      </c>
      <c r="W429" s="36">
        <f>V429+30</f>
        <v>45646</v>
      </c>
      <c r="X429" s="36">
        <v>45616</v>
      </c>
      <c r="Y429" s="36">
        <f>X429+30</f>
        <v>45646</v>
      </c>
      <c r="Z429" s="161"/>
      <c r="AA429" s="31"/>
      <c r="AB429" s="31"/>
      <c r="AC429" s="37">
        <v>1</v>
      </c>
      <c r="AD429" s="31"/>
      <c r="AE429" s="36">
        <v>46006</v>
      </c>
      <c r="AF429" s="36">
        <v>46017</v>
      </c>
      <c r="AG429" s="36">
        <v>46017</v>
      </c>
      <c r="AH429" s="36">
        <v>46018</v>
      </c>
      <c r="AI429" s="36">
        <v>46020</v>
      </c>
      <c r="AJ429" s="36">
        <v>45577</v>
      </c>
      <c r="AK429" s="36">
        <v>45577</v>
      </c>
      <c r="AL429" s="36">
        <v>46020</v>
      </c>
      <c r="AM429" s="36">
        <v>46020</v>
      </c>
      <c r="AN429" s="36">
        <v>45966</v>
      </c>
      <c r="AO429" s="36">
        <v>46020</v>
      </c>
      <c r="AP429" s="36"/>
      <c r="AQ429" s="36">
        <v>46020</v>
      </c>
      <c r="AR429" s="36">
        <v>46020</v>
      </c>
      <c r="AS429" s="36">
        <v>46020</v>
      </c>
      <c r="AT429" s="36">
        <v>46020</v>
      </c>
      <c r="AU429" s="228"/>
    </row>
    <row r="430" spans="1:51" ht="20.25" customHeight="1">
      <c r="A430" s="180">
        <v>812871</v>
      </c>
      <c r="B430" s="496" t="s">
        <v>739</v>
      </c>
      <c r="C430" s="182" t="s">
        <v>700</v>
      </c>
      <c r="D430" s="182"/>
      <c r="E430" s="182"/>
      <c r="F430" s="43" t="s">
        <v>48</v>
      </c>
      <c r="G430" s="183"/>
      <c r="H430" s="183"/>
      <c r="I430" s="184"/>
      <c r="J430" s="429"/>
      <c r="K430" s="53"/>
      <c r="L430" s="537"/>
      <c r="M430" s="185"/>
      <c r="N430" s="185"/>
      <c r="O430" s="185"/>
      <c r="P430" s="185"/>
      <c r="Q430" s="185"/>
      <c r="R430" s="185"/>
      <c r="S430" s="185"/>
      <c r="T430" s="181"/>
      <c r="U430" s="185"/>
      <c r="V430" s="116">
        <v>45616</v>
      </c>
      <c r="W430" s="116">
        <v>45715</v>
      </c>
      <c r="X430" s="116">
        <v>45616</v>
      </c>
      <c r="Y430" s="116">
        <v>45715</v>
      </c>
      <c r="Z430" s="158"/>
      <c r="AA430" s="43"/>
      <c r="AB430" s="43"/>
      <c r="AC430" s="54"/>
      <c r="AD430" s="43"/>
      <c r="AE430" s="46">
        <v>45987</v>
      </c>
      <c r="AF430" s="46">
        <v>45987</v>
      </c>
      <c r="AG430" s="46">
        <v>46022</v>
      </c>
      <c r="AH430" s="46">
        <v>46022</v>
      </c>
      <c r="AI430" s="46">
        <v>46020</v>
      </c>
      <c r="AJ430" s="366">
        <v>45656</v>
      </c>
      <c r="AK430" s="366">
        <v>45656</v>
      </c>
      <c r="AL430" s="366">
        <v>46021</v>
      </c>
      <c r="AM430" s="46">
        <v>46020</v>
      </c>
      <c r="AN430" s="46">
        <v>45966</v>
      </c>
      <c r="AO430" s="46">
        <v>46020</v>
      </c>
      <c r="AP430" s="46"/>
      <c r="AQ430" s="46">
        <v>46020</v>
      </c>
      <c r="AR430" s="46">
        <v>46020</v>
      </c>
      <c r="AS430" s="46">
        <v>46020</v>
      </c>
      <c r="AT430" s="46">
        <v>46020</v>
      </c>
      <c r="AU430" s="150"/>
      <c r="AV430" s="151"/>
      <c r="AW430" s="151"/>
      <c r="AX430" s="151"/>
      <c r="AY430" s="151"/>
    </row>
    <row r="431" spans="1:51" ht="18.75" customHeight="1">
      <c r="A431" s="149">
        <v>813161</v>
      </c>
      <c r="B431" s="29" t="s">
        <v>740</v>
      </c>
      <c r="C431" s="30"/>
      <c r="D431" s="30"/>
      <c r="E431" s="30"/>
      <c r="F431" s="31" t="s">
        <v>43</v>
      </c>
      <c r="G431" s="33">
        <v>160</v>
      </c>
      <c r="H431" s="33">
        <v>400</v>
      </c>
      <c r="I431" s="34">
        <v>2</v>
      </c>
      <c r="J431" s="516" t="s">
        <v>741</v>
      </c>
      <c r="K431" s="31" t="s">
        <v>351</v>
      </c>
      <c r="L431" s="161" t="s">
        <v>804</v>
      </c>
      <c r="M431" s="30"/>
      <c r="N431" s="30" t="s">
        <v>742</v>
      </c>
      <c r="O431" s="30"/>
      <c r="P431" s="551" t="s">
        <v>811</v>
      </c>
      <c r="Q431" s="30"/>
      <c r="R431" s="30" t="s">
        <v>354</v>
      </c>
      <c r="S431" s="30" t="s">
        <v>361</v>
      </c>
      <c r="T431" s="29"/>
      <c r="U431" s="30" t="s">
        <v>354</v>
      </c>
      <c r="V431" s="36">
        <v>45799</v>
      </c>
      <c r="W431" s="36">
        <v>45815</v>
      </c>
      <c r="X431" s="36">
        <v>45799</v>
      </c>
      <c r="Y431" s="36">
        <v>45815</v>
      </c>
      <c r="Z431" s="31"/>
      <c r="AA431" s="31"/>
      <c r="AB431" s="31"/>
      <c r="AC431" s="37"/>
      <c r="AD431" s="31"/>
      <c r="AE431" s="36">
        <v>46009</v>
      </c>
      <c r="AF431" s="36">
        <v>46021</v>
      </c>
      <c r="AG431" s="36">
        <v>46021</v>
      </c>
      <c r="AH431" s="36">
        <v>46021</v>
      </c>
      <c r="AI431" s="36">
        <v>46022</v>
      </c>
      <c r="AJ431" s="36">
        <v>45792</v>
      </c>
      <c r="AK431" s="36">
        <v>45805</v>
      </c>
      <c r="AL431" s="36">
        <v>46022</v>
      </c>
      <c r="AM431" s="36">
        <v>46022</v>
      </c>
      <c r="AN431" s="36">
        <v>45974</v>
      </c>
      <c r="AO431" s="36">
        <v>46022</v>
      </c>
      <c r="AP431" s="36"/>
      <c r="AQ431" s="36">
        <v>46022</v>
      </c>
      <c r="AR431" s="36">
        <v>46022</v>
      </c>
      <c r="AS431" s="36">
        <v>46022</v>
      </c>
      <c r="AT431" s="36">
        <v>46027</v>
      </c>
      <c r="AU431" s="150"/>
      <c r="AV431" s="151"/>
      <c r="AW431" s="151"/>
      <c r="AX431" s="151"/>
      <c r="AY431" s="151"/>
    </row>
    <row r="432" spans="1:51" ht="18" customHeight="1">
      <c r="A432" s="40">
        <v>813161</v>
      </c>
      <c r="B432" s="41"/>
      <c r="C432" s="42"/>
      <c r="D432" s="42"/>
      <c r="E432" s="42"/>
      <c r="F432" s="43" t="s">
        <v>48</v>
      </c>
      <c r="G432" s="59"/>
      <c r="H432" s="59"/>
      <c r="I432" s="44"/>
      <c r="J432" s="52"/>
      <c r="K432" s="53"/>
      <c r="L432" s="537"/>
      <c r="M432" s="42"/>
      <c r="N432" s="42"/>
      <c r="O432" s="42"/>
      <c r="P432" s="42"/>
      <c r="Q432" s="42"/>
      <c r="R432" s="42"/>
      <c r="S432" s="42"/>
      <c r="T432" s="41"/>
      <c r="U432" s="42"/>
      <c r="V432" s="116">
        <v>45799</v>
      </c>
      <c r="W432" s="116">
        <v>45815</v>
      </c>
      <c r="X432" s="116">
        <v>45799</v>
      </c>
      <c r="Y432" s="116">
        <v>45815</v>
      </c>
      <c r="Z432" s="43"/>
      <c r="AA432" s="43"/>
      <c r="AB432" s="43"/>
      <c r="AC432" s="54"/>
      <c r="AD432" s="43"/>
      <c r="AE432" s="46">
        <v>46009</v>
      </c>
      <c r="AF432" s="46">
        <v>46021</v>
      </c>
      <c r="AG432" s="46">
        <v>46000</v>
      </c>
      <c r="AH432" s="46">
        <v>46000</v>
      </c>
      <c r="AI432" s="46">
        <v>46022</v>
      </c>
      <c r="AJ432" s="46">
        <v>45791</v>
      </c>
      <c r="AK432" s="46">
        <v>45791</v>
      </c>
      <c r="AL432" s="46">
        <v>46022</v>
      </c>
      <c r="AM432" s="46">
        <v>46022</v>
      </c>
      <c r="AN432" s="46">
        <v>45974</v>
      </c>
      <c r="AO432" s="46">
        <v>46021</v>
      </c>
      <c r="AP432" s="46"/>
      <c r="AQ432" s="46">
        <v>46021</v>
      </c>
      <c r="AR432" s="46">
        <v>46021</v>
      </c>
      <c r="AS432" s="46">
        <v>46021</v>
      </c>
      <c r="AT432" s="46">
        <v>46021</v>
      </c>
      <c r="AU432" s="150"/>
      <c r="AV432" s="151"/>
      <c r="AW432" s="151"/>
      <c r="AX432" s="151"/>
      <c r="AY432" s="151"/>
    </row>
    <row r="433" spans="1:51" ht="18.75" customHeight="1">
      <c r="A433" s="149">
        <v>813205</v>
      </c>
      <c r="B433" s="29" t="s">
        <v>778</v>
      </c>
      <c r="C433" s="30" t="s">
        <v>55</v>
      </c>
      <c r="D433" s="153">
        <v>0.7</v>
      </c>
      <c r="E433" s="153">
        <v>0.5</v>
      </c>
      <c r="F433" s="31" t="s">
        <v>43</v>
      </c>
      <c r="G433" s="33">
        <v>100</v>
      </c>
      <c r="H433" s="33">
        <v>220</v>
      </c>
      <c r="I433" s="34">
        <v>3</v>
      </c>
      <c r="J433" s="516" t="s">
        <v>779</v>
      </c>
      <c r="K433" s="31" t="s">
        <v>45</v>
      </c>
      <c r="L433" s="161" t="s">
        <v>806</v>
      </c>
      <c r="M433" s="30"/>
      <c r="N433" s="30" t="s">
        <v>336</v>
      </c>
      <c r="O433" s="30"/>
      <c r="P433" s="30" t="s">
        <v>818</v>
      </c>
      <c r="Q433" s="30"/>
      <c r="R433" s="30" t="s">
        <v>406</v>
      </c>
      <c r="S433" s="30" t="s">
        <v>361</v>
      </c>
      <c r="T433" s="29"/>
      <c r="U433" s="309" t="s">
        <v>406</v>
      </c>
      <c r="V433" s="36">
        <v>45898</v>
      </c>
      <c r="W433" s="36">
        <f>V433+30</f>
        <v>45928</v>
      </c>
      <c r="X433" s="36">
        <v>45898</v>
      </c>
      <c r="Y433" s="36">
        <f>X433+30</f>
        <v>45928</v>
      </c>
      <c r="Z433" s="31"/>
      <c r="AA433" s="31" t="s">
        <v>481</v>
      </c>
      <c r="AB433" s="31"/>
      <c r="AC433" s="37"/>
      <c r="AD433" s="36" t="s">
        <v>72</v>
      </c>
      <c r="AE433" s="36">
        <v>46019</v>
      </c>
      <c r="AF433" s="36">
        <v>46022</v>
      </c>
      <c r="AG433" s="36">
        <v>46022</v>
      </c>
      <c r="AH433" s="36">
        <v>46022</v>
      </c>
      <c r="AI433" s="36">
        <v>46022</v>
      </c>
      <c r="AJ433" s="36">
        <v>45891</v>
      </c>
      <c r="AK433" s="36">
        <v>45891</v>
      </c>
      <c r="AL433" s="36">
        <v>46022</v>
      </c>
      <c r="AM433" s="36">
        <v>46022</v>
      </c>
      <c r="AN433" s="36">
        <v>45988</v>
      </c>
      <c r="AO433" s="36">
        <v>46022</v>
      </c>
      <c r="AP433" s="36"/>
      <c r="AQ433" s="36">
        <v>46022</v>
      </c>
      <c r="AR433" s="36">
        <v>46022</v>
      </c>
      <c r="AS433" s="36">
        <v>46022</v>
      </c>
      <c r="AT433" s="36">
        <v>46029</v>
      </c>
      <c r="AU433" s="150"/>
      <c r="AV433" s="151"/>
      <c r="AW433" s="151"/>
      <c r="AX433" s="151"/>
      <c r="AY433" s="151"/>
    </row>
    <row r="434" spans="1:51" ht="18" customHeight="1" thickBot="1">
      <c r="A434" s="40"/>
      <c r="B434" s="41"/>
      <c r="C434" s="42">
        <v>812945</v>
      </c>
      <c r="D434" s="42"/>
      <c r="E434" s="42"/>
      <c r="F434" s="43" t="s">
        <v>48</v>
      </c>
      <c r="G434" s="59"/>
      <c r="H434" s="59"/>
      <c r="I434" s="44"/>
      <c r="J434" s="52"/>
      <c r="K434" s="53"/>
      <c r="L434" s="537"/>
      <c r="M434" s="42"/>
      <c r="N434" s="42"/>
      <c r="O434" s="42"/>
      <c r="P434" s="42"/>
      <c r="Q434" s="42"/>
      <c r="R434" s="42"/>
      <c r="S434" s="42"/>
      <c r="T434" s="41"/>
      <c r="U434" s="42"/>
      <c r="V434" s="116">
        <v>45884</v>
      </c>
      <c r="W434" s="116"/>
      <c r="X434" s="116">
        <v>45895</v>
      </c>
      <c r="Y434" s="116"/>
      <c r="Z434" s="43"/>
      <c r="AA434" s="43"/>
      <c r="AB434" s="43"/>
      <c r="AC434" s="54"/>
      <c r="AD434" s="43"/>
      <c r="AE434" s="46">
        <v>46014</v>
      </c>
      <c r="AF434" s="46">
        <v>46014</v>
      </c>
      <c r="AG434" s="46">
        <v>46000</v>
      </c>
      <c r="AH434" s="46">
        <v>46000</v>
      </c>
      <c r="AI434" s="46">
        <v>46014</v>
      </c>
      <c r="AJ434" s="46">
        <v>45891</v>
      </c>
      <c r="AK434" s="46">
        <v>45891</v>
      </c>
      <c r="AL434" s="46">
        <v>46022</v>
      </c>
      <c r="AM434" s="46">
        <v>46022</v>
      </c>
      <c r="AN434" s="46">
        <v>45969</v>
      </c>
      <c r="AO434" s="46">
        <v>46014</v>
      </c>
      <c r="AP434" s="46"/>
      <c r="AQ434" s="46">
        <v>46014</v>
      </c>
      <c r="AR434" s="46">
        <v>46021</v>
      </c>
      <c r="AS434" s="46">
        <v>46021</v>
      </c>
      <c r="AT434" s="46">
        <v>46021</v>
      </c>
      <c r="AU434" s="194"/>
      <c r="AV434" s="151"/>
      <c r="AW434" s="151"/>
      <c r="AX434" s="151"/>
      <c r="AY434" s="151"/>
    </row>
    <row r="435" spans="1:51" ht="16.5" customHeight="1" thickBot="1">
      <c r="A435" s="364"/>
      <c r="B435" s="364"/>
      <c r="C435" s="364"/>
      <c r="D435" s="364"/>
      <c r="E435" s="364"/>
      <c r="F435" s="364"/>
      <c r="G435" s="364"/>
      <c r="H435" s="364"/>
      <c r="I435" s="364"/>
      <c r="J435" s="364"/>
      <c r="K435" s="364"/>
      <c r="L435" s="364"/>
      <c r="M435" s="364"/>
      <c r="N435" s="364"/>
      <c r="O435" s="364"/>
      <c r="P435" s="364"/>
      <c r="Q435" s="364"/>
      <c r="R435" s="364"/>
      <c r="S435" s="364"/>
      <c r="T435" s="364"/>
      <c r="U435" s="364"/>
      <c r="V435" s="364"/>
      <c r="W435" s="364"/>
      <c r="X435" s="364"/>
      <c r="Y435" s="364"/>
      <c r="Z435" s="364"/>
      <c r="AA435" s="364"/>
      <c r="AB435" s="364"/>
      <c r="AC435" s="364"/>
      <c r="AD435" s="364"/>
      <c r="AE435" s="364"/>
      <c r="AF435" s="364"/>
      <c r="AG435" s="364"/>
      <c r="AH435" s="364"/>
      <c r="AI435" s="364"/>
      <c r="AJ435" s="364"/>
      <c r="AK435" s="364"/>
      <c r="AL435" s="364"/>
      <c r="AM435" s="364"/>
      <c r="AN435" s="364"/>
      <c r="AO435" s="364"/>
      <c r="AP435" s="364"/>
      <c r="AQ435" s="364"/>
      <c r="AR435" s="364"/>
      <c r="AS435" s="364"/>
      <c r="AT435" s="364"/>
      <c r="AU435" s="371"/>
      <c r="AV435" s="27"/>
      <c r="AW435" s="27"/>
      <c r="AX435" s="27"/>
      <c r="AY435" s="27"/>
    </row>
    <row r="436" spans="1:51" ht="18.75" customHeight="1">
      <c r="A436" s="160">
        <v>813279</v>
      </c>
      <c r="B436" s="29" t="s">
        <v>888</v>
      </c>
      <c r="C436" s="30" t="s">
        <v>55</v>
      </c>
      <c r="D436" s="153">
        <v>0.8</v>
      </c>
      <c r="E436" s="153">
        <v>0.6</v>
      </c>
      <c r="F436" s="31" t="s">
        <v>43</v>
      </c>
      <c r="G436" s="33">
        <v>250</v>
      </c>
      <c r="H436" s="33">
        <v>275</v>
      </c>
      <c r="I436" s="34">
        <v>2</v>
      </c>
      <c r="J436" s="570" t="s">
        <v>889</v>
      </c>
      <c r="K436" s="31" t="s">
        <v>66</v>
      </c>
      <c r="L436" s="161" t="s">
        <v>800</v>
      </c>
      <c r="M436" s="30"/>
      <c r="N436" s="30"/>
      <c r="O436" s="30"/>
      <c r="P436" s="30"/>
      <c r="Q436" s="30"/>
      <c r="R436" s="30"/>
      <c r="S436" s="30"/>
      <c r="T436" s="29"/>
      <c r="U436" s="30"/>
      <c r="V436" s="35"/>
      <c r="W436" s="35"/>
      <c r="X436" s="35"/>
      <c r="Y436" s="35"/>
      <c r="Z436" s="31"/>
      <c r="AA436" s="31"/>
      <c r="AB436" s="31"/>
      <c r="AC436" s="37"/>
      <c r="AD436" s="31"/>
      <c r="AE436" s="36">
        <v>46028</v>
      </c>
      <c r="AF436" s="36">
        <v>46028</v>
      </c>
      <c r="AG436" s="36">
        <v>46028</v>
      </c>
      <c r="AH436" s="36">
        <v>46028</v>
      </c>
      <c r="AI436" s="36">
        <v>46037</v>
      </c>
      <c r="AJ436" s="38">
        <v>46017</v>
      </c>
      <c r="AK436" s="38">
        <v>46017</v>
      </c>
      <c r="AL436" s="36">
        <v>46037</v>
      </c>
      <c r="AM436" s="36">
        <v>46037</v>
      </c>
      <c r="AN436" s="38">
        <v>46017</v>
      </c>
      <c r="AO436" s="36">
        <v>46037</v>
      </c>
      <c r="AP436" s="36"/>
      <c r="AQ436" s="36">
        <v>46037</v>
      </c>
      <c r="AR436" s="36">
        <v>46037</v>
      </c>
      <c r="AS436" s="36">
        <v>46037</v>
      </c>
      <c r="AT436" s="587">
        <v>46041</v>
      </c>
      <c r="AU436" s="637" t="s">
        <v>896</v>
      </c>
      <c r="AV436" s="151"/>
      <c r="AW436" s="151"/>
      <c r="AX436" s="151"/>
      <c r="AY436" s="151"/>
    </row>
    <row r="437" spans="1:51" ht="18" customHeight="1">
      <c r="A437" s="571" t="s">
        <v>509</v>
      </c>
      <c r="B437" s="41"/>
      <c r="C437" s="42">
        <v>812996</v>
      </c>
      <c r="D437" s="42"/>
      <c r="E437" s="42"/>
      <c r="F437" s="43" t="s">
        <v>48</v>
      </c>
      <c r="G437" s="59"/>
      <c r="H437" s="59"/>
      <c r="I437" s="44"/>
      <c r="J437" s="52"/>
      <c r="K437" s="53"/>
      <c r="L437" s="537"/>
      <c r="M437" s="42"/>
      <c r="N437" s="42"/>
      <c r="O437" s="42"/>
      <c r="P437" s="42"/>
      <c r="Q437" s="42"/>
      <c r="R437" s="42"/>
      <c r="S437" s="42"/>
      <c r="T437" s="41"/>
      <c r="U437" s="42"/>
      <c r="V437" s="53"/>
      <c r="W437" s="53"/>
      <c r="X437" s="53"/>
      <c r="Y437" s="53"/>
      <c r="Z437" s="43"/>
      <c r="AA437" s="43"/>
      <c r="AB437" s="43"/>
      <c r="AC437" s="54"/>
      <c r="AD437" s="43"/>
      <c r="AE437" s="46">
        <v>46029</v>
      </c>
      <c r="AF437" s="46">
        <v>46037</v>
      </c>
      <c r="AG437" s="46">
        <v>46035</v>
      </c>
      <c r="AH437" s="46">
        <v>46036</v>
      </c>
      <c r="AI437" s="46">
        <v>46038</v>
      </c>
      <c r="AJ437" s="46">
        <v>46017</v>
      </c>
      <c r="AK437" s="46">
        <v>46014</v>
      </c>
      <c r="AL437" s="46">
        <v>46028</v>
      </c>
      <c r="AM437" s="46">
        <v>46037</v>
      </c>
      <c r="AN437" s="46">
        <v>46017</v>
      </c>
      <c r="AO437" s="46">
        <v>46028</v>
      </c>
      <c r="AP437" s="46"/>
      <c r="AQ437" s="46">
        <v>46028</v>
      </c>
      <c r="AR437" s="46">
        <v>46038</v>
      </c>
      <c r="AS437" s="46">
        <v>46037</v>
      </c>
      <c r="AT437" s="588">
        <v>46041</v>
      </c>
      <c r="AU437" s="638"/>
      <c r="AV437" s="151"/>
      <c r="AW437" s="151"/>
      <c r="AX437" s="151"/>
      <c r="AY437" s="151"/>
    </row>
    <row r="438" spans="1:51" ht="18.75" customHeight="1">
      <c r="A438" s="160">
        <v>850783</v>
      </c>
      <c r="B438" s="149">
        <v>850783</v>
      </c>
      <c r="C438" s="30" t="s">
        <v>55</v>
      </c>
      <c r="D438" s="153">
        <v>0.8</v>
      </c>
      <c r="E438" s="153">
        <v>0.6</v>
      </c>
      <c r="F438" s="31" t="s">
        <v>43</v>
      </c>
      <c r="G438" s="33"/>
      <c r="H438" s="33"/>
      <c r="I438" s="34"/>
      <c r="J438" s="497"/>
      <c r="K438" s="31" t="s">
        <v>327</v>
      </c>
      <c r="L438" s="576" t="s">
        <v>804</v>
      </c>
      <c r="M438" s="30"/>
      <c r="N438" s="30"/>
      <c r="O438" s="30"/>
      <c r="P438" s="30"/>
      <c r="Q438" s="30"/>
      <c r="R438" s="30"/>
      <c r="S438" s="30"/>
      <c r="T438" s="29"/>
      <c r="U438" s="30"/>
      <c r="V438" s="35"/>
      <c r="W438" s="35"/>
      <c r="X438" s="35"/>
      <c r="Y438" s="35"/>
      <c r="Z438" s="31"/>
      <c r="AA438" s="31"/>
      <c r="AB438" s="31"/>
      <c r="AC438" s="37"/>
      <c r="AD438" s="31"/>
      <c r="AE438" s="36">
        <v>46014</v>
      </c>
      <c r="AF438" s="36">
        <v>46027</v>
      </c>
      <c r="AG438" s="36">
        <v>46014</v>
      </c>
      <c r="AH438" s="36">
        <v>46014</v>
      </c>
      <c r="AI438" s="36">
        <v>46014</v>
      </c>
      <c r="AJ438" s="38" t="s">
        <v>905</v>
      </c>
      <c r="AK438" s="38" t="s">
        <v>905</v>
      </c>
      <c r="AL438" s="38" t="s">
        <v>905</v>
      </c>
      <c r="AM438" s="38" t="s">
        <v>905</v>
      </c>
      <c r="AN438" s="38" t="s">
        <v>905</v>
      </c>
      <c r="AO438" s="38" t="s">
        <v>905</v>
      </c>
      <c r="AP438" s="38"/>
      <c r="AQ438" s="38" t="s">
        <v>905</v>
      </c>
      <c r="AR438" s="36">
        <v>46031</v>
      </c>
      <c r="AS438" s="36">
        <v>46031</v>
      </c>
      <c r="AT438" s="587">
        <v>46036</v>
      </c>
      <c r="AU438" s="638"/>
      <c r="AV438" s="151"/>
      <c r="AW438" s="151"/>
      <c r="AX438" s="151"/>
      <c r="AY438" s="151"/>
    </row>
    <row r="439" spans="1:51" ht="18" customHeight="1">
      <c r="A439" s="571" t="s">
        <v>509</v>
      </c>
      <c r="B439" s="41"/>
      <c r="C439" s="41">
        <v>811228</v>
      </c>
      <c r="D439" s="42"/>
      <c r="E439" s="42"/>
      <c r="F439" s="43" t="s">
        <v>48</v>
      </c>
      <c r="G439" s="59"/>
      <c r="H439" s="59"/>
      <c r="I439" s="44"/>
      <c r="J439" s="52"/>
      <c r="K439" s="53"/>
      <c r="L439" s="537"/>
      <c r="M439" s="42"/>
      <c r="N439" s="42"/>
      <c r="O439" s="42"/>
      <c r="P439" s="42"/>
      <c r="Q439" s="42"/>
      <c r="R439" s="42"/>
      <c r="S439" s="42"/>
      <c r="T439" s="41"/>
      <c r="U439" s="42"/>
      <c r="V439" s="53"/>
      <c r="W439" s="53"/>
      <c r="X439" s="53"/>
      <c r="Y439" s="53"/>
      <c r="Z439" s="43"/>
      <c r="AA439" s="43"/>
      <c r="AB439" s="43"/>
      <c r="AC439" s="54"/>
      <c r="AD439" s="43"/>
      <c r="AE439" s="46">
        <v>46014</v>
      </c>
      <c r="AF439" s="46">
        <v>46026</v>
      </c>
      <c r="AG439" s="46">
        <v>46014</v>
      </c>
      <c r="AH439" s="46">
        <v>46014</v>
      </c>
      <c r="AI439" s="46">
        <v>46014</v>
      </c>
      <c r="AJ439" s="46" t="s">
        <v>904</v>
      </c>
      <c r="AK439" s="46" t="s">
        <v>904</v>
      </c>
      <c r="AL439" s="46" t="s">
        <v>904</v>
      </c>
      <c r="AM439" s="46" t="s">
        <v>904</v>
      </c>
      <c r="AN439" s="46" t="s">
        <v>904</v>
      </c>
      <c r="AO439" s="46" t="s">
        <v>904</v>
      </c>
      <c r="AP439" s="46"/>
      <c r="AQ439" s="46" t="s">
        <v>904</v>
      </c>
      <c r="AR439" s="46">
        <v>46031</v>
      </c>
      <c r="AS439" s="46">
        <v>46031</v>
      </c>
      <c r="AT439" s="588">
        <v>46036</v>
      </c>
      <c r="AU439" s="638"/>
      <c r="AV439" s="151"/>
      <c r="AW439" s="151"/>
      <c r="AX439" s="151"/>
      <c r="AY439" s="151"/>
    </row>
    <row r="440" spans="1:51" ht="21" customHeight="1">
      <c r="A440" s="149">
        <v>813081</v>
      </c>
      <c r="B440" s="491" t="s">
        <v>654</v>
      </c>
      <c r="C440" s="30" t="s">
        <v>42</v>
      </c>
      <c r="D440" s="30"/>
      <c r="E440" s="30"/>
      <c r="F440" s="31" t="s">
        <v>43</v>
      </c>
      <c r="G440" s="33">
        <v>300</v>
      </c>
      <c r="H440" s="33">
        <v>400</v>
      </c>
      <c r="I440" s="34">
        <v>7</v>
      </c>
      <c r="J440" s="285" t="s">
        <v>655</v>
      </c>
      <c r="K440" s="31" t="s">
        <v>45</v>
      </c>
      <c r="L440" s="161" t="s">
        <v>800</v>
      </c>
      <c r="M440" s="30"/>
      <c r="N440" s="309" t="s">
        <v>687</v>
      </c>
      <c r="O440" s="30"/>
      <c r="P440" s="481" t="s">
        <v>482</v>
      </c>
      <c r="Q440" s="30"/>
      <c r="R440" s="30"/>
      <c r="S440" s="30"/>
      <c r="T440" s="29"/>
      <c r="U440" s="316" t="s">
        <v>354</v>
      </c>
      <c r="V440" s="36">
        <v>45397</v>
      </c>
      <c r="W440" s="36" t="s">
        <v>884</v>
      </c>
      <c r="X440" s="36">
        <v>45768</v>
      </c>
      <c r="Y440" s="36" t="s">
        <v>885</v>
      </c>
      <c r="Z440" s="31" t="s">
        <v>72</v>
      </c>
      <c r="AA440" s="31" t="s">
        <v>72</v>
      </c>
      <c r="AB440" s="31"/>
      <c r="AC440" s="37"/>
      <c r="AD440" s="31" t="s">
        <v>918</v>
      </c>
      <c r="AE440" s="36">
        <v>46020</v>
      </c>
      <c r="AF440" s="36">
        <v>46030</v>
      </c>
      <c r="AG440" s="36">
        <v>46030</v>
      </c>
      <c r="AH440" s="36">
        <v>46030</v>
      </c>
      <c r="AI440" s="36">
        <v>46042</v>
      </c>
      <c r="AJ440" s="38">
        <v>45670</v>
      </c>
      <c r="AK440" s="38">
        <v>45670</v>
      </c>
      <c r="AL440" s="36">
        <v>46042</v>
      </c>
      <c r="AM440" s="36">
        <v>46042</v>
      </c>
      <c r="AN440" s="36">
        <v>46009</v>
      </c>
      <c r="AO440" s="36">
        <v>46042</v>
      </c>
      <c r="AP440" s="36"/>
      <c r="AQ440" s="36">
        <v>46042</v>
      </c>
      <c r="AR440" s="36">
        <v>46042</v>
      </c>
      <c r="AS440" s="36">
        <v>46042</v>
      </c>
      <c r="AT440" s="594">
        <v>46055</v>
      </c>
      <c r="AU440" s="638"/>
      <c r="AV440" s="151"/>
      <c r="AW440" s="151"/>
      <c r="AX440" s="151"/>
      <c r="AY440" s="151"/>
    </row>
    <row r="441" spans="1:51" ht="18" customHeight="1">
      <c r="A441" s="40">
        <v>813081</v>
      </c>
      <c r="B441" s="41"/>
      <c r="C441" s="42"/>
      <c r="D441" s="42"/>
      <c r="E441" s="42"/>
      <c r="F441" s="43" t="s">
        <v>48</v>
      </c>
      <c r="G441" s="59"/>
      <c r="H441" s="59"/>
      <c r="I441" s="44"/>
      <c r="J441" s="52"/>
      <c r="K441" s="53"/>
      <c r="L441" s="537"/>
      <c r="M441" s="42"/>
      <c r="N441" s="42"/>
      <c r="O441" s="42"/>
      <c r="P441" s="42"/>
      <c r="Q441" s="42"/>
      <c r="R441" s="42"/>
      <c r="S441" s="42"/>
      <c r="T441" s="41"/>
      <c r="U441" s="42"/>
      <c r="V441" s="116">
        <v>45397</v>
      </c>
      <c r="W441" s="116" t="s">
        <v>884</v>
      </c>
      <c r="X441" s="116">
        <v>45768</v>
      </c>
      <c r="Y441" s="116">
        <v>46028</v>
      </c>
      <c r="Z441" s="43"/>
      <c r="AA441" s="43"/>
      <c r="AB441" s="43"/>
      <c r="AC441" s="54"/>
      <c r="AD441" s="43"/>
      <c r="AE441" s="46">
        <v>46020</v>
      </c>
      <c r="AF441" s="46">
        <v>46029</v>
      </c>
      <c r="AG441" s="46">
        <v>46031</v>
      </c>
      <c r="AH441" s="46">
        <v>46034</v>
      </c>
      <c r="AI441" s="46">
        <v>46042</v>
      </c>
      <c r="AJ441" s="500">
        <v>45670</v>
      </c>
      <c r="AK441" s="46">
        <v>45398</v>
      </c>
      <c r="AL441" s="46">
        <v>46042</v>
      </c>
      <c r="AM441" s="46">
        <v>46042</v>
      </c>
      <c r="AN441" s="46" t="s">
        <v>254</v>
      </c>
      <c r="AO441" s="46">
        <v>46042</v>
      </c>
      <c r="AP441" s="46"/>
      <c r="AQ441" s="46">
        <v>46042</v>
      </c>
      <c r="AR441" s="46">
        <v>46043</v>
      </c>
      <c r="AS441" s="46">
        <v>46043</v>
      </c>
      <c r="AT441" s="588">
        <v>46081</v>
      </c>
      <c r="AU441" s="638"/>
      <c r="AV441" s="151"/>
      <c r="AW441" s="151"/>
      <c r="AX441" s="151"/>
      <c r="AY441" s="151"/>
    </row>
    <row r="442" spans="1:51" ht="18.75" customHeight="1">
      <c r="A442" s="149">
        <v>813245</v>
      </c>
      <c r="B442" s="29" t="s">
        <v>829</v>
      </c>
      <c r="C442" s="30"/>
      <c r="D442" s="153"/>
      <c r="E442" s="30"/>
      <c r="F442" s="31" t="s">
        <v>43</v>
      </c>
      <c r="G442" s="33">
        <v>334</v>
      </c>
      <c r="H442" s="33">
        <v>500</v>
      </c>
      <c r="I442" s="34">
        <v>6</v>
      </c>
      <c r="J442" s="557" t="s">
        <v>830</v>
      </c>
      <c r="K442" s="31" t="s">
        <v>231</v>
      </c>
      <c r="L442" s="161" t="s">
        <v>806</v>
      </c>
      <c r="M442" s="30"/>
      <c r="N442" s="30"/>
      <c r="O442" s="30"/>
      <c r="P442" s="30"/>
      <c r="Q442" s="30"/>
      <c r="R442" s="30"/>
      <c r="S442" s="30"/>
      <c r="T442" s="29"/>
      <c r="U442" s="30"/>
      <c r="V442" s="36">
        <v>45991</v>
      </c>
      <c r="W442" s="36">
        <f>V442+15</f>
        <v>46006</v>
      </c>
      <c r="X442" s="36">
        <v>45991</v>
      </c>
      <c r="Y442" s="36">
        <f>X442+15</f>
        <v>46006</v>
      </c>
      <c r="Z442" s="31"/>
      <c r="AA442" s="31"/>
      <c r="AB442" s="31"/>
      <c r="AC442" s="37"/>
      <c r="AD442" s="31"/>
      <c r="AE442" s="36">
        <v>46020</v>
      </c>
      <c r="AF442" s="36">
        <v>46036</v>
      </c>
      <c r="AG442" s="36">
        <v>46036</v>
      </c>
      <c r="AH442" s="36">
        <v>46036</v>
      </c>
      <c r="AI442" s="574">
        <v>46052</v>
      </c>
      <c r="AJ442" s="36">
        <v>45939</v>
      </c>
      <c r="AK442" s="36">
        <v>45939</v>
      </c>
      <c r="AL442" s="36">
        <v>46048</v>
      </c>
      <c r="AM442" s="36">
        <v>46042</v>
      </c>
      <c r="AN442" s="36">
        <v>45978</v>
      </c>
      <c r="AO442" s="36">
        <v>46048</v>
      </c>
      <c r="AP442" s="36"/>
      <c r="AQ442" s="36">
        <v>46048</v>
      </c>
      <c r="AR442" s="36">
        <v>46048</v>
      </c>
      <c r="AS442" s="511">
        <v>46055</v>
      </c>
      <c r="AT442" s="594">
        <v>46058</v>
      </c>
      <c r="AU442" s="638"/>
      <c r="AV442" s="151"/>
      <c r="AW442" s="151"/>
      <c r="AX442" s="151"/>
      <c r="AY442" s="151"/>
    </row>
    <row r="443" spans="1:51" ht="18" customHeight="1">
      <c r="A443" s="40"/>
      <c r="B443" s="41"/>
      <c r="C443" s="42"/>
      <c r="D443" s="42"/>
      <c r="E443" s="42"/>
      <c r="F443" s="43" t="s">
        <v>48</v>
      </c>
      <c r="G443" s="59"/>
      <c r="H443" s="59"/>
      <c r="I443" s="44"/>
      <c r="J443" s="52"/>
      <c r="K443" s="53"/>
      <c r="L443" s="537"/>
      <c r="M443" s="42"/>
      <c r="N443" s="42"/>
      <c r="O443" s="42"/>
      <c r="P443" s="42"/>
      <c r="Q443" s="42"/>
      <c r="R443" s="42"/>
      <c r="S443" s="42"/>
      <c r="T443" s="41"/>
      <c r="U443" s="42"/>
      <c r="V443" s="116">
        <v>45982</v>
      </c>
      <c r="W443" s="116">
        <v>46007</v>
      </c>
      <c r="X443" s="116">
        <v>45988</v>
      </c>
      <c r="Y443" s="116"/>
      <c r="Z443" s="43"/>
      <c r="AA443" s="43"/>
      <c r="AB443" s="43"/>
      <c r="AC443" s="54"/>
      <c r="AD443" s="43"/>
      <c r="AE443" s="46">
        <v>46030</v>
      </c>
      <c r="AF443" s="46">
        <v>46038</v>
      </c>
      <c r="AG443" s="46">
        <v>45672</v>
      </c>
      <c r="AH443" s="46">
        <v>46043</v>
      </c>
      <c r="AI443" s="46">
        <v>46059</v>
      </c>
      <c r="AJ443" s="46">
        <v>45960</v>
      </c>
      <c r="AK443" s="46">
        <v>45967</v>
      </c>
      <c r="AL443" s="46">
        <v>46048</v>
      </c>
      <c r="AM443" s="46">
        <v>46042</v>
      </c>
      <c r="AN443" s="46">
        <v>45978</v>
      </c>
      <c r="AO443" s="46">
        <v>46048</v>
      </c>
      <c r="AP443" s="46"/>
      <c r="AQ443" s="46">
        <v>46048</v>
      </c>
      <c r="AR443" s="46" t="s">
        <v>919</v>
      </c>
      <c r="AS443" s="46">
        <v>46055</v>
      </c>
      <c r="AT443" s="588">
        <v>46081</v>
      </c>
      <c r="AU443" s="638"/>
      <c r="AV443" s="151"/>
      <c r="AW443" s="151"/>
      <c r="AX443" s="151"/>
      <c r="AY443" s="151"/>
    </row>
    <row r="444" spans="1:51" ht="18.75" customHeight="1">
      <c r="A444" s="294">
        <v>813251</v>
      </c>
      <c r="B444" s="29" t="s">
        <v>849</v>
      </c>
      <c r="C444" s="30" t="s">
        <v>42</v>
      </c>
      <c r="D444" s="153"/>
      <c r="E444" s="30"/>
      <c r="F444" s="31" t="s">
        <v>43</v>
      </c>
      <c r="G444" s="33">
        <v>250</v>
      </c>
      <c r="H444" s="33">
        <v>132</v>
      </c>
      <c r="I444" s="34">
        <v>2</v>
      </c>
      <c r="J444" s="468" t="s">
        <v>842</v>
      </c>
      <c r="K444" s="31" t="s">
        <v>327</v>
      </c>
      <c r="L444" s="161" t="s">
        <v>805</v>
      </c>
      <c r="M444" s="30"/>
      <c r="N444" s="30"/>
      <c r="O444" s="30"/>
      <c r="P444" s="30"/>
      <c r="Q444" s="30"/>
      <c r="R444" s="30"/>
      <c r="S444" s="30"/>
      <c r="T444" s="29"/>
      <c r="U444" s="30"/>
      <c r="V444" s="36" t="s">
        <v>878</v>
      </c>
      <c r="W444" s="36" t="s">
        <v>878</v>
      </c>
      <c r="X444" s="36" t="s">
        <v>878</v>
      </c>
      <c r="Y444" s="36" t="s">
        <v>878</v>
      </c>
      <c r="Z444" s="31"/>
      <c r="AA444" s="31"/>
      <c r="AB444" s="31"/>
      <c r="AC444" s="37"/>
      <c r="AD444" s="31"/>
      <c r="AE444" s="36">
        <v>46029</v>
      </c>
      <c r="AF444" s="575">
        <v>46053</v>
      </c>
      <c r="AG444" s="575">
        <v>46053</v>
      </c>
      <c r="AH444" s="575">
        <v>46053</v>
      </c>
      <c r="AI444" s="36">
        <v>45693</v>
      </c>
      <c r="AJ444" s="36">
        <v>45945</v>
      </c>
      <c r="AK444" s="36">
        <v>45945</v>
      </c>
      <c r="AL444" s="575">
        <v>46053</v>
      </c>
      <c r="AM444" s="36">
        <v>46050</v>
      </c>
      <c r="AN444" s="36">
        <v>45981</v>
      </c>
      <c r="AO444" s="575">
        <v>46053</v>
      </c>
      <c r="AP444" s="575"/>
      <c r="AQ444" s="575">
        <v>46053</v>
      </c>
      <c r="AR444" s="575">
        <v>46053</v>
      </c>
      <c r="AS444" s="575">
        <v>46053</v>
      </c>
      <c r="AT444" s="595">
        <v>46053</v>
      </c>
      <c r="AU444" s="638"/>
      <c r="AV444" s="151"/>
      <c r="AW444" s="151"/>
      <c r="AX444" s="151"/>
      <c r="AY444" s="151"/>
    </row>
    <row r="445" spans="1:51" ht="18" customHeight="1">
      <c r="A445" s="227"/>
      <c r="B445" s="41"/>
      <c r="C445" s="42"/>
      <c r="D445" s="42"/>
      <c r="E445" s="42"/>
      <c r="F445" s="43" t="s">
        <v>48</v>
      </c>
      <c r="G445" s="59"/>
      <c r="H445" s="59"/>
      <c r="I445" s="44"/>
      <c r="J445" s="52"/>
      <c r="K445" s="53"/>
      <c r="L445" s="537"/>
      <c r="M445" s="42"/>
      <c r="N445" s="42"/>
      <c r="O445" s="42"/>
      <c r="P445" s="42"/>
      <c r="Q445" s="42"/>
      <c r="R445" s="42"/>
      <c r="S445" s="42"/>
      <c r="T445" s="41"/>
      <c r="U445" s="42"/>
      <c r="V445" s="116"/>
      <c r="W445" s="116"/>
      <c r="X445" s="116"/>
      <c r="Y445" s="116"/>
      <c r="Z445" s="43"/>
      <c r="AA445" s="43"/>
      <c r="AB445" s="43"/>
      <c r="AC445" s="54"/>
      <c r="AD445" s="43"/>
      <c r="AE445" s="46">
        <v>46038</v>
      </c>
      <c r="AF445" s="46">
        <v>46055</v>
      </c>
      <c r="AG445" s="46">
        <v>46062</v>
      </c>
      <c r="AH445" s="46">
        <v>46062</v>
      </c>
      <c r="AI445" s="46">
        <v>46059</v>
      </c>
      <c r="AJ445" s="46">
        <v>45982</v>
      </c>
      <c r="AK445" s="46">
        <v>45982</v>
      </c>
      <c r="AL445" s="46">
        <v>46062</v>
      </c>
      <c r="AM445" s="46" t="s">
        <v>920</v>
      </c>
      <c r="AN445" s="46">
        <v>46003</v>
      </c>
      <c r="AO445" s="46">
        <v>46053</v>
      </c>
      <c r="AP445" s="46"/>
      <c r="AQ445" s="46">
        <v>46053</v>
      </c>
      <c r="AR445" s="46">
        <v>46053</v>
      </c>
      <c r="AS445" s="46">
        <v>46053</v>
      </c>
      <c r="AT445" s="588">
        <v>46053</v>
      </c>
      <c r="AU445" s="638"/>
      <c r="AV445" s="151"/>
      <c r="AW445" s="151"/>
      <c r="AX445" s="151"/>
      <c r="AY445" s="151"/>
    </row>
    <row r="446" spans="1:51" ht="18.75" customHeight="1">
      <c r="A446" s="160">
        <v>850621</v>
      </c>
      <c r="B446" s="29">
        <v>850621</v>
      </c>
      <c r="C446" s="30"/>
      <c r="D446" s="30"/>
      <c r="E446" s="30"/>
      <c r="F446" s="31" t="s">
        <v>43</v>
      </c>
      <c r="G446" s="33">
        <v>180</v>
      </c>
      <c r="H446" s="33">
        <v>220</v>
      </c>
      <c r="I446" s="34">
        <v>1</v>
      </c>
      <c r="J446" s="529" t="s">
        <v>745</v>
      </c>
      <c r="K446" s="31" t="s">
        <v>231</v>
      </c>
      <c r="L446" s="161" t="s">
        <v>802</v>
      </c>
      <c r="M446" s="30"/>
      <c r="N446" s="30"/>
      <c r="O446" s="30"/>
      <c r="P446" s="30"/>
      <c r="Q446" s="30"/>
      <c r="R446" s="30"/>
      <c r="S446" s="30"/>
      <c r="T446" s="29"/>
      <c r="U446" s="30"/>
      <c r="V446" s="36"/>
      <c r="W446" s="36"/>
      <c r="X446" s="36"/>
      <c r="Y446" s="36"/>
      <c r="Z446" s="31"/>
      <c r="AA446" s="31"/>
      <c r="AB446" s="31"/>
      <c r="AC446" s="37"/>
      <c r="AD446" s="31"/>
      <c r="AE446" s="36">
        <v>46037</v>
      </c>
      <c r="AF446" s="36">
        <v>46044</v>
      </c>
      <c r="AG446" s="36">
        <v>46044</v>
      </c>
      <c r="AH446" s="36">
        <v>46044</v>
      </c>
      <c r="AI446" s="575">
        <v>46059</v>
      </c>
      <c r="AJ446" s="36" t="s">
        <v>81</v>
      </c>
      <c r="AK446" s="36">
        <v>45952</v>
      </c>
      <c r="AL446" s="36">
        <v>46051</v>
      </c>
      <c r="AM446" s="36">
        <v>46051</v>
      </c>
      <c r="AN446" s="36">
        <v>45971</v>
      </c>
      <c r="AO446" s="36">
        <v>46051</v>
      </c>
      <c r="AP446" s="36"/>
      <c r="AQ446" s="36">
        <v>46051</v>
      </c>
      <c r="AR446" s="575">
        <v>46053</v>
      </c>
      <c r="AS446" s="575">
        <v>46058</v>
      </c>
      <c r="AT446" s="595">
        <v>46060</v>
      </c>
      <c r="AU446" s="638"/>
      <c r="AV446" s="151"/>
      <c r="AW446" s="151"/>
      <c r="AX446" s="151"/>
      <c r="AY446" s="151"/>
    </row>
    <row r="447" spans="1:51" ht="18" customHeight="1">
      <c r="A447" s="40">
        <f>IF(A446="","",A446)</f>
        <v>850621</v>
      </c>
      <c r="B447" s="122" t="s">
        <v>861</v>
      </c>
      <c r="C447" s="42"/>
      <c r="D447" s="42"/>
      <c r="E447" s="42"/>
      <c r="F447" s="43" t="s">
        <v>48</v>
      </c>
      <c r="G447" s="59"/>
      <c r="H447" s="59"/>
      <c r="I447" s="44"/>
      <c r="J447" s="52"/>
      <c r="K447" s="53"/>
      <c r="L447" s="537"/>
      <c r="M447" s="42"/>
      <c r="N447" s="42"/>
      <c r="O447" s="42"/>
      <c r="P447" s="42"/>
      <c r="Q447" s="42"/>
      <c r="R447" s="42"/>
      <c r="S447" s="42"/>
      <c r="T447" s="41"/>
      <c r="U447" s="42"/>
      <c r="V447" s="116"/>
      <c r="W447" s="116"/>
      <c r="X447" s="116"/>
      <c r="Y447" s="116"/>
      <c r="Z447" s="43"/>
      <c r="AA447" s="43"/>
      <c r="AB447" s="43"/>
      <c r="AC447" s="54"/>
      <c r="AD447" s="43"/>
      <c r="AE447" s="46">
        <v>46038</v>
      </c>
      <c r="AF447" s="46">
        <v>46050</v>
      </c>
      <c r="AG447" s="46" t="s">
        <v>921</v>
      </c>
      <c r="AH447" s="46">
        <v>46048</v>
      </c>
      <c r="AI447" s="46">
        <v>46062</v>
      </c>
      <c r="AJ447" s="46" t="s">
        <v>81</v>
      </c>
      <c r="AK447" s="46">
        <v>45952</v>
      </c>
      <c r="AL447" s="46">
        <v>46042</v>
      </c>
      <c r="AM447" s="46">
        <v>46051</v>
      </c>
      <c r="AN447" s="46">
        <v>45971</v>
      </c>
      <c r="AO447" s="46">
        <v>46041</v>
      </c>
      <c r="AP447" s="46"/>
      <c r="AQ447" s="46">
        <v>46041</v>
      </c>
      <c r="AR447" s="46">
        <v>46053</v>
      </c>
      <c r="AS447" s="46">
        <v>46058</v>
      </c>
      <c r="AT447" s="588"/>
      <c r="AU447" s="638"/>
      <c r="AV447" s="151"/>
      <c r="AW447" s="151"/>
      <c r="AX447" s="151"/>
      <c r="AY447" s="151"/>
    </row>
    <row r="448" spans="1:51" ht="18.75" customHeight="1">
      <c r="A448" s="294">
        <v>813242</v>
      </c>
      <c r="B448" s="29">
        <v>813242</v>
      </c>
      <c r="C448" s="30" t="s">
        <v>55</v>
      </c>
      <c r="D448" s="153">
        <v>0.7</v>
      </c>
      <c r="E448" s="153">
        <v>0.6</v>
      </c>
      <c r="F448" s="31" t="s">
        <v>43</v>
      </c>
      <c r="G448" s="33">
        <v>125</v>
      </c>
      <c r="H448" s="33">
        <v>400</v>
      </c>
      <c r="I448" s="34">
        <v>1</v>
      </c>
      <c r="J448" s="468" t="s">
        <v>828</v>
      </c>
      <c r="K448" s="31" t="s">
        <v>351</v>
      </c>
      <c r="L448" s="161" t="s">
        <v>804</v>
      </c>
      <c r="M448" s="30"/>
      <c r="N448" s="30"/>
      <c r="O448" s="30"/>
      <c r="P448" s="30"/>
      <c r="Q448" s="30"/>
      <c r="R448" s="30"/>
      <c r="S448" s="30"/>
      <c r="T448" s="29"/>
      <c r="U448" s="30"/>
      <c r="V448" s="36">
        <v>45950</v>
      </c>
      <c r="W448" s="36">
        <f>V448+15</f>
        <v>45965</v>
      </c>
      <c r="X448" s="36">
        <v>45950</v>
      </c>
      <c r="Y448" s="36">
        <f>X448+15</f>
        <v>45965</v>
      </c>
      <c r="Z448" s="31"/>
      <c r="AA448" s="31"/>
      <c r="AB448" s="31"/>
      <c r="AC448" s="37"/>
      <c r="AD448" s="31"/>
      <c r="AE448" s="36">
        <v>46037</v>
      </c>
      <c r="AF448" s="36">
        <v>46044</v>
      </c>
      <c r="AG448" s="36">
        <v>46044</v>
      </c>
      <c r="AH448" s="36">
        <v>46044</v>
      </c>
      <c r="AI448" s="36">
        <v>46051</v>
      </c>
      <c r="AJ448" s="36">
        <v>45945</v>
      </c>
      <c r="AK448" s="36">
        <v>45945</v>
      </c>
      <c r="AL448" s="36">
        <v>46051</v>
      </c>
      <c r="AM448" s="36">
        <v>46051</v>
      </c>
      <c r="AN448" s="36">
        <v>46030</v>
      </c>
      <c r="AO448" s="36">
        <v>46051</v>
      </c>
      <c r="AP448" s="36"/>
      <c r="AQ448" s="36">
        <v>46051</v>
      </c>
      <c r="AR448" s="36">
        <v>46051</v>
      </c>
      <c r="AS448" s="36">
        <v>46051</v>
      </c>
      <c r="AT448" s="587">
        <v>46055</v>
      </c>
      <c r="AU448" s="638"/>
      <c r="AV448" s="151"/>
      <c r="AW448" s="151"/>
      <c r="AX448" s="151"/>
      <c r="AY448" s="151"/>
    </row>
    <row r="449" spans="1:51" ht="18" customHeight="1" thickBot="1">
      <c r="A449" s="40"/>
      <c r="B449" s="41"/>
      <c r="C449" s="42">
        <v>812975</v>
      </c>
      <c r="D449" s="42"/>
      <c r="E449" s="42"/>
      <c r="F449" s="43" t="s">
        <v>48</v>
      </c>
      <c r="G449" s="59"/>
      <c r="H449" s="59"/>
      <c r="I449" s="44"/>
      <c r="J449" s="52"/>
      <c r="K449" s="53"/>
      <c r="L449" s="537"/>
      <c r="M449" s="42"/>
      <c r="N449" s="42"/>
      <c r="O449" s="42"/>
      <c r="P449" s="42"/>
      <c r="Q449" s="42"/>
      <c r="R449" s="42"/>
      <c r="S449" s="42"/>
      <c r="T449" s="41"/>
      <c r="U449" s="42"/>
      <c r="V449" s="116">
        <v>45950</v>
      </c>
      <c r="W449" s="116">
        <v>46010</v>
      </c>
      <c r="X449" s="116">
        <v>45950</v>
      </c>
      <c r="Y449" s="116">
        <v>46010</v>
      </c>
      <c r="Z449" s="43"/>
      <c r="AA449" s="43"/>
      <c r="AB449" s="43"/>
      <c r="AC449" s="54"/>
      <c r="AD449" s="43"/>
      <c r="AE449" s="46">
        <v>46041</v>
      </c>
      <c r="AF449" s="46">
        <v>46041</v>
      </c>
      <c r="AG449" s="46">
        <v>46041</v>
      </c>
      <c r="AH449" s="46">
        <v>46041</v>
      </c>
      <c r="AI449" s="46">
        <v>46041</v>
      </c>
      <c r="AJ449" s="46">
        <v>45940</v>
      </c>
      <c r="AK449" s="46">
        <v>45940</v>
      </c>
      <c r="AL449" s="46">
        <v>46041</v>
      </c>
      <c r="AM449" s="46">
        <v>46041</v>
      </c>
      <c r="AN449" s="46">
        <v>46030</v>
      </c>
      <c r="AO449" s="46">
        <v>46041</v>
      </c>
      <c r="AP449" s="46"/>
      <c r="AQ449" s="46">
        <v>46041</v>
      </c>
      <c r="AR449" s="46">
        <v>46041</v>
      </c>
      <c r="AS449" s="46">
        <v>46041</v>
      </c>
      <c r="AT449" s="588">
        <v>46041</v>
      </c>
      <c r="AU449" s="639"/>
      <c r="AV449" s="151"/>
      <c r="AW449" s="151"/>
      <c r="AX449" s="151"/>
      <c r="AY449" s="151"/>
    </row>
    <row r="450" spans="1:51" ht="16.5" customHeight="1" thickBot="1">
      <c r="A450" s="364"/>
      <c r="B450" s="364"/>
      <c r="C450" s="364"/>
      <c r="D450" s="364"/>
      <c r="E450" s="364"/>
      <c r="F450" s="364"/>
      <c r="G450" s="364"/>
      <c r="H450" s="364"/>
      <c r="I450" s="364"/>
      <c r="J450" s="364"/>
      <c r="K450" s="364"/>
      <c r="L450" s="364"/>
      <c r="M450" s="364"/>
      <c r="N450" s="364"/>
      <c r="O450" s="364"/>
      <c r="P450" s="364"/>
      <c r="Q450" s="364"/>
      <c r="R450" s="364"/>
      <c r="S450" s="364"/>
      <c r="T450" s="364"/>
      <c r="U450" s="364"/>
      <c r="V450" s="364"/>
      <c r="W450" s="364"/>
      <c r="X450" s="364"/>
      <c r="Y450" s="364"/>
      <c r="Z450" s="364"/>
      <c r="AA450" s="364"/>
      <c r="AB450" s="364"/>
      <c r="AC450" s="364"/>
      <c r="AD450" s="364"/>
      <c r="AE450" s="364"/>
      <c r="AF450" s="364"/>
      <c r="AG450" s="364"/>
      <c r="AH450" s="364"/>
      <c r="AI450" s="364"/>
      <c r="AJ450" s="364"/>
      <c r="AK450" s="364"/>
      <c r="AL450" s="364"/>
      <c r="AM450" s="364"/>
      <c r="AN450" s="364"/>
      <c r="AO450" s="364"/>
      <c r="AP450" s="364"/>
      <c r="AQ450" s="364"/>
      <c r="AR450" s="364"/>
      <c r="AS450" s="364"/>
      <c r="AT450" s="364"/>
      <c r="AU450" s="371"/>
      <c r="AV450" s="27"/>
      <c r="AW450" s="27"/>
      <c r="AX450" s="27"/>
      <c r="AY450" s="27"/>
    </row>
    <row r="451" spans="1:51" ht="18" customHeight="1">
      <c r="A451" s="294">
        <v>813160</v>
      </c>
      <c r="B451" s="29">
        <v>813160</v>
      </c>
      <c r="C451" s="30"/>
      <c r="D451" s="30"/>
      <c r="E451" s="30"/>
      <c r="F451" s="31" t="s">
        <v>43</v>
      </c>
      <c r="G451" s="33">
        <v>280</v>
      </c>
      <c r="H451" s="33">
        <v>400</v>
      </c>
      <c r="I451" s="34">
        <v>1</v>
      </c>
      <c r="J451" s="498" t="s">
        <v>689</v>
      </c>
      <c r="K451" s="31" t="s">
        <v>45</v>
      </c>
      <c r="L451" s="161" t="s">
        <v>803</v>
      </c>
      <c r="M451" s="30"/>
      <c r="N451" s="30"/>
      <c r="O451" s="30"/>
      <c r="P451" s="30"/>
      <c r="Q451" s="30"/>
      <c r="R451" s="30"/>
      <c r="S451" s="30"/>
      <c r="T451" s="29"/>
      <c r="U451" s="30"/>
      <c r="V451" s="36">
        <v>45903</v>
      </c>
      <c r="W451" s="36">
        <v>45917</v>
      </c>
      <c r="X451" s="36">
        <v>45903</v>
      </c>
      <c r="Y451" s="36">
        <v>45917</v>
      </c>
      <c r="Z451" s="31" t="s">
        <v>72</v>
      </c>
      <c r="AA451" s="31"/>
      <c r="AB451" s="31"/>
      <c r="AC451" s="37"/>
      <c r="AD451" s="31"/>
      <c r="AE451" s="36">
        <v>46052</v>
      </c>
      <c r="AF451" s="36">
        <v>46058</v>
      </c>
      <c r="AG451" s="36">
        <v>46058</v>
      </c>
      <c r="AH451" s="36">
        <v>46058</v>
      </c>
      <c r="AI451" s="36">
        <v>46066</v>
      </c>
      <c r="AJ451" s="36">
        <v>45838</v>
      </c>
      <c r="AK451" s="36">
        <v>45805</v>
      </c>
      <c r="AL451" s="36">
        <v>46066</v>
      </c>
      <c r="AM451" s="36">
        <v>46066</v>
      </c>
      <c r="AN451" s="36">
        <v>45985</v>
      </c>
      <c r="AO451" s="36">
        <v>46066</v>
      </c>
      <c r="AP451" s="36"/>
      <c r="AQ451" s="36">
        <v>46066</v>
      </c>
      <c r="AR451" s="36">
        <v>46066</v>
      </c>
      <c r="AS451" s="36">
        <v>46066</v>
      </c>
      <c r="AT451" s="36">
        <v>46070</v>
      </c>
      <c r="AU451" s="150"/>
      <c r="AV451" s="151"/>
      <c r="AW451" s="151"/>
      <c r="AX451" s="151"/>
      <c r="AY451" s="151"/>
    </row>
    <row r="452" spans="1:51" ht="18" customHeight="1">
      <c r="A452" s="227">
        <v>813160</v>
      </c>
      <c r="B452" s="41"/>
      <c r="C452" s="42"/>
      <c r="D452" s="42"/>
      <c r="E452" s="42"/>
      <c r="F452" s="43" t="s">
        <v>48</v>
      </c>
      <c r="G452" s="59"/>
      <c r="H452" s="59"/>
      <c r="I452" s="44"/>
      <c r="J452" s="52"/>
      <c r="K452" s="53"/>
      <c r="L452" s="537"/>
      <c r="M452" s="42"/>
      <c r="N452" s="42"/>
      <c r="O452" s="42"/>
      <c r="P452" s="42"/>
      <c r="Q452" s="42"/>
      <c r="R452" s="42"/>
      <c r="S452" s="42"/>
      <c r="T452" s="41"/>
      <c r="U452" s="42"/>
      <c r="V452" s="116">
        <v>45902</v>
      </c>
      <c r="W452" s="116">
        <v>45987</v>
      </c>
      <c r="X452" s="116">
        <v>45902</v>
      </c>
      <c r="Y452" s="116">
        <v>45987</v>
      </c>
      <c r="Z452" s="43"/>
      <c r="AA452" s="43"/>
      <c r="AB452" s="43"/>
      <c r="AC452" s="54"/>
      <c r="AD452" s="43"/>
      <c r="AE452" s="46">
        <v>46050</v>
      </c>
      <c r="AF452" s="46">
        <v>46058</v>
      </c>
      <c r="AG452" s="46">
        <v>46058</v>
      </c>
      <c r="AH452" s="46">
        <v>46058</v>
      </c>
      <c r="AI452" s="46">
        <v>46066</v>
      </c>
      <c r="AJ452" s="46">
        <v>45838</v>
      </c>
      <c r="AK452" s="46">
        <v>45805</v>
      </c>
      <c r="AL452" s="46">
        <v>46066</v>
      </c>
      <c r="AM452" s="46">
        <v>46066</v>
      </c>
      <c r="AN452" s="46">
        <v>45950</v>
      </c>
      <c r="AO452" s="46">
        <v>46066</v>
      </c>
      <c r="AP452" s="46"/>
      <c r="AQ452" s="46">
        <v>46066</v>
      </c>
      <c r="AR452" s="46">
        <v>46066</v>
      </c>
      <c r="AS452" s="46">
        <v>46066</v>
      </c>
      <c r="AT452" s="46">
        <v>46070</v>
      </c>
      <c r="AU452" s="150"/>
      <c r="AV452" s="151"/>
      <c r="AW452" s="151"/>
      <c r="AX452" s="151"/>
      <c r="AY452" s="151"/>
    </row>
    <row r="453" spans="1:51" ht="18.75" customHeight="1">
      <c r="A453" s="294">
        <v>813219</v>
      </c>
      <c r="B453" s="29">
        <v>813219</v>
      </c>
      <c r="C453" s="30"/>
      <c r="D453" s="30"/>
      <c r="E453" s="30"/>
      <c r="F453" s="31" t="s">
        <v>43</v>
      </c>
      <c r="G453" s="33">
        <v>180</v>
      </c>
      <c r="H453" s="33">
        <v>220</v>
      </c>
      <c r="I453" s="34">
        <v>1</v>
      </c>
      <c r="J453" s="285" t="s">
        <v>840</v>
      </c>
      <c r="K453" s="31" t="s">
        <v>66</v>
      </c>
      <c r="L453" s="161" t="s">
        <v>803</v>
      </c>
      <c r="M453" s="30"/>
      <c r="N453" s="30"/>
      <c r="O453" s="30"/>
      <c r="P453" s="30"/>
      <c r="Q453" s="30"/>
      <c r="R453" s="30"/>
      <c r="S453" s="30"/>
      <c r="T453" s="29"/>
      <c r="U453" s="30"/>
      <c r="V453" s="36">
        <v>45976</v>
      </c>
      <c r="W453" s="36">
        <v>45992</v>
      </c>
      <c r="X453" s="36">
        <v>45976</v>
      </c>
      <c r="Y453" s="36">
        <v>45992</v>
      </c>
      <c r="Z453" s="31"/>
      <c r="AA453" s="31"/>
      <c r="AB453" s="31"/>
      <c r="AC453" s="37"/>
      <c r="AD453" s="31"/>
      <c r="AE453" s="36">
        <v>46058</v>
      </c>
      <c r="AF453" s="36">
        <v>46062</v>
      </c>
      <c r="AG453" s="36">
        <v>46062</v>
      </c>
      <c r="AH453" s="36">
        <v>46062</v>
      </c>
      <c r="AI453" s="36">
        <v>46078</v>
      </c>
      <c r="AJ453" s="36">
        <v>45988</v>
      </c>
      <c r="AK453" s="36">
        <v>45988</v>
      </c>
      <c r="AL453" s="36">
        <v>46078</v>
      </c>
      <c r="AM453" s="36">
        <v>46078</v>
      </c>
      <c r="AN453" s="36">
        <v>46028</v>
      </c>
      <c r="AO453" s="36">
        <v>46078</v>
      </c>
      <c r="AP453" s="36"/>
      <c r="AQ453" s="36">
        <v>46078</v>
      </c>
      <c r="AR453" s="36">
        <v>46078</v>
      </c>
      <c r="AS453" s="36">
        <v>46078</v>
      </c>
      <c r="AT453" s="36">
        <v>46080</v>
      </c>
      <c r="AU453" s="150"/>
      <c r="AV453" s="151"/>
      <c r="AW453" s="151"/>
      <c r="AX453" s="151"/>
      <c r="AY453" s="151"/>
    </row>
    <row r="454" spans="1:51" ht="18" customHeight="1">
      <c r="A454" s="227"/>
      <c r="B454" s="41"/>
      <c r="C454" s="42"/>
      <c r="D454" s="42"/>
      <c r="E454" s="42"/>
      <c r="F454" s="43" t="s">
        <v>48</v>
      </c>
      <c r="G454" s="59"/>
      <c r="H454" s="59"/>
      <c r="I454" s="44"/>
      <c r="J454" s="52"/>
      <c r="K454" s="53"/>
      <c r="L454" s="537"/>
      <c r="M454" s="42"/>
      <c r="N454" s="42"/>
      <c r="O454" s="42"/>
      <c r="P454" s="42"/>
      <c r="Q454" s="42"/>
      <c r="R454" s="42"/>
      <c r="S454" s="42"/>
      <c r="T454" s="41"/>
      <c r="U454" s="42"/>
      <c r="V454" s="116">
        <v>45977</v>
      </c>
      <c r="W454" s="116">
        <v>46028</v>
      </c>
      <c r="X454" s="116">
        <v>45975</v>
      </c>
      <c r="Y454" s="116">
        <v>46029</v>
      </c>
      <c r="Z454" s="43"/>
      <c r="AA454" s="43"/>
      <c r="AB454" s="43"/>
      <c r="AC454" s="54"/>
      <c r="AD454" s="43"/>
      <c r="AE454" s="46">
        <v>46056</v>
      </c>
      <c r="AF454" s="46">
        <v>46062</v>
      </c>
      <c r="AG454" s="46">
        <v>46056</v>
      </c>
      <c r="AH454" s="46">
        <v>46057</v>
      </c>
      <c r="AI454" s="46">
        <v>46078</v>
      </c>
      <c r="AJ454" s="46">
        <v>45978</v>
      </c>
      <c r="AK454" s="46">
        <v>45958</v>
      </c>
      <c r="AL454" s="46">
        <v>46078</v>
      </c>
      <c r="AM454" s="46">
        <v>46078</v>
      </c>
      <c r="AN454" s="46">
        <v>46028</v>
      </c>
      <c r="AO454" s="46">
        <v>46077</v>
      </c>
      <c r="AP454" s="46"/>
      <c r="AQ454" s="46">
        <v>46077</v>
      </c>
      <c r="AR454" s="46">
        <v>46079</v>
      </c>
      <c r="AS454" s="46">
        <v>46078</v>
      </c>
      <c r="AT454" s="46">
        <v>46080</v>
      </c>
      <c r="AU454" s="150"/>
      <c r="AV454" s="151"/>
      <c r="AW454" s="151"/>
      <c r="AX454" s="151"/>
      <c r="AY454" s="151"/>
    </row>
    <row r="455" spans="1:51" ht="20.25" customHeight="1">
      <c r="A455" s="340">
        <v>812963</v>
      </c>
      <c r="B455" s="29">
        <v>812963</v>
      </c>
      <c r="C455" s="30" t="s">
        <v>42</v>
      </c>
      <c r="D455" s="30"/>
      <c r="E455" s="30"/>
      <c r="F455" s="31" t="s">
        <v>43</v>
      </c>
      <c r="G455" s="33">
        <v>250</v>
      </c>
      <c r="H455" s="33">
        <v>400</v>
      </c>
      <c r="I455" s="34">
        <v>1</v>
      </c>
      <c r="J455" s="459" t="s">
        <v>473</v>
      </c>
      <c r="K455" s="198" t="s">
        <v>478</v>
      </c>
      <c r="L455" s="197" t="s">
        <v>801</v>
      </c>
      <c r="M455" s="30"/>
      <c r="N455" s="323" t="s">
        <v>336</v>
      </c>
      <c r="O455" s="30" t="s">
        <v>72</v>
      </c>
      <c r="P455" s="323" t="s">
        <v>480</v>
      </c>
      <c r="Q455" s="30"/>
      <c r="R455" s="30" t="s">
        <v>481</v>
      </c>
      <c r="S455" s="30"/>
      <c r="T455" s="29" t="s">
        <v>507</v>
      </c>
      <c r="U455" s="30" t="s">
        <v>354</v>
      </c>
      <c r="V455" s="36">
        <v>45488</v>
      </c>
      <c r="W455" s="36">
        <f>V455+15</f>
        <v>45503</v>
      </c>
      <c r="X455" s="36">
        <v>45488</v>
      </c>
      <c r="Y455" s="36">
        <f>X455+15</f>
        <v>45503</v>
      </c>
      <c r="Z455" s="66"/>
      <c r="AA455" s="31"/>
      <c r="AB455" s="31"/>
      <c r="AC455" s="37"/>
      <c r="AD455" s="31"/>
      <c r="AE455" s="36">
        <v>46059</v>
      </c>
      <c r="AF455" s="565">
        <v>46081</v>
      </c>
      <c r="AG455" s="36">
        <v>46066</v>
      </c>
      <c r="AH455" s="36">
        <v>46066</v>
      </c>
      <c r="AI455" s="36">
        <v>46080</v>
      </c>
      <c r="AJ455" s="36">
        <v>45461</v>
      </c>
      <c r="AK455" s="36">
        <v>45516</v>
      </c>
      <c r="AL455" s="36">
        <v>46080</v>
      </c>
      <c r="AM455" s="36">
        <v>46080</v>
      </c>
      <c r="AN455" s="36">
        <v>46031</v>
      </c>
      <c r="AO455" s="36">
        <v>46080</v>
      </c>
      <c r="AP455" s="36"/>
      <c r="AQ455" s="36">
        <v>46080</v>
      </c>
      <c r="AR455" s="36">
        <v>46080</v>
      </c>
      <c r="AS455" s="36">
        <v>46080</v>
      </c>
      <c r="AT455" s="565">
        <v>46083</v>
      </c>
      <c r="AU455" s="47" t="s">
        <v>916</v>
      </c>
      <c r="AV455" s="151"/>
      <c r="AW455" s="151"/>
      <c r="AX455" s="151"/>
      <c r="AY455" s="151"/>
    </row>
    <row r="456" spans="1:51" ht="18.75" customHeight="1">
      <c r="A456" s="40">
        <v>812963</v>
      </c>
      <c r="B456" s="41"/>
      <c r="C456" s="42"/>
      <c r="D456" s="42"/>
      <c r="E456" s="42"/>
      <c r="F456" s="43" t="s">
        <v>48</v>
      </c>
      <c r="G456" s="59"/>
      <c r="H456" s="59"/>
      <c r="I456" s="44"/>
      <c r="J456" s="52"/>
      <c r="K456" s="53"/>
      <c r="L456" s="537"/>
      <c r="M456" s="42"/>
      <c r="N456" s="42"/>
      <c r="O456" s="42"/>
      <c r="P456" s="42"/>
      <c r="Q456" s="42"/>
      <c r="R456" s="42"/>
      <c r="S456" s="42"/>
      <c r="T456" s="41"/>
      <c r="U456" s="42"/>
      <c r="V456" s="116">
        <v>45485</v>
      </c>
      <c r="W456" s="116">
        <v>45639</v>
      </c>
      <c r="X456" s="116">
        <v>45488</v>
      </c>
      <c r="Y456" s="116">
        <v>45639</v>
      </c>
      <c r="Z456" s="43"/>
      <c r="AA456" s="43"/>
      <c r="AB456" s="43"/>
      <c r="AC456" s="54"/>
      <c r="AD456" s="43"/>
      <c r="AE456" s="46">
        <v>46064</v>
      </c>
      <c r="AF456" s="46">
        <v>46080</v>
      </c>
      <c r="AG456" s="46">
        <v>46065</v>
      </c>
      <c r="AH456" s="46">
        <v>46066</v>
      </c>
      <c r="AI456" s="46">
        <v>46080</v>
      </c>
      <c r="AJ456" s="46">
        <v>45450</v>
      </c>
      <c r="AK456" s="46">
        <v>45436</v>
      </c>
      <c r="AL456" s="46">
        <v>46080</v>
      </c>
      <c r="AM456" s="46">
        <v>46080</v>
      </c>
      <c r="AN456" s="46">
        <v>46031</v>
      </c>
      <c r="AO456" s="46">
        <v>46080</v>
      </c>
      <c r="AP456" s="46"/>
      <c r="AQ456" s="46">
        <v>46080</v>
      </c>
      <c r="AR456" s="46">
        <v>46080</v>
      </c>
      <c r="AS456" s="46">
        <v>46080</v>
      </c>
      <c r="AT456" s="46">
        <v>46091</v>
      </c>
      <c r="AU456" s="150"/>
      <c r="AV456" s="151"/>
      <c r="AW456" s="151"/>
      <c r="AX456" s="151"/>
      <c r="AY456" s="151"/>
    </row>
    <row r="457" spans="1:51" ht="18.75" customHeight="1">
      <c r="A457" s="149">
        <v>813133</v>
      </c>
      <c r="B457" s="29">
        <v>813133</v>
      </c>
      <c r="C457" s="30" t="s">
        <v>55</v>
      </c>
      <c r="D457" s="153">
        <v>0.7</v>
      </c>
      <c r="E457" s="153">
        <v>0.5</v>
      </c>
      <c r="F457" s="31" t="s">
        <v>43</v>
      </c>
      <c r="G457" s="33">
        <v>240</v>
      </c>
      <c r="H457" s="33">
        <v>154</v>
      </c>
      <c r="I457" s="34">
        <v>1</v>
      </c>
      <c r="J457" s="517" t="s">
        <v>743</v>
      </c>
      <c r="K457" s="31" t="s">
        <v>45</v>
      </c>
      <c r="L457" s="161" t="s">
        <v>799</v>
      </c>
      <c r="M457" s="30"/>
      <c r="N457" s="30"/>
      <c r="O457" s="30"/>
      <c r="P457" s="30"/>
      <c r="Q457" s="30"/>
      <c r="R457" s="30"/>
      <c r="S457" s="30"/>
      <c r="T457" s="29"/>
      <c r="U457" s="30"/>
      <c r="V457" s="36" t="s">
        <v>862</v>
      </c>
      <c r="W457" s="36" t="s">
        <v>863</v>
      </c>
      <c r="X457" s="36" t="s">
        <v>862</v>
      </c>
      <c r="Y457" s="36" t="s">
        <v>863</v>
      </c>
      <c r="Z457" s="31"/>
      <c r="AA457" s="31"/>
      <c r="AB457" s="31"/>
      <c r="AC457" s="37"/>
      <c r="AD457" s="31"/>
      <c r="AE457" s="36">
        <v>46065</v>
      </c>
      <c r="AF457" s="36">
        <v>46078</v>
      </c>
      <c r="AG457" s="36">
        <v>46078</v>
      </c>
      <c r="AH457" s="36">
        <v>46078</v>
      </c>
      <c r="AI457" s="36">
        <v>46081</v>
      </c>
      <c r="AJ457" s="36">
        <v>45806</v>
      </c>
      <c r="AK457" s="36">
        <v>45814</v>
      </c>
      <c r="AL457" s="36">
        <v>46081</v>
      </c>
      <c r="AM457" s="36">
        <v>46081</v>
      </c>
      <c r="AN457" s="36">
        <v>46044</v>
      </c>
      <c r="AO457" s="36">
        <v>46081</v>
      </c>
      <c r="AP457" s="36"/>
      <c r="AQ457" s="36">
        <v>46081</v>
      </c>
      <c r="AR457" s="36">
        <v>46081</v>
      </c>
      <c r="AS457" s="36">
        <v>46081</v>
      </c>
      <c r="AT457" s="36">
        <v>46086</v>
      </c>
      <c r="AU457" s="150"/>
      <c r="AV457" s="151"/>
      <c r="AW457" s="151"/>
      <c r="AX457" s="151"/>
      <c r="AY457" s="151"/>
    </row>
    <row r="458" spans="1:51" ht="18" customHeight="1">
      <c r="A458" s="40">
        <v>813133</v>
      </c>
      <c r="B458" s="41"/>
      <c r="C458" s="42">
        <v>812642</v>
      </c>
      <c r="D458" s="42"/>
      <c r="E458" s="42"/>
      <c r="F458" s="43" t="s">
        <v>48</v>
      </c>
      <c r="G458" s="59"/>
      <c r="H458" s="59"/>
      <c r="I458" s="44"/>
      <c r="J458" s="52"/>
      <c r="K458" s="53"/>
      <c r="L458" s="537"/>
      <c r="M458" s="42"/>
      <c r="N458" s="42"/>
      <c r="O458" s="42"/>
      <c r="P458" s="42"/>
      <c r="Q458" s="42"/>
      <c r="R458" s="42"/>
      <c r="S458" s="42"/>
      <c r="T458" s="41"/>
      <c r="U458" s="42"/>
      <c r="V458" s="116" t="s">
        <v>862</v>
      </c>
      <c r="W458" s="116" t="s">
        <v>863</v>
      </c>
      <c r="X458" s="116" t="s">
        <v>862</v>
      </c>
      <c r="Y458" s="116" t="s">
        <v>863</v>
      </c>
      <c r="Z458" s="43"/>
      <c r="AA458" s="43"/>
      <c r="AB458" s="43"/>
      <c r="AC458" s="54"/>
      <c r="AD458" s="43"/>
      <c r="AE458" s="46">
        <v>46056</v>
      </c>
      <c r="AF458" s="46">
        <v>46062</v>
      </c>
      <c r="AG458" s="46">
        <v>46062</v>
      </c>
      <c r="AH458" s="46">
        <v>46062</v>
      </c>
      <c r="AI458" s="46">
        <v>46062</v>
      </c>
      <c r="AJ458" s="46">
        <v>45806</v>
      </c>
      <c r="AK458" s="46">
        <v>45814</v>
      </c>
      <c r="AL458" s="46">
        <v>46062</v>
      </c>
      <c r="AM458" s="46">
        <v>46066</v>
      </c>
      <c r="AN458" s="46">
        <v>46027</v>
      </c>
      <c r="AO458" s="46">
        <v>46062</v>
      </c>
      <c r="AP458" s="46"/>
      <c r="AQ458" s="46">
        <v>46062</v>
      </c>
      <c r="AR458" s="46">
        <v>46062</v>
      </c>
      <c r="AS458" s="46">
        <v>46062</v>
      </c>
      <c r="AT458" s="46">
        <v>46062</v>
      </c>
      <c r="AU458" s="150"/>
      <c r="AV458" s="151"/>
      <c r="AW458" s="151"/>
      <c r="AX458" s="151"/>
      <c r="AY458" s="151"/>
    </row>
    <row r="459" spans="1:51" ht="18.75" customHeight="1">
      <c r="A459" s="149">
        <v>813195</v>
      </c>
      <c r="B459" s="29" t="s">
        <v>758</v>
      </c>
      <c r="C459" s="30"/>
      <c r="D459" s="30"/>
      <c r="E459" s="30"/>
      <c r="F459" s="31" t="s">
        <v>43</v>
      </c>
      <c r="G459" s="389">
        <v>150</v>
      </c>
      <c r="H459" s="389">
        <v>225</v>
      </c>
      <c r="I459" s="34">
        <v>2</v>
      </c>
      <c r="J459" s="489" t="s">
        <v>759</v>
      </c>
      <c r="K459" s="31" t="s">
        <v>108</v>
      </c>
      <c r="L459" s="161" t="s">
        <v>806</v>
      </c>
      <c r="M459" s="30"/>
      <c r="N459" s="30" t="s">
        <v>336</v>
      </c>
      <c r="O459" s="30"/>
      <c r="P459" s="30" t="s">
        <v>814</v>
      </c>
      <c r="Q459" s="30"/>
      <c r="R459" s="30" t="s">
        <v>354</v>
      </c>
      <c r="S459" s="30" t="s">
        <v>361</v>
      </c>
      <c r="T459" s="29"/>
      <c r="U459" s="30" t="s">
        <v>354</v>
      </c>
      <c r="V459" s="36">
        <v>45961</v>
      </c>
      <c r="W459" s="36">
        <f>V459+15</f>
        <v>45976</v>
      </c>
      <c r="X459" s="36">
        <v>45961</v>
      </c>
      <c r="Y459" s="36">
        <f>X459+15</f>
        <v>45976</v>
      </c>
      <c r="Z459" s="31"/>
      <c r="AA459" s="31"/>
      <c r="AB459" s="31"/>
      <c r="AC459" s="37"/>
      <c r="AD459" s="31"/>
      <c r="AE459" s="36">
        <v>46077</v>
      </c>
      <c r="AF459" s="565">
        <v>46083</v>
      </c>
      <c r="AG459" s="36">
        <v>46081</v>
      </c>
      <c r="AH459" s="36">
        <v>46081</v>
      </c>
      <c r="AI459" s="36">
        <v>46081</v>
      </c>
      <c r="AJ459" s="36">
        <v>45981</v>
      </c>
      <c r="AK459" s="36">
        <v>45981</v>
      </c>
      <c r="AL459" s="36">
        <v>46081</v>
      </c>
      <c r="AM459" s="36">
        <v>46081</v>
      </c>
      <c r="AN459" s="36">
        <v>46050</v>
      </c>
      <c r="AO459" s="36">
        <v>46081</v>
      </c>
      <c r="AP459" s="36"/>
      <c r="AQ459" s="36">
        <v>46081</v>
      </c>
      <c r="AR459" s="565">
        <v>46086</v>
      </c>
      <c r="AS459" s="565">
        <v>46088</v>
      </c>
      <c r="AT459" s="36">
        <v>46088</v>
      </c>
      <c r="AU459" s="150"/>
      <c r="AV459" s="151"/>
      <c r="AW459" s="151"/>
      <c r="AX459" s="151"/>
      <c r="AY459" s="151"/>
    </row>
    <row r="460" spans="1:51" ht="18" customHeight="1" thickBot="1">
      <c r="A460" s="40">
        <v>813195</v>
      </c>
      <c r="B460" s="41"/>
      <c r="C460" s="42"/>
      <c r="D460" s="42"/>
      <c r="E460" s="42"/>
      <c r="F460" s="43" t="s">
        <v>48</v>
      </c>
      <c r="G460" s="59"/>
      <c r="H460" s="59"/>
      <c r="I460" s="44"/>
      <c r="J460" s="44"/>
      <c r="K460" s="53"/>
      <c r="L460" s="537"/>
      <c r="M460" s="42"/>
      <c r="N460" s="42"/>
      <c r="O460" s="42"/>
      <c r="P460" s="42"/>
      <c r="Q460" s="42"/>
      <c r="R460" s="42"/>
      <c r="S460" s="42"/>
      <c r="T460" s="41"/>
      <c r="U460" s="42"/>
      <c r="V460" s="116">
        <v>45926</v>
      </c>
      <c r="W460" s="116">
        <v>45994</v>
      </c>
      <c r="X460" s="116">
        <v>45926</v>
      </c>
      <c r="Y460" s="116">
        <v>45992</v>
      </c>
      <c r="Z460" s="43"/>
      <c r="AA460" s="43"/>
      <c r="AB460" s="43"/>
      <c r="AC460" s="54"/>
      <c r="AD460" s="43"/>
      <c r="AE460" s="46">
        <v>46066</v>
      </c>
      <c r="AF460" s="46">
        <v>46081</v>
      </c>
      <c r="AG460" s="46">
        <v>46081</v>
      </c>
      <c r="AH460" s="46">
        <v>46081</v>
      </c>
      <c r="AI460" s="46">
        <v>46081</v>
      </c>
      <c r="AJ460" s="46">
        <v>45950</v>
      </c>
      <c r="AK460" s="46">
        <v>45981</v>
      </c>
      <c r="AL460" s="46">
        <v>46081</v>
      </c>
      <c r="AM460" s="46">
        <v>46081</v>
      </c>
      <c r="AN460" s="46">
        <v>46050</v>
      </c>
      <c r="AO460" s="46">
        <v>46081</v>
      </c>
      <c r="AQ460" s="46">
        <v>46081</v>
      </c>
      <c r="AR460" s="46">
        <v>46086</v>
      </c>
      <c r="AS460" s="46">
        <v>46088</v>
      </c>
      <c r="AT460" s="46">
        <v>46088</v>
      </c>
      <c r="AU460" s="194"/>
      <c r="AV460" s="151"/>
      <c r="AW460" s="151"/>
      <c r="AX460" s="151"/>
      <c r="AY460" s="151"/>
    </row>
    <row r="461" spans="1:51" ht="16.5" customHeight="1" thickBot="1">
      <c r="A461" s="364"/>
      <c r="B461" s="364"/>
      <c r="C461" s="364"/>
      <c r="D461" s="364"/>
      <c r="E461" s="364"/>
      <c r="F461" s="364"/>
      <c r="G461" s="364"/>
      <c r="H461" s="364"/>
      <c r="I461" s="364"/>
      <c r="J461" s="364"/>
      <c r="K461" s="364"/>
      <c r="L461" s="364"/>
      <c r="M461" s="364"/>
      <c r="N461" s="364"/>
      <c r="O461" s="364"/>
      <c r="P461" s="364"/>
      <c r="Q461" s="364"/>
      <c r="R461" s="364"/>
      <c r="S461" s="364"/>
      <c r="T461" s="364"/>
      <c r="U461" s="364"/>
      <c r="V461" s="364"/>
      <c r="W461" s="364"/>
      <c r="X461" s="364"/>
      <c r="Y461" s="364"/>
      <c r="Z461" s="364"/>
      <c r="AA461" s="364"/>
      <c r="AB461" s="364"/>
      <c r="AC461" s="364"/>
      <c r="AD461" s="364"/>
      <c r="AE461" s="364"/>
      <c r="AF461" s="364"/>
      <c r="AG461" s="364"/>
      <c r="AH461" s="364"/>
      <c r="AI461" s="364"/>
      <c r="AJ461" s="364"/>
      <c r="AK461" s="364"/>
      <c r="AL461" s="364"/>
      <c r="AM461" s="364"/>
      <c r="AN461" s="364"/>
      <c r="AO461" s="364"/>
      <c r="AP461" s="364"/>
      <c r="AQ461" s="364"/>
      <c r="AR461" s="364"/>
      <c r="AS461" s="364"/>
      <c r="AT461" s="364"/>
      <c r="AU461" s="371"/>
      <c r="AV461" s="27"/>
      <c r="AW461" s="27"/>
      <c r="AX461" s="27"/>
      <c r="AY461" s="27"/>
    </row>
    <row r="462" spans="1:51" ht="18.75" customHeight="1">
      <c r="A462" s="160">
        <v>813025</v>
      </c>
      <c r="B462" s="29">
        <v>813025</v>
      </c>
      <c r="C462" s="30" t="s">
        <v>42</v>
      </c>
      <c r="D462" s="30"/>
      <c r="E462" s="30"/>
      <c r="F462" s="31" t="s">
        <v>43</v>
      </c>
      <c r="G462" s="33">
        <v>330</v>
      </c>
      <c r="H462" s="33">
        <v>330</v>
      </c>
      <c r="I462" s="34">
        <v>1</v>
      </c>
      <c r="J462" s="489" t="s">
        <v>684</v>
      </c>
      <c r="K462" s="31" t="s">
        <v>45</v>
      </c>
      <c r="L462" s="161" t="s">
        <v>800</v>
      </c>
      <c r="M462" s="30"/>
      <c r="N462" s="30"/>
      <c r="O462" s="30"/>
      <c r="P462" s="30" t="s">
        <v>746</v>
      </c>
      <c r="Q462" s="30"/>
      <c r="R462" s="30"/>
      <c r="S462" s="30"/>
      <c r="T462" s="29"/>
      <c r="U462" s="30"/>
      <c r="V462" s="36">
        <f>V463-15</f>
        <v>45861</v>
      </c>
      <c r="W462" s="36">
        <f>W463-15</f>
        <v>45994</v>
      </c>
      <c r="X462" s="36">
        <f>X463-15</f>
        <v>45874</v>
      </c>
      <c r="Y462" s="36">
        <f>Y463-15</f>
        <v>45988</v>
      </c>
      <c r="Z462" s="31"/>
      <c r="AA462" s="31"/>
      <c r="AB462" s="31"/>
      <c r="AC462" s="37">
        <v>3</v>
      </c>
      <c r="AD462" s="31"/>
      <c r="AE462" s="36">
        <v>46083</v>
      </c>
      <c r="AF462" s="36">
        <v>46086</v>
      </c>
      <c r="AG462" s="36">
        <v>46086</v>
      </c>
      <c r="AH462" s="36">
        <v>46086</v>
      </c>
      <c r="AI462" s="36">
        <v>46097</v>
      </c>
      <c r="AJ462" s="36">
        <v>45828</v>
      </c>
      <c r="AK462" s="36">
        <v>45899</v>
      </c>
      <c r="AL462" s="36">
        <v>46083</v>
      </c>
      <c r="AM462" s="36">
        <v>46083</v>
      </c>
      <c r="AN462" s="36">
        <v>46077</v>
      </c>
      <c r="AO462" s="565">
        <v>46097</v>
      </c>
      <c r="AP462" s="565"/>
      <c r="AQ462" s="565">
        <v>46097</v>
      </c>
      <c r="AR462" s="36">
        <v>46097</v>
      </c>
      <c r="AS462" s="36">
        <v>46097</v>
      </c>
      <c r="AT462" s="36">
        <v>46100</v>
      </c>
      <c r="AU462" s="195"/>
      <c r="AV462" s="151"/>
      <c r="AW462" s="151"/>
      <c r="AX462" s="151"/>
      <c r="AY462" s="151"/>
    </row>
    <row r="463" spans="1:51" ht="18" customHeight="1">
      <c r="A463" s="40">
        <v>813025</v>
      </c>
      <c r="B463" s="41"/>
      <c r="C463" s="42"/>
      <c r="D463" s="42"/>
      <c r="E463" s="42"/>
      <c r="F463" s="43" t="s">
        <v>48</v>
      </c>
      <c r="G463" s="59"/>
      <c r="H463" s="59"/>
      <c r="I463" s="44"/>
      <c r="J463" s="44"/>
      <c r="K463" s="53"/>
      <c r="L463" s="537"/>
      <c r="M463" s="42"/>
      <c r="N463" s="42"/>
      <c r="O463" s="42"/>
      <c r="P463" s="42"/>
      <c r="Q463" s="42"/>
      <c r="R463" s="42"/>
      <c r="S463" s="42"/>
      <c r="T463" s="41"/>
      <c r="U463" s="42"/>
      <c r="V463" s="116">
        <v>45876</v>
      </c>
      <c r="W463" s="116">
        <v>46009</v>
      </c>
      <c r="X463" s="116">
        <v>45889</v>
      </c>
      <c r="Y463" s="116">
        <v>46003</v>
      </c>
      <c r="Z463" s="43"/>
      <c r="AA463" s="43"/>
      <c r="AB463" s="43"/>
      <c r="AC463" s="54"/>
      <c r="AD463" s="43"/>
      <c r="AE463" s="46">
        <v>46083</v>
      </c>
      <c r="AF463" s="46">
        <v>46066</v>
      </c>
      <c r="AG463" s="46">
        <v>46091</v>
      </c>
      <c r="AH463" s="46">
        <v>46087</v>
      </c>
      <c r="AI463" s="46">
        <v>46094</v>
      </c>
      <c r="AJ463" s="46">
        <v>45850</v>
      </c>
      <c r="AK463" s="46">
        <v>45861</v>
      </c>
      <c r="AL463" s="46">
        <v>46098</v>
      </c>
      <c r="AM463" s="46">
        <v>46083</v>
      </c>
      <c r="AN463" s="46">
        <v>44981</v>
      </c>
      <c r="AO463" s="46">
        <v>46100</v>
      </c>
      <c r="AP463" s="46"/>
      <c r="AQ463" s="46">
        <v>46094</v>
      </c>
      <c r="AR463" s="46">
        <v>46094</v>
      </c>
      <c r="AS463" s="46">
        <v>46105</v>
      </c>
      <c r="AT463" s="46">
        <v>46106</v>
      </c>
      <c r="AU463" s="150"/>
      <c r="AV463" s="151"/>
      <c r="AW463" s="151"/>
      <c r="AX463" s="151"/>
      <c r="AY463" s="151"/>
    </row>
    <row r="464" spans="1:51" ht="18.75" customHeight="1">
      <c r="A464" s="160">
        <v>813026</v>
      </c>
      <c r="B464" s="29" t="s">
        <v>683</v>
      </c>
      <c r="C464" s="30" t="s">
        <v>55</v>
      </c>
      <c r="D464" s="153">
        <v>1</v>
      </c>
      <c r="E464" s="153">
        <v>0.8</v>
      </c>
      <c r="F464" s="31" t="s">
        <v>43</v>
      </c>
      <c r="G464" s="33">
        <v>330</v>
      </c>
      <c r="H464" s="33">
        <v>330</v>
      </c>
      <c r="I464" s="34">
        <v>2</v>
      </c>
      <c r="J464" s="489" t="s">
        <v>684</v>
      </c>
      <c r="K464" s="31" t="s">
        <v>45</v>
      </c>
      <c r="L464" s="161" t="s">
        <v>800</v>
      </c>
      <c r="M464" s="30"/>
      <c r="N464" s="30"/>
      <c r="O464" s="30"/>
      <c r="P464" s="30" t="s">
        <v>746</v>
      </c>
      <c r="Q464" s="30"/>
      <c r="R464" s="30"/>
      <c r="S464" s="30"/>
      <c r="T464" s="29"/>
      <c r="U464" s="30"/>
      <c r="V464" s="36"/>
      <c r="W464" s="36"/>
      <c r="X464" s="36"/>
      <c r="Y464" s="36"/>
      <c r="Z464" s="31"/>
      <c r="AA464" s="31"/>
      <c r="AB464" s="31"/>
      <c r="AC464" s="37">
        <v>3</v>
      </c>
      <c r="AD464" s="31"/>
      <c r="AE464" s="36">
        <v>46083</v>
      </c>
      <c r="AF464" s="36">
        <v>46086</v>
      </c>
      <c r="AG464" s="36">
        <v>46086</v>
      </c>
      <c r="AH464" s="36">
        <v>46086</v>
      </c>
      <c r="AI464" s="36">
        <v>46104</v>
      </c>
      <c r="AJ464" s="36">
        <v>45828</v>
      </c>
      <c r="AK464" s="36">
        <v>45899</v>
      </c>
      <c r="AL464" s="36">
        <v>46083</v>
      </c>
      <c r="AM464" s="36">
        <v>46083</v>
      </c>
      <c r="AN464" s="36">
        <v>46079</v>
      </c>
      <c r="AO464" s="565">
        <v>46097</v>
      </c>
      <c r="AP464" s="565"/>
      <c r="AQ464" s="565">
        <v>46097</v>
      </c>
      <c r="AR464" s="36">
        <v>46100</v>
      </c>
      <c r="AS464" s="36">
        <v>46100</v>
      </c>
      <c r="AT464" s="36">
        <v>46104</v>
      </c>
      <c r="AU464" s="150"/>
      <c r="AV464" s="151"/>
      <c r="AW464" s="151"/>
      <c r="AX464" s="151"/>
      <c r="AY464" s="151"/>
    </row>
    <row r="465" spans="1:51" ht="18" customHeight="1">
      <c r="A465" s="40">
        <v>813026</v>
      </c>
      <c r="B465" s="41"/>
      <c r="C465" s="42">
        <v>813025</v>
      </c>
      <c r="D465" s="42"/>
      <c r="E465" s="42"/>
      <c r="F465" s="43" t="s">
        <v>48</v>
      </c>
      <c r="G465" s="59"/>
      <c r="H465" s="59"/>
      <c r="I465" s="44"/>
      <c r="J465" s="44"/>
      <c r="K465" s="53"/>
      <c r="L465" s="537"/>
      <c r="M465" s="42"/>
      <c r="N465" s="42"/>
      <c r="O465" s="42"/>
      <c r="P465" s="42"/>
      <c r="Q465" s="42"/>
      <c r="R465" s="42"/>
      <c r="S465" s="42"/>
      <c r="T465" s="41"/>
      <c r="U465" s="42"/>
      <c r="V465" s="116"/>
      <c r="W465" s="116"/>
      <c r="X465" s="116"/>
      <c r="Y465" s="116"/>
      <c r="Z465" s="43"/>
      <c r="AA465" s="43"/>
      <c r="AB465" s="43"/>
      <c r="AC465" s="54"/>
      <c r="AD465" s="43"/>
      <c r="AE465" s="46">
        <v>46083</v>
      </c>
      <c r="AF465" s="46">
        <v>46066</v>
      </c>
      <c r="AG465" s="46">
        <v>46091</v>
      </c>
      <c r="AH465" s="46">
        <v>46087</v>
      </c>
      <c r="AI465" s="46">
        <v>46094</v>
      </c>
      <c r="AJ465" s="46">
        <v>45850</v>
      </c>
      <c r="AK465" s="46">
        <v>45861</v>
      </c>
      <c r="AL465" s="46">
        <v>46098</v>
      </c>
      <c r="AM465" s="46">
        <v>46083</v>
      </c>
      <c r="AN465" s="46">
        <v>44981</v>
      </c>
      <c r="AO465" s="46">
        <v>46100</v>
      </c>
      <c r="AP465" s="46"/>
      <c r="AQ465" s="46">
        <v>46094</v>
      </c>
      <c r="AR465" s="46">
        <v>46094</v>
      </c>
      <c r="AS465" s="46">
        <v>46105</v>
      </c>
      <c r="AT465" s="46">
        <v>46106</v>
      </c>
      <c r="AU465" s="150"/>
      <c r="AV465" s="151"/>
      <c r="AW465" s="151"/>
      <c r="AX465" s="151"/>
      <c r="AY465" s="151"/>
    </row>
    <row r="466" spans="1:51" ht="18.75" customHeight="1">
      <c r="A466" s="536">
        <v>813218</v>
      </c>
      <c r="B466" s="29">
        <v>813218</v>
      </c>
      <c r="C466" s="30" t="s">
        <v>42</v>
      </c>
      <c r="D466" s="153"/>
      <c r="E466" s="153"/>
      <c r="F466" s="31" t="s">
        <v>43</v>
      </c>
      <c r="G466" s="33">
        <v>295</v>
      </c>
      <c r="H466" s="33">
        <v>220</v>
      </c>
      <c r="I466" s="34">
        <v>1</v>
      </c>
      <c r="J466" s="468" t="s">
        <v>796</v>
      </c>
      <c r="K466" s="31" t="s">
        <v>108</v>
      </c>
      <c r="L466" s="161" t="s">
        <v>806</v>
      </c>
      <c r="M466" s="30"/>
      <c r="N466" s="30" t="s">
        <v>336</v>
      </c>
      <c r="O466" s="30"/>
      <c r="P466" s="30" t="s">
        <v>818</v>
      </c>
      <c r="Q466" s="30"/>
      <c r="R466" s="30" t="s">
        <v>406</v>
      </c>
      <c r="S466" s="30" t="s">
        <v>361</v>
      </c>
      <c r="T466" s="29"/>
      <c r="U466" s="30" t="s">
        <v>406</v>
      </c>
      <c r="V466" s="36">
        <v>45981</v>
      </c>
      <c r="W466" s="36">
        <f>V466+30</f>
        <v>46011</v>
      </c>
      <c r="X466" s="36">
        <v>45981</v>
      </c>
      <c r="Y466" s="36">
        <f>X466+30</f>
        <v>46011</v>
      </c>
      <c r="Z466" s="31"/>
      <c r="AA466" s="31"/>
      <c r="AB466" s="31"/>
      <c r="AC466" s="37"/>
      <c r="AD466" s="31"/>
      <c r="AE466" s="36">
        <v>46090</v>
      </c>
      <c r="AF466" s="36">
        <v>46094</v>
      </c>
      <c r="AG466" s="36">
        <v>46094</v>
      </c>
      <c r="AH466" s="36">
        <v>46094</v>
      </c>
      <c r="AI466" s="36">
        <v>46114</v>
      </c>
      <c r="AJ466" s="36">
        <v>45953</v>
      </c>
      <c r="AK466" s="36">
        <v>45953</v>
      </c>
      <c r="AL466" s="36">
        <v>46097</v>
      </c>
      <c r="AM466" s="36">
        <v>46097</v>
      </c>
      <c r="AN466" s="36">
        <v>46037</v>
      </c>
      <c r="AO466" s="36">
        <v>46097</v>
      </c>
      <c r="AP466" s="36"/>
      <c r="AQ466" s="36">
        <v>46097</v>
      </c>
      <c r="AR466" s="36">
        <v>46097</v>
      </c>
      <c r="AS466" s="36">
        <v>46097</v>
      </c>
      <c r="AT466" s="36">
        <v>46100</v>
      </c>
      <c r="AU466" s="150"/>
      <c r="AV466" s="151"/>
      <c r="AW466" s="151"/>
      <c r="AX466" s="151"/>
      <c r="AY466" s="151"/>
    </row>
    <row r="467" spans="1:51" ht="18" customHeight="1">
      <c r="A467" s="40"/>
      <c r="B467" s="41"/>
      <c r="C467" s="42"/>
      <c r="D467" s="42"/>
      <c r="E467" s="42"/>
      <c r="F467" s="43" t="s">
        <v>48</v>
      </c>
      <c r="G467" s="59"/>
      <c r="H467" s="59"/>
      <c r="I467" s="44"/>
      <c r="J467" s="52"/>
      <c r="K467" s="53"/>
      <c r="L467" s="537"/>
      <c r="M467" s="42"/>
      <c r="N467" s="42"/>
      <c r="O467" s="42"/>
      <c r="P467" s="42"/>
      <c r="Q467" s="42"/>
      <c r="R467" s="42"/>
      <c r="S467" s="42"/>
      <c r="T467" s="41"/>
      <c r="U467" s="42"/>
      <c r="V467" s="116">
        <v>46007</v>
      </c>
      <c r="W467" s="116"/>
      <c r="X467" s="116">
        <v>46022</v>
      </c>
      <c r="Y467" s="116"/>
      <c r="Z467" s="43"/>
      <c r="AA467" s="43"/>
      <c r="AB467" s="43"/>
      <c r="AC467" s="54"/>
      <c r="AD467" s="43"/>
      <c r="AE467" s="46">
        <v>46083</v>
      </c>
      <c r="AF467" s="46">
        <v>46101</v>
      </c>
      <c r="AG467" s="46">
        <v>46108</v>
      </c>
      <c r="AH467" s="46">
        <v>46104</v>
      </c>
      <c r="AI467" s="46">
        <v>46114</v>
      </c>
      <c r="AJ467" s="46">
        <v>45928</v>
      </c>
      <c r="AK467" s="46">
        <v>45953</v>
      </c>
      <c r="AL467" s="46">
        <v>46097</v>
      </c>
      <c r="AM467" s="46">
        <v>46097</v>
      </c>
      <c r="AN467" s="46">
        <v>46037</v>
      </c>
      <c r="AO467" s="46">
        <v>46097</v>
      </c>
      <c r="AP467" s="46"/>
      <c r="AQ467" s="46">
        <v>46091</v>
      </c>
      <c r="AR467" s="46">
        <v>46097</v>
      </c>
      <c r="AS467" s="46">
        <v>46104</v>
      </c>
      <c r="AT467" s="46">
        <v>46100</v>
      </c>
      <c r="AU467" s="150"/>
      <c r="AV467" s="151"/>
      <c r="AW467" s="151"/>
      <c r="AX467" s="151"/>
      <c r="AY467" s="151"/>
    </row>
    <row r="468" spans="1:51" ht="18.75" customHeight="1">
      <c r="A468" s="294">
        <v>813267</v>
      </c>
      <c r="B468" s="29" t="s">
        <v>873</v>
      </c>
      <c r="C468" s="30" t="s">
        <v>42</v>
      </c>
      <c r="D468" s="30"/>
      <c r="E468" s="30"/>
      <c r="F468" s="31" t="s">
        <v>43</v>
      </c>
      <c r="G468" s="33">
        <v>250</v>
      </c>
      <c r="H468" s="33">
        <v>225</v>
      </c>
      <c r="I468" s="34">
        <v>4</v>
      </c>
      <c r="J468" s="567" t="s">
        <v>874</v>
      </c>
      <c r="K468" s="31" t="s">
        <v>231</v>
      </c>
      <c r="L468" s="161" t="s">
        <v>806</v>
      </c>
      <c r="M468" s="30"/>
      <c r="N468" s="30"/>
      <c r="O468" s="30"/>
      <c r="P468" s="30"/>
      <c r="Q468" s="30"/>
      <c r="R468" s="30"/>
      <c r="S468" s="30"/>
      <c r="T468" s="29"/>
      <c r="U468" s="30"/>
      <c r="V468" s="35">
        <v>46064</v>
      </c>
      <c r="W468" s="35">
        <f>V468+15</f>
        <v>46079</v>
      </c>
      <c r="X468" s="35">
        <v>46046</v>
      </c>
      <c r="Y468" s="35">
        <f>X468+15</f>
        <v>46061</v>
      </c>
      <c r="Z468" s="31"/>
      <c r="AA468" s="31"/>
      <c r="AB468" s="31"/>
      <c r="AC468" s="37"/>
      <c r="AD468" s="31"/>
      <c r="AE468" s="36">
        <v>46094</v>
      </c>
      <c r="AF468" s="36">
        <v>46100</v>
      </c>
      <c r="AG468" s="36">
        <v>46100</v>
      </c>
      <c r="AH468" s="36">
        <v>46100</v>
      </c>
      <c r="AI468" s="36">
        <v>46104</v>
      </c>
      <c r="AJ468" s="36">
        <v>46042</v>
      </c>
      <c r="AK468" s="36">
        <v>46042</v>
      </c>
      <c r="AL468" s="36">
        <v>46104</v>
      </c>
      <c r="AM468" s="36">
        <v>46104</v>
      </c>
      <c r="AN468" s="36">
        <v>46055</v>
      </c>
      <c r="AO468" s="36">
        <v>46104</v>
      </c>
      <c r="AP468" s="36"/>
      <c r="AQ468" s="36">
        <v>46104</v>
      </c>
      <c r="AR468" s="36">
        <v>46104</v>
      </c>
      <c r="AS468" s="36">
        <v>46104</v>
      </c>
      <c r="AT468" s="36">
        <v>46107</v>
      </c>
      <c r="AU468" s="47" t="s">
        <v>929</v>
      </c>
      <c r="AV468" s="151"/>
      <c r="AW468" s="151"/>
      <c r="AX468" s="151"/>
      <c r="AY468" s="151"/>
    </row>
    <row r="469" spans="1:51" ht="18" customHeight="1">
      <c r="A469" s="227"/>
      <c r="B469" s="41"/>
      <c r="C469" s="42"/>
      <c r="D469" s="42"/>
      <c r="E469" s="42"/>
      <c r="F469" s="43" t="s">
        <v>48</v>
      </c>
      <c r="G469" s="59"/>
      <c r="H469" s="59"/>
      <c r="I469" s="44"/>
      <c r="J469" s="52"/>
      <c r="K469" s="53"/>
      <c r="L469" s="537"/>
      <c r="M469" s="42"/>
      <c r="N469" s="42"/>
      <c r="O469" s="42"/>
      <c r="P469" s="42"/>
      <c r="Q469" s="42"/>
      <c r="R469" s="42"/>
      <c r="S469" s="42"/>
      <c r="T469" s="41"/>
      <c r="U469" s="42"/>
      <c r="V469" s="116"/>
      <c r="W469" s="116"/>
      <c r="X469" s="116"/>
      <c r="Y469" s="116"/>
      <c r="Z469" s="43"/>
      <c r="AA469" s="43"/>
      <c r="AB469" s="43"/>
      <c r="AC469" s="54"/>
      <c r="AD469" s="43"/>
      <c r="AE469" s="46">
        <v>46055</v>
      </c>
      <c r="AF469" s="46">
        <v>46112</v>
      </c>
      <c r="AG469" s="46">
        <v>46100</v>
      </c>
      <c r="AH469" s="46">
        <v>46098</v>
      </c>
      <c r="AI469" s="46">
        <v>46104</v>
      </c>
      <c r="AJ469" s="46">
        <v>46034</v>
      </c>
      <c r="AK469" s="46">
        <v>46048</v>
      </c>
      <c r="AL469" s="46">
        <v>46091</v>
      </c>
      <c r="AM469" s="46">
        <v>46104</v>
      </c>
      <c r="AN469" s="46">
        <v>46055</v>
      </c>
      <c r="AO469" s="46">
        <v>46100</v>
      </c>
      <c r="AP469" s="46"/>
      <c r="AQ469" s="46">
        <v>46100</v>
      </c>
      <c r="AR469" s="46">
        <v>46100</v>
      </c>
      <c r="AS469" s="46">
        <v>46100</v>
      </c>
      <c r="AT469" s="46">
        <v>46100</v>
      </c>
      <c r="AU469" s="228"/>
      <c r="AV469" s="151"/>
      <c r="AW469" s="151"/>
      <c r="AX469" s="151"/>
      <c r="AY469" s="151"/>
    </row>
    <row r="470" spans="1:51" ht="18.75" customHeight="1">
      <c r="A470" s="294">
        <v>813277</v>
      </c>
      <c r="B470" s="29">
        <v>813277</v>
      </c>
      <c r="C470" s="30" t="s">
        <v>55</v>
      </c>
      <c r="D470" s="153">
        <v>0.9</v>
      </c>
      <c r="E470" s="153">
        <v>0.7</v>
      </c>
      <c r="F470" s="31" t="s">
        <v>43</v>
      </c>
      <c r="G470" s="33">
        <v>100</v>
      </c>
      <c r="H470" s="33">
        <v>400</v>
      </c>
      <c r="I470" s="34">
        <v>1</v>
      </c>
      <c r="J470" s="568" t="s">
        <v>883</v>
      </c>
      <c r="K470" s="31" t="s">
        <v>351</v>
      </c>
      <c r="L470" s="161" t="s">
        <v>805</v>
      </c>
      <c r="M470" s="30"/>
      <c r="N470" s="30"/>
      <c r="O470" s="30"/>
      <c r="P470" s="30"/>
      <c r="Q470" s="30"/>
      <c r="R470" s="30"/>
      <c r="S470" s="30"/>
      <c r="T470" s="29"/>
      <c r="U470" s="30"/>
      <c r="V470" s="36">
        <v>46037</v>
      </c>
      <c r="W470" s="36">
        <v>46111</v>
      </c>
      <c r="X470" s="36">
        <v>46044</v>
      </c>
      <c r="Y470" s="36">
        <v>46111</v>
      </c>
      <c r="Z470" s="31"/>
      <c r="AA470" s="31"/>
      <c r="AB470" s="31"/>
      <c r="AC470" s="37"/>
      <c r="AD470" s="31"/>
      <c r="AE470" s="36">
        <v>46099</v>
      </c>
      <c r="AF470" s="36">
        <v>46105</v>
      </c>
      <c r="AG470" s="36">
        <v>46105</v>
      </c>
      <c r="AH470" s="36">
        <v>46105</v>
      </c>
      <c r="AI470" s="36">
        <v>46106</v>
      </c>
      <c r="AJ470" s="36">
        <v>46027</v>
      </c>
      <c r="AK470" s="36">
        <v>46027</v>
      </c>
      <c r="AL470" s="36">
        <v>46106</v>
      </c>
      <c r="AM470" s="36">
        <v>46106</v>
      </c>
      <c r="AN470" s="36">
        <v>46059</v>
      </c>
      <c r="AO470" s="36">
        <v>46106</v>
      </c>
      <c r="AP470" s="36"/>
      <c r="AQ470" s="36">
        <v>46106</v>
      </c>
      <c r="AR470" s="36">
        <v>46106</v>
      </c>
      <c r="AS470" s="36">
        <v>46106</v>
      </c>
      <c r="AT470" s="36">
        <v>46109</v>
      </c>
      <c r="AU470" s="150"/>
      <c r="AV470" s="151"/>
      <c r="AW470" s="151"/>
      <c r="AX470" s="151"/>
      <c r="AY470" s="151"/>
    </row>
    <row r="471" spans="1:51" ht="18" customHeight="1">
      <c r="A471" s="227"/>
      <c r="B471" s="41"/>
      <c r="C471" s="42">
        <v>813165</v>
      </c>
      <c r="D471" s="42"/>
      <c r="E471" s="42"/>
      <c r="F471" s="43" t="s">
        <v>48</v>
      </c>
      <c r="G471" s="59"/>
      <c r="H471" s="59"/>
      <c r="I471" s="44"/>
      <c r="J471" s="52"/>
      <c r="K471" s="53"/>
      <c r="L471" s="537"/>
      <c r="M471" s="42"/>
      <c r="N471" s="42"/>
      <c r="O471" s="42"/>
      <c r="P471" s="42"/>
      <c r="Q471" s="42"/>
      <c r="R471" s="42"/>
      <c r="S471" s="42"/>
      <c r="T471" s="41"/>
      <c r="U471" s="42"/>
      <c r="V471" s="116">
        <v>46037</v>
      </c>
      <c r="W471" s="116"/>
      <c r="X471" s="116">
        <v>46044</v>
      </c>
      <c r="Y471" s="116"/>
      <c r="Z471" s="43"/>
      <c r="AA471" s="43"/>
      <c r="AB471" s="43"/>
      <c r="AC471" s="54"/>
      <c r="AD471" s="43"/>
      <c r="AE471" s="46">
        <v>46083</v>
      </c>
      <c r="AF471" s="46">
        <v>46083</v>
      </c>
      <c r="AG471" s="46">
        <v>46105</v>
      </c>
      <c r="AH471" s="46">
        <v>46105</v>
      </c>
      <c r="AI471" s="46">
        <v>46106</v>
      </c>
      <c r="AJ471" s="46">
        <v>46035</v>
      </c>
      <c r="AK471" s="46">
        <v>46035</v>
      </c>
      <c r="AL471" s="46">
        <v>46100</v>
      </c>
      <c r="AM471" s="46">
        <v>46106</v>
      </c>
      <c r="AN471" s="46">
        <v>46059</v>
      </c>
      <c r="AO471" s="46">
        <v>46106</v>
      </c>
      <c r="AP471" s="46"/>
      <c r="AQ471" s="46">
        <v>46100</v>
      </c>
      <c r="AR471" s="46">
        <v>46100</v>
      </c>
      <c r="AS471" s="46">
        <v>46100</v>
      </c>
      <c r="AT471" s="46">
        <v>46100</v>
      </c>
      <c r="AU471" s="228"/>
      <c r="AV471" s="151"/>
      <c r="AW471" s="151"/>
      <c r="AX471" s="151"/>
      <c r="AY471" s="151"/>
    </row>
    <row r="472" spans="1:51" ht="18.75" customHeight="1">
      <c r="A472" s="340">
        <v>813211</v>
      </c>
      <c r="B472" s="29" t="s">
        <v>795</v>
      </c>
      <c r="C472" s="30" t="s">
        <v>55</v>
      </c>
      <c r="D472" s="153">
        <v>0.6</v>
      </c>
      <c r="E472" s="153">
        <v>0.4</v>
      </c>
      <c r="F472" s="31" t="s">
        <v>43</v>
      </c>
      <c r="G472" s="33">
        <v>334</v>
      </c>
      <c r="H472" s="33">
        <v>500</v>
      </c>
      <c r="I472" s="34">
        <v>3</v>
      </c>
      <c r="J472" s="534" t="s">
        <v>782</v>
      </c>
      <c r="K472" s="31" t="s">
        <v>231</v>
      </c>
      <c r="L472" s="161" t="s">
        <v>805</v>
      </c>
      <c r="M472" s="30"/>
      <c r="N472" s="30"/>
      <c r="O472" s="30"/>
      <c r="P472" s="30"/>
      <c r="Q472" s="30"/>
      <c r="R472" s="30"/>
      <c r="S472" s="30"/>
      <c r="T472" s="29"/>
      <c r="U472" s="30"/>
      <c r="V472" s="36">
        <v>45971</v>
      </c>
      <c r="W472" s="36">
        <v>46022</v>
      </c>
      <c r="X472" s="36">
        <v>45967</v>
      </c>
      <c r="Y472" s="36">
        <v>46022</v>
      </c>
      <c r="Z472" s="31"/>
      <c r="AA472" s="31"/>
      <c r="AB472" s="31"/>
      <c r="AC472" s="37"/>
      <c r="AD472" s="31"/>
      <c r="AE472" s="36">
        <v>46101</v>
      </c>
      <c r="AF472" s="36">
        <v>46107</v>
      </c>
      <c r="AG472" s="36">
        <v>46107</v>
      </c>
      <c r="AH472" s="36">
        <v>46107</v>
      </c>
      <c r="AI472" s="36">
        <v>46111</v>
      </c>
      <c r="AJ472" s="36">
        <v>45950</v>
      </c>
      <c r="AK472" s="36">
        <v>45950</v>
      </c>
      <c r="AL472" s="36">
        <v>46111</v>
      </c>
      <c r="AM472" s="36">
        <v>46111</v>
      </c>
      <c r="AN472" s="36">
        <v>46062</v>
      </c>
      <c r="AO472" s="36">
        <v>46111</v>
      </c>
      <c r="AP472" s="36"/>
      <c r="AQ472" s="36">
        <v>46111</v>
      </c>
      <c r="AR472" s="36">
        <v>46111</v>
      </c>
      <c r="AS472" s="36">
        <v>46111</v>
      </c>
      <c r="AT472" s="36">
        <v>46112</v>
      </c>
      <c r="AU472" s="150"/>
      <c r="AV472" s="151"/>
      <c r="AW472" s="151"/>
      <c r="AX472" s="151"/>
      <c r="AY472" s="151"/>
    </row>
    <row r="473" spans="1:51" ht="18" customHeight="1">
      <c r="A473" s="40"/>
      <c r="B473" s="41"/>
      <c r="C473" s="42">
        <v>813175</v>
      </c>
      <c r="D473" s="42"/>
      <c r="E473" s="42"/>
      <c r="F473" s="43" t="s">
        <v>48</v>
      </c>
      <c r="G473" s="59"/>
      <c r="H473" s="59"/>
      <c r="I473" s="44"/>
      <c r="J473" s="52"/>
      <c r="K473" s="53"/>
      <c r="L473" s="537"/>
      <c r="M473" s="42"/>
      <c r="N473" s="42"/>
      <c r="O473" s="42"/>
      <c r="P473" s="42"/>
      <c r="Q473" s="42"/>
      <c r="R473" s="42"/>
      <c r="S473" s="42"/>
      <c r="T473" s="41"/>
      <c r="U473" s="42"/>
      <c r="V473" s="116">
        <v>45971</v>
      </c>
      <c r="W473" s="116"/>
      <c r="X473" s="116">
        <v>45967</v>
      </c>
      <c r="Y473" s="116"/>
      <c r="Z473" s="43"/>
      <c r="AA473" s="43"/>
      <c r="AB473" s="43"/>
      <c r="AC473" s="54"/>
      <c r="AD473" s="43"/>
      <c r="AE473" s="46">
        <v>46101</v>
      </c>
      <c r="AF473" s="46">
        <v>46107</v>
      </c>
      <c r="AG473" s="46">
        <v>46107</v>
      </c>
      <c r="AH473" s="46">
        <v>46107</v>
      </c>
      <c r="AI473" s="46">
        <v>46111</v>
      </c>
      <c r="AJ473" s="46">
        <v>45950</v>
      </c>
      <c r="AK473" s="46">
        <v>45950</v>
      </c>
      <c r="AL473" s="46">
        <v>46098</v>
      </c>
      <c r="AM473" s="46">
        <v>46111</v>
      </c>
      <c r="AN473" s="46">
        <v>46062</v>
      </c>
      <c r="AO473" s="46">
        <v>46111</v>
      </c>
      <c r="AP473" s="46"/>
      <c r="AQ473" s="46">
        <v>46094</v>
      </c>
      <c r="AR473" s="46">
        <v>46111</v>
      </c>
      <c r="AS473" s="46">
        <v>46111</v>
      </c>
      <c r="AT473" s="46">
        <v>46111</v>
      </c>
      <c r="AU473" s="150"/>
      <c r="AV473" s="151"/>
      <c r="AW473" s="151"/>
      <c r="AX473" s="151"/>
      <c r="AY473" s="151"/>
    </row>
    <row r="474" spans="1:51" ht="22.5" customHeight="1">
      <c r="A474" s="536">
        <v>813240</v>
      </c>
      <c r="B474" s="29" t="s">
        <v>831</v>
      </c>
      <c r="C474" s="30" t="s">
        <v>55</v>
      </c>
      <c r="D474" s="153">
        <v>0.7</v>
      </c>
      <c r="E474" s="153">
        <v>0.5</v>
      </c>
      <c r="F474" s="31" t="s">
        <v>43</v>
      </c>
      <c r="G474" s="33">
        <v>175</v>
      </c>
      <c r="H474" s="33">
        <v>220</v>
      </c>
      <c r="I474" s="34">
        <v>2</v>
      </c>
      <c r="J474" s="459" t="s">
        <v>832</v>
      </c>
      <c r="K474" s="31" t="s">
        <v>45</v>
      </c>
      <c r="L474" s="161" t="s">
        <v>805</v>
      </c>
      <c r="M474" s="30"/>
      <c r="N474" s="323" t="s">
        <v>336</v>
      </c>
      <c r="O474" s="30"/>
      <c r="P474" s="323" t="s">
        <v>480</v>
      </c>
      <c r="Q474" s="30"/>
      <c r="R474" s="30"/>
      <c r="S474" s="30"/>
      <c r="T474" s="29"/>
      <c r="U474" s="30"/>
      <c r="V474" s="36">
        <v>45947</v>
      </c>
      <c r="W474" s="36" t="s">
        <v>877</v>
      </c>
      <c r="X474" s="36">
        <v>45947</v>
      </c>
      <c r="Y474" s="36" t="s">
        <v>877</v>
      </c>
      <c r="Z474" s="31"/>
      <c r="AA474" s="31" t="s">
        <v>481</v>
      </c>
      <c r="AB474" s="31"/>
      <c r="AC474" s="37"/>
      <c r="AD474" s="31"/>
      <c r="AE474" s="36">
        <v>46105</v>
      </c>
      <c r="AF474" s="36">
        <v>46111</v>
      </c>
      <c r="AG474" s="36">
        <v>46111</v>
      </c>
      <c r="AH474" s="36">
        <v>46111</v>
      </c>
      <c r="AI474" s="36">
        <v>46111</v>
      </c>
      <c r="AJ474" s="36">
        <v>45960</v>
      </c>
      <c r="AK474" s="36">
        <v>45960</v>
      </c>
      <c r="AL474" s="36">
        <v>46111</v>
      </c>
      <c r="AM474" s="36">
        <v>46111</v>
      </c>
      <c r="AN474" s="36">
        <v>46081</v>
      </c>
      <c r="AO474" s="36">
        <v>46111</v>
      </c>
      <c r="AP474" s="36"/>
      <c r="AQ474" s="36">
        <v>46111</v>
      </c>
      <c r="AR474" s="36">
        <v>46111</v>
      </c>
      <c r="AS474" s="36">
        <v>46111</v>
      </c>
      <c r="AT474" s="36">
        <v>46112</v>
      </c>
      <c r="AU474" s="150"/>
      <c r="AV474" s="151"/>
      <c r="AW474" s="151"/>
      <c r="AX474" s="151"/>
      <c r="AY474" s="151"/>
    </row>
    <row r="475" spans="1:51" ht="18" customHeight="1" thickBot="1">
      <c r="A475" s="40"/>
      <c r="B475" s="41"/>
      <c r="C475" s="42">
        <v>812832</v>
      </c>
      <c r="D475" s="42"/>
      <c r="E475" s="42"/>
      <c r="F475" s="43" t="s">
        <v>48</v>
      </c>
      <c r="G475" s="59"/>
      <c r="H475" s="59"/>
      <c r="I475" s="44"/>
      <c r="J475" s="52"/>
      <c r="K475" s="53"/>
      <c r="L475" s="537"/>
      <c r="M475" s="42"/>
      <c r="N475" s="42"/>
      <c r="O475" s="42"/>
      <c r="P475" s="42"/>
      <c r="Q475" s="42"/>
      <c r="R475" s="42"/>
      <c r="S475" s="42"/>
      <c r="T475" s="41"/>
      <c r="U475" s="42"/>
      <c r="V475" s="116">
        <v>45947</v>
      </c>
      <c r="W475" s="116" t="s">
        <v>877</v>
      </c>
      <c r="X475" s="116">
        <v>45947</v>
      </c>
      <c r="Y475" s="116" t="s">
        <v>877</v>
      </c>
      <c r="Z475" s="43"/>
      <c r="AA475" s="43"/>
      <c r="AB475" s="43"/>
      <c r="AC475" s="54"/>
      <c r="AD475" s="43"/>
      <c r="AE475" s="46">
        <v>46105</v>
      </c>
      <c r="AF475" s="46">
        <v>46111</v>
      </c>
      <c r="AG475" s="46">
        <v>46111</v>
      </c>
      <c r="AH475" s="46">
        <v>46111</v>
      </c>
      <c r="AI475" s="46">
        <v>46111</v>
      </c>
      <c r="AJ475" s="46">
        <v>45960</v>
      </c>
      <c r="AK475" s="46">
        <v>45960</v>
      </c>
      <c r="AL475" s="46">
        <v>46111</v>
      </c>
      <c r="AM475" s="46">
        <v>46111</v>
      </c>
      <c r="AN475" s="46">
        <v>46081</v>
      </c>
      <c r="AO475" s="46">
        <v>46111</v>
      </c>
      <c r="AP475" s="46"/>
      <c r="AQ475" s="46">
        <v>46111</v>
      </c>
      <c r="AR475" s="46">
        <v>46111</v>
      </c>
      <c r="AS475" s="46">
        <v>46111</v>
      </c>
      <c r="AT475" s="46">
        <v>46111</v>
      </c>
      <c r="AU475" s="194"/>
      <c r="AV475" s="151"/>
      <c r="AW475" s="151"/>
      <c r="AX475" s="151"/>
      <c r="AY475" s="151"/>
    </row>
    <row r="476" spans="1:51" ht="16.5" customHeight="1" thickBot="1">
      <c r="A476" s="364"/>
      <c r="B476" s="364"/>
      <c r="C476" s="364"/>
      <c r="D476" s="364"/>
      <c r="E476" s="364"/>
      <c r="F476" s="364"/>
      <c r="G476" s="364"/>
      <c r="H476" s="364"/>
      <c r="I476" s="364"/>
      <c r="J476" s="364"/>
      <c r="K476" s="364"/>
      <c r="L476" s="364"/>
      <c r="M476" s="364"/>
      <c r="N476" s="364"/>
      <c r="O476" s="364"/>
      <c r="P476" s="364"/>
      <c r="Q476" s="364"/>
      <c r="R476" s="364"/>
      <c r="S476" s="364"/>
      <c r="T476" s="364"/>
      <c r="U476" s="364"/>
      <c r="V476" s="364"/>
      <c r="W476" s="364"/>
      <c r="X476" s="364"/>
      <c r="Y476" s="364"/>
      <c r="Z476" s="364"/>
      <c r="AA476" s="364"/>
      <c r="AB476" s="364"/>
      <c r="AC476" s="364"/>
      <c r="AD476" s="364"/>
      <c r="AE476" s="364"/>
      <c r="AF476" s="364"/>
      <c r="AG476" s="364"/>
      <c r="AH476" s="364"/>
      <c r="AI476" s="364"/>
      <c r="AJ476" s="364"/>
      <c r="AK476" s="364"/>
      <c r="AL476" s="364"/>
      <c r="AM476" s="364"/>
      <c r="AN476" s="364"/>
      <c r="AO476" s="364"/>
      <c r="AP476" s="364"/>
      <c r="AQ476" s="364"/>
      <c r="AR476" s="364"/>
      <c r="AS476" s="364"/>
      <c r="AT476" s="364"/>
      <c r="AU476" s="371"/>
      <c r="AV476" s="27"/>
      <c r="AW476" s="27"/>
      <c r="AX476" s="27"/>
      <c r="AY476" s="27"/>
    </row>
    <row r="477" spans="1:51" ht="18.75" customHeight="1">
      <c r="A477" s="294">
        <v>813278</v>
      </c>
      <c r="B477" s="29">
        <v>813278</v>
      </c>
      <c r="C477" s="30" t="s">
        <v>55</v>
      </c>
      <c r="D477" s="153">
        <v>0.9</v>
      </c>
      <c r="E477" s="153">
        <v>0.7</v>
      </c>
      <c r="F477" s="31" t="s">
        <v>43</v>
      </c>
      <c r="G477" s="33">
        <v>100</v>
      </c>
      <c r="H477" s="33">
        <v>400</v>
      </c>
      <c r="I477" s="34">
        <v>1</v>
      </c>
      <c r="J477" s="568" t="s">
        <v>883</v>
      </c>
      <c r="K477" s="31" t="s">
        <v>351</v>
      </c>
      <c r="L477" s="161" t="s">
        <v>805</v>
      </c>
      <c r="M477" s="30"/>
      <c r="N477" s="30"/>
      <c r="O477" s="30"/>
      <c r="P477" s="30"/>
      <c r="Q477" s="30"/>
      <c r="R477" s="30"/>
      <c r="S477" s="30"/>
      <c r="T477" s="29"/>
      <c r="U477" s="30"/>
      <c r="V477" s="36">
        <v>46037</v>
      </c>
      <c r="W477" s="36">
        <v>46111</v>
      </c>
      <c r="X477" s="36">
        <v>46044</v>
      </c>
      <c r="Y477" s="36">
        <v>46111</v>
      </c>
      <c r="Z477" s="31"/>
      <c r="AA477" s="31"/>
      <c r="AB477" s="31"/>
      <c r="AC477" s="37"/>
      <c r="AD477" s="31"/>
      <c r="AE477" s="36">
        <v>46114</v>
      </c>
      <c r="AF477" s="36">
        <v>46119</v>
      </c>
      <c r="AG477" s="36">
        <v>46119</v>
      </c>
      <c r="AH477" s="36">
        <v>46119</v>
      </c>
      <c r="AI477" s="36">
        <v>46125</v>
      </c>
      <c r="AJ477" s="36">
        <v>46027</v>
      </c>
      <c r="AK477" s="36">
        <v>46027</v>
      </c>
      <c r="AL477" s="31">
        <v>46125</v>
      </c>
      <c r="AM477" s="31">
        <v>46125</v>
      </c>
      <c r="AN477" s="36">
        <v>46059</v>
      </c>
      <c r="AO477" s="31">
        <v>46125</v>
      </c>
      <c r="AP477" s="36"/>
      <c r="AQ477" s="31">
        <v>46125</v>
      </c>
      <c r="AR477" s="31">
        <v>46125</v>
      </c>
      <c r="AS477" s="31">
        <v>46125</v>
      </c>
      <c r="AT477" s="587">
        <v>46129</v>
      </c>
      <c r="AU477" s="195"/>
      <c r="AV477" s="151"/>
      <c r="AW477" s="151"/>
      <c r="AX477" s="151"/>
      <c r="AY477" s="151"/>
    </row>
    <row r="478" spans="1:51" ht="18" customHeight="1">
      <c r="A478" s="227"/>
      <c r="B478" s="41"/>
      <c r="C478" s="42">
        <v>813168</v>
      </c>
      <c r="D478" s="42"/>
      <c r="E478" s="42"/>
      <c r="F478" s="43" t="s">
        <v>48</v>
      </c>
      <c r="G478" s="59"/>
      <c r="H478" s="59"/>
      <c r="I478" s="44"/>
      <c r="J478" s="52"/>
      <c r="K478" s="53"/>
      <c r="L478" s="537"/>
      <c r="M478" s="42"/>
      <c r="N478" s="42"/>
      <c r="O478" s="42"/>
      <c r="P478" s="42"/>
      <c r="Q478" s="42"/>
      <c r="R478" s="42"/>
      <c r="S478" s="42"/>
      <c r="T478" s="41"/>
      <c r="U478" s="42"/>
      <c r="V478" s="116">
        <v>46037</v>
      </c>
      <c r="W478" s="116"/>
      <c r="X478" s="116">
        <v>46044</v>
      </c>
      <c r="Y478" s="116"/>
      <c r="Z478" s="43"/>
      <c r="AA478" s="43"/>
      <c r="AB478" s="43"/>
      <c r="AC478" s="54"/>
      <c r="AD478" s="43"/>
      <c r="AE478" s="43">
        <v>46114</v>
      </c>
      <c r="AF478" s="43">
        <v>46114</v>
      </c>
      <c r="AG478" s="43">
        <v>46119</v>
      </c>
      <c r="AH478" s="43">
        <v>46119</v>
      </c>
      <c r="AI478" s="43">
        <v>46122</v>
      </c>
      <c r="AJ478" s="46">
        <v>46035</v>
      </c>
      <c r="AK478" s="46">
        <v>46035</v>
      </c>
      <c r="AL478" s="46">
        <v>46122</v>
      </c>
      <c r="AM478" s="46">
        <v>46122</v>
      </c>
      <c r="AN478" s="46">
        <v>46059</v>
      </c>
      <c r="AO478" s="46">
        <v>46122</v>
      </c>
      <c r="AP478" s="46"/>
      <c r="AQ478" s="46">
        <v>46122</v>
      </c>
      <c r="AR478" s="46">
        <v>46122</v>
      </c>
      <c r="AS478" s="46">
        <v>46122</v>
      </c>
      <c r="AT478" s="46">
        <v>46122</v>
      </c>
      <c r="AU478" s="228"/>
      <c r="AV478" s="151"/>
      <c r="AW478" s="151"/>
      <c r="AX478" s="151"/>
      <c r="AY478" s="151"/>
    </row>
    <row r="479" spans="1:51" ht="24" customHeight="1">
      <c r="A479" s="160">
        <v>813339</v>
      </c>
      <c r="B479" s="29">
        <v>813339</v>
      </c>
      <c r="C479" s="153">
        <v>1</v>
      </c>
      <c r="D479" s="30"/>
      <c r="E479" s="30"/>
      <c r="F479" s="31" t="s">
        <v>43</v>
      </c>
      <c r="G479" s="33">
        <v>150</v>
      </c>
      <c r="H479" s="33">
        <v>400</v>
      </c>
      <c r="I479" s="34">
        <v>1</v>
      </c>
      <c r="J479" s="586" t="s">
        <v>938</v>
      </c>
      <c r="K479" s="31" t="s">
        <v>108</v>
      </c>
      <c r="L479" s="161"/>
      <c r="M479" s="30"/>
      <c r="N479" s="30"/>
      <c r="O479" s="30"/>
      <c r="P479" s="30"/>
      <c r="Q479" s="30"/>
      <c r="R479" s="30"/>
      <c r="S479" s="30"/>
      <c r="T479" s="29"/>
      <c r="U479" s="30"/>
      <c r="V479" s="35"/>
      <c r="W479" s="35"/>
      <c r="X479" s="35"/>
      <c r="Y479" s="35"/>
      <c r="Z479" s="31"/>
      <c r="AA479" s="31" t="s">
        <v>72</v>
      </c>
      <c r="AB479" s="31" t="s">
        <v>993</v>
      </c>
      <c r="AC479" s="37">
        <v>0</v>
      </c>
      <c r="AD479" s="31"/>
      <c r="AE479" s="36">
        <v>46119</v>
      </c>
      <c r="AF479" s="36">
        <v>46119</v>
      </c>
      <c r="AG479" s="36">
        <v>46119</v>
      </c>
      <c r="AH479" s="36">
        <v>46119</v>
      </c>
      <c r="AI479" s="36">
        <v>46127</v>
      </c>
      <c r="AJ479" s="36" t="s">
        <v>270</v>
      </c>
      <c r="AK479" s="38" t="s">
        <v>950</v>
      </c>
      <c r="AL479" s="36">
        <v>46127</v>
      </c>
      <c r="AM479" s="36">
        <v>46127</v>
      </c>
      <c r="AN479" s="38">
        <v>46101</v>
      </c>
      <c r="AO479" s="36">
        <v>46127</v>
      </c>
      <c r="AP479" s="36"/>
      <c r="AQ479" s="36">
        <v>46127</v>
      </c>
      <c r="AR479" s="36">
        <v>46127</v>
      </c>
      <c r="AS479" s="36">
        <v>46127</v>
      </c>
      <c r="AT479" s="587">
        <v>46132</v>
      </c>
      <c r="AU479" s="150"/>
      <c r="AV479" s="151"/>
      <c r="AW479" s="151"/>
      <c r="AX479" s="151"/>
      <c r="AY479" s="151"/>
    </row>
    <row r="480" spans="1:51" ht="18" customHeight="1">
      <c r="A480" s="40"/>
      <c r="B480" s="41"/>
      <c r="C480" s="42">
        <v>813001</v>
      </c>
      <c r="D480" s="42"/>
      <c r="E480" s="42"/>
      <c r="F480" s="43" t="s">
        <v>48</v>
      </c>
      <c r="G480" s="59"/>
      <c r="H480" s="59"/>
      <c r="I480" s="44"/>
      <c r="J480" s="52"/>
      <c r="K480" s="53"/>
      <c r="L480" s="537"/>
      <c r="M480" s="42"/>
      <c r="N480" s="42"/>
      <c r="O480" s="42"/>
      <c r="P480" s="42"/>
      <c r="Q480" s="42"/>
      <c r="R480" s="42"/>
      <c r="S480" s="42"/>
      <c r="T480" s="41"/>
      <c r="U480" s="42"/>
      <c r="V480" s="53"/>
      <c r="W480" s="53"/>
      <c r="X480" s="53"/>
      <c r="Y480" s="53"/>
      <c r="Z480" s="43"/>
      <c r="AA480" s="43"/>
      <c r="AB480" s="43"/>
      <c r="AC480" s="54"/>
      <c r="AD480" s="43"/>
      <c r="AE480" s="43">
        <v>46119</v>
      </c>
      <c r="AF480" s="43">
        <v>46119</v>
      </c>
      <c r="AG480" s="43">
        <v>46119</v>
      </c>
      <c r="AH480" s="43">
        <v>46119</v>
      </c>
      <c r="AI480" s="43">
        <v>46119</v>
      </c>
      <c r="AJ480" s="46" t="s">
        <v>81</v>
      </c>
      <c r="AK480" s="43">
        <v>46127</v>
      </c>
      <c r="AL480" s="43">
        <v>46120</v>
      </c>
      <c r="AM480" s="43">
        <v>46127</v>
      </c>
      <c r="AN480" s="46">
        <v>46098</v>
      </c>
      <c r="AO480" s="43">
        <v>46120</v>
      </c>
      <c r="AP480" s="46"/>
      <c r="AQ480" s="46" t="s">
        <v>944</v>
      </c>
      <c r="AR480" s="43">
        <v>46127</v>
      </c>
      <c r="AS480" s="43">
        <v>46120</v>
      </c>
      <c r="AT480" s="43">
        <v>46120</v>
      </c>
      <c r="AU480" s="150"/>
      <c r="AV480" s="151"/>
      <c r="AW480" s="151"/>
      <c r="AX480" s="151"/>
      <c r="AY480" s="151"/>
    </row>
    <row r="481" spans="1:51" ht="18.75" customHeight="1">
      <c r="A481" s="149">
        <v>823028</v>
      </c>
      <c r="B481" s="29">
        <v>813028</v>
      </c>
      <c r="C481" s="30" t="s">
        <v>42</v>
      </c>
      <c r="D481" s="30"/>
      <c r="E481" s="30"/>
      <c r="F481" s="31" t="s">
        <v>43</v>
      </c>
      <c r="G481" s="33">
        <v>165</v>
      </c>
      <c r="H481" s="33">
        <v>330</v>
      </c>
      <c r="I481" s="34">
        <v>1</v>
      </c>
      <c r="J481" s="489" t="s">
        <v>684</v>
      </c>
      <c r="K481" s="31" t="s">
        <v>384</v>
      </c>
      <c r="L481" s="161" t="s">
        <v>800</v>
      </c>
      <c r="M481" s="30"/>
      <c r="N481" s="30"/>
      <c r="O481" s="30"/>
      <c r="P481" s="30" t="s">
        <v>746</v>
      </c>
      <c r="Q481" s="30"/>
      <c r="R481" s="30"/>
      <c r="S481" s="30"/>
      <c r="T481" s="29"/>
      <c r="U481" s="30"/>
      <c r="V481" s="36">
        <f>V482-15</f>
        <v>45827</v>
      </c>
      <c r="W481" s="36">
        <f>W482-15</f>
        <v>45994</v>
      </c>
      <c r="X481" s="36">
        <f>X482-15</f>
        <v>45828</v>
      </c>
      <c r="Y481" s="36">
        <f>Y482-15</f>
        <v>45988</v>
      </c>
      <c r="Z481" s="31"/>
      <c r="AA481" s="31"/>
      <c r="AB481" s="31"/>
      <c r="AC481" s="37">
        <v>3</v>
      </c>
      <c r="AD481" s="31"/>
      <c r="AE481" s="36">
        <v>46122</v>
      </c>
      <c r="AF481" s="36">
        <v>46125</v>
      </c>
      <c r="AG481" s="36">
        <v>46125</v>
      </c>
      <c r="AH481" s="36">
        <v>46125</v>
      </c>
      <c r="AI481" s="36">
        <v>46136</v>
      </c>
      <c r="AJ481" s="36">
        <v>45828</v>
      </c>
      <c r="AK481" s="36">
        <v>45899</v>
      </c>
      <c r="AL481" s="36">
        <v>46136</v>
      </c>
      <c r="AM481" s="36">
        <v>46136</v>
      </c>
      <c r="AN481" s="36">
        <v>46066</v>
      </c>
      <c r="AO481" s="36">
        <v>46136</v>
      </c>
      <c r="AP481" s="31"/>
      <c r="AQ481" s="31">
        <v>46136</v>
      </c>
      <c r="AR481" s="36">
        <v>46136</v>
      </c>
      <c r="AS481" s="36">
        <v>46136</v>
      </c>
      <c r="AT481" s="587">
        <v>46139</v>
      </c>
      <c r="AU481" s="150"/>
      <c r="AV481" s="151"/>
      <c r="AW481" s="151"/>
      <c r="AX481" s="151"/>
      <c r="AY481" s="151"/>
    </row>
    <row r="482" spans="1:51" ht="18" customHeight="1">
      <c r="A482" s="40">
        <v>813028</v>
      </c>
      <c r="B482" s="41"/>
      <c r="C482" s="42"/>
      <c r="D482" s="42"/>
      <c r="E482" s="42"/>
      <c r="F482" s="43" t="s">
        <v>48</v>
      </c>
      <c r="G482" s="59"/>
      <c r="H482" s="59"/>
      <c r="I482" s="44"/>
      <c r="J482" s="44"/>
      <c r="K482" s="53"/>
      <c r="L482" s="537"/>
      <c r="M482" s="42"/>
      <c r="N482" s="42"/>
      <c r="O482" s="42"/>
      <c r="P482" s="42"/>
      <c r="Q482" s="42"/>
      <c r="R482" s="42"/>
      <c r="S482" s="42"/>
      <c r="T482" s="41"/>
      <c r="U482" s="42"/>
      <c r="V482" s="116">
        <v>45842</v>
      </c>
      <c r="W482" s="116">
        <v>46009</v>
      </c>
      <c r="X482" s="116">
        <v>45843</v>
      </c>
      <c r="Y482" s="116">
        <v>46003</v>
      </c>
      <c r="Z482" s="43"/>
      <c r="AA482" s="43"/>
      <c r="AB482" s="43"/>
      <c r="AC482" s="54"/>
      <c r="AD482" s="43"/>
      <c r="AE482" s="43">
        <v>46126</v>
      </c>
      <c r="AF482" s="46">
        <v>46119</v>
      </c>
      <c r="AG482" s="46">
        <v>46119</v>
      </c>
      <c r="AH482" s="46">
        <v>46125</v>
      </c>
      <c r="AI482" s="46">
        <v>46136</v>
      </c>
      <c r="AJ482" s="46">
        <v>45828</v>
      </c>
      <c r="AK482" s="46">
        <v>45861</v>
      </c>
      <c r="AL482" s="46">
        <v>46136</v>
      </c>
      <c r="AM482" s="46">
        <v>46136</v>
      </c>
      <c r="AN482" s="46">
        <v>46026</v>
      </c>
      <c r="AO482" s="46">
        <v>46136</v>
      </c>
      <c r="AP482" s="46"/>
      <c r="AQ482" s="46">
        <v>46136</v>
      </c>
      <c r="AR482" s="36">
        <v>46128</v>
      </c>
      <c r="AS482" s="46">
        <v>46136</v>
      </c>
      <c r="AT482" s="588">
        <v>46142</v>
      </c>
      <c r="AU482" s="228"/>
      <c r="AV482" s="151"/>
      <c r="AW482" s="151"/>
      <c r="AX482" s="151"/>
      <c r="AY482" s="151"/>
    </row>
    <row r="483" spans="1:51" ht="18.75" customHeight="1">
      <c r="A483" s="149">
        <v>813295</v>
      </c>
      <c r="B483" s="29" t="s">
        <v>900</v>
      </c>
      <c r="C483" s="30" t="s">
        <v>42</v>
      </c>
      <c r="D483" s="30"/>
      <c r="E483" s="30"/>
      <c r="F483" s="31" t="s">
        <v>43</v>
      </c>
      <c r="G483" s="33">
        <v>500</v>
      </c>
      <c r="H483" s="33">
        <v>750</v>
      </c>
      <c r="I483" s="34">
        <v>7</v>
      </c>
      <c r="J483" s="489" t="s">
        <v>901</v>
      </c>
      <c r="K483" s="31" t="s">
        <v>45</v>
      </c>
      <c r="L483" s="161" t="s">
        <v>802</v>
      </c>
      <c r="M483" s="30"/>
      <c r="N483" s="30"/>
      <c r="O483" s="30"/>
      <c r="P483" s="30"/>
      <c r="Q483" s="30"/>
      <c r="R483" s="30"/>
      <c r="S483" s="30"/>
      <c r="T483" s="29"/>
      <c r="U483" s="30"/>
      <c r="V483" s="36">
        <v>46067</v>
      </c>
      <c r="W483" s="36">
        <f>V483+15</f>
        <v>46082</v>
      </c>
      <c r="X483" s="36">
        <v>46086</v>
      </c>
      <c r="Y483" s="36">
        <f>X483+15</f>
        <v>46101</v>
      </c>
      <c r="Z483" s="31"/>
      <c r="AA483" s="31"/>
      <c r="AB483" s="31"/>
      <c r="AC483" s="37"/>
      <c r="AD483" s="31"/>
      <c r="AE483" s="36">
        <v>46127</v>
      </c>
      <c r="AF483" s="593">
        <v>46141</v>
      </c>
      <c r="AG483" s="36">
        <v>46130</v>
      </c>
      <c r="AH483" s="36">
        <v>46130</v>
      </c>
      <c r="AI483" s="36">
        <v>46138</v>
      </c>
      <c r="AJ483" s="565">
        <v>46080</v>
      </c>
      <c r="AK483" s="565">
        <v>46080</v>
      </c>
      <c r="AL483" s="36">
        <v>46138</v>
      </c>
      <c r="AM483" s="36">
        <v>46138</v>
      </c>
      <c r="AN483" s="36">
        <v>46091</v>
      </c>
      <c r="AO483" s="36" t="s">
        <v>81</v>
      </c>
      <c r="AP483" s="36">
        <v>46083</v>
      </c>
      <c r="AQ483" s="36">
        <v>46138</v>
      </c>
      <c r="AR483" s="502">
        <v>46150</v>
      </c>
      <c r="AS483" s="502">
        <v>46150</v>
      </c>
      <c r="AT483" s="502">
        <v>46150</v>
      </c>
      <c r="AU483" s="47" t="s">
        <v>939</v>
      </c>
      <c r="AV483" s="151"/>
      <c r="AW483" s="151"/>
      <c r="AX483" s="151"/>
      <c r="AY483" s="151"/>
    </row>
    <row r="484" spans="1:51" ht="18" customHeight="1">
      <c r="A484" s="40"/>
      <c r="B484" s="41"/>
      <c r="C484" s="42"/>
      <c r="D484" s="42"/>
      <c r="E484" s="42"/>
      <c r="F484" s="43" t="s">
        <v>48</v>
      </c>
      <c r="G484" s="59"/>
      <c r="H484" s="59"/>
      <c r="I484" s="44"/>
      <c r="J484" s="52"/>
      <c r="K484" s="53"/>
      <c r="L484" s="537"/>
      <c r="M484" s="42"/>
      <c r="N484" s="42"/>
      <c r="O484" s="42"/>
      <c r="P484" s="42"/>
      <c r="Q484" s="42"/>
      <c r="R484" s="42"/>
      <c r="S484" s="42"/>
      <c r="T484" s="41"/>
      <c r="U484" s="42"/>
      <c r="V484" s="116">
        <v>46066</v>
      </c>
      <c r="W484" s="116"/>
      <c r="X484" s="116"/>
      <c r="Y484" s="116"/>
      <c r="Z484" s="43"/>
      <c r="AA484" s="43"/>
      <c r="AB484" s="43"/>
      <c r="AC484" s="54"/>
      <c r="AD484" s="43"/>
      <c r="AE484" s="43">
        <v>46140</v>
      </c>
      <c r="AF484" s="46">
        <v>46132</v>
      </c>
      <c r="AG484" s="46">
        <v>46134</v>
      </c>
      <c r="AH484" s="46">
        <v>46134</v>
      </c>
      <c r="AI484" s="46">
        <v>46138</v>
      </c>
      <c r="AJ484" s="46">
        <v>46080</v>
      </c>
      <c r="AK484" s="46">
        <v>46080</v>
      </c>
      <c r="AL484" s="46">
        <v>46138</v>
      </c>
      <c r="AM484" s="46" t="s">
        <v>254</v>
      </c>
      <c r="AN484" s="46">
        <v>46091</v>
      </c>
      <c r="AO484" s="46" t="s">
        <v>944</v>
      </c>
      <c r="AP484" s="46">
        <v>46083</v>
      </c>
      <c r="AQ484" s="46" t="s">
        <v>944</v>
      </c>
      <c r="AR484" s="46">
        <v>46150</v>
      </c>
      <c r="AS484" s="46">
        <v>46150</v>
      </c>
      <c r="AT484" s="46">
        <v>46150</v>
      </c>
      <c r="AU484" s="150"/>
      <c r="AV484" s="151"/>
      <c r="AW484" s="151"/>
      <c r="AX484" s="151"/>
      <c r="AY484" s="151"/>
    </row>
    <row r="485" spans="1:51" ht="18.75" customHeight="1">
      <c r="A485" s="149">
        <v>813153</v>
      </c>
      <c r="B485" s="29">
        <v>813153</v>
      </c>
      <c r="C485" s="30" t="s">
        <v>55</v>
      </c>
      <c r="D485" s="153">
        <v>0.6</v>
      </c>
      <c r="E485" s="153">
        <v>0.4</v>
      </c>
      <c r="F485" s="31" t="s">
        <v>43</v>
      </c>
      <c r="G485" s="33">
        <v>250</v>
      </c>
      <c r="H485" s="33">
        <v>220</v>
      </c>
      <c r="I485" s="34">
        <v>1</v>
      </c>
      <c r="J485" s="489" t="s">
        <v>755</v>
      </c>
      <c r="K485" s="31" t="s">
        <v>45</v>
      </c>
      <c r="L485" s="161" t="s">
        <v>804</v>
      </c>
      <c r="M485" s="30"/>
      <c r="N485" s="30" t="s">
        <v>336</v>
      </c>
      <c r="O485" s="30"/>
      <c r="P485" s="30" t="s">
        <v>646</v>
      </c>
      <c r="Q485" s="30"/>
      <c r="R485" s="30" t="s">
        <v>354</v>
      </c>
      <c r="S485" s="30" t="s">
        <v>361</v>
      </c>
      <c r="T485" s="29"/>
      <c r="U485" s="30" t="s">
        <v>354</v>
      </c>
      <c r="V485" s="36">
        <v>45835</v>
      </c>
      <c r="W485" s="36">
        <f>V485+30</f>
        <v>45865</v>
      </c>
      <c r="X485" s="36">
        <v>45835</v>
      </c>
      <c r="Y485" s="36">
        <f>X485+30</f>
        <v>45865</v>
      </c>
      <c r="Z485" s="31"/>
      <c r="AA485" s="31"/>
      <c r="AB485" s="31"/>
      <c r="AC485" s="37"/>
      <c r="AD485" s="31"/>
      <c r="AE485" s="36">
        <v>46132</v>
      </c>
      <c r="AF485" s="36">
        <v>46135</v>
      </c>
      <c r="AG485" s="36">
        <v>46135</v>
      </c>
      <c r="AH485" s="36">
        <v>46135</v>
      </c>
      <c r="AI485" s="36">
        <v>46139</v>
      </c>
      <c r="AJ485" s="36">
        <v>45950</v>
      </c>
      <c r="AK485" s="38" t="s">
        <v>760</v>
      </c>
      <c r="AL485" s="36">
        <v>46139</v>
      </c>
      <c r="AM485" s="36">
        <v>46139</v>
      </c>
      <c r="AN485" s="36">
        <v>46094</v>
      </c>
      <c r="AO485" s="36">
        <v>46139</v>
      </c>
      <c r="AP485" s="36"/>
      <c r="AQ485" s="36">
        <v>46139</v>
      </c>
      <c r="AR485" s="36">
        <v>46139</v>
      </c>
      <c r="AS485" s="36">
        <v>46139</v>
      </c>
      <c r="AT485" s="587">
        <v>46142</v>
      </c>
      <c r="AU485" s="150"/>
      <c r="AV485" s="151"/>
      <c r="AW485" s="151"/>
      <c r="AX485" s="151"/>
      <c r="AY485" s="151"/>
    </row>
    <row r="486" spans="1:51" ht="18" customHeight="1">
      <c r="A486" s="40">
        <v>813153</v>
      </c>
      <c r="B486" s="41"/>
      <c r="C486" s="42">
        <v>812839</v>
      </c>
      <c r="D486" s="42"/>
      <c r="E486" s="42"/>
      <c r="F486" s="43" t="s">
        <v>48</v>
      </c>
      <c r="G486" s="59"/>
      <c r="H486" s="59"/>
      <c r="I486" s="44"/>
      <c r="J486" s="44"/>
      <c r="K486" s="53"/>
      <c r="L486" s="537"/>
      <c r="M486" s="42"/>
      <c r="N486" s="42"/>
      <c r="O486" s="42"/>
      <c r="P486" s="42"/>
      <c r="Q486" s="42"/>
      <c r="R486" s="42"/>
      <c r="S486" s="42"/>
      <c r="T486" s="41"/>
      <c r="U486" s="42"/>
      <c r="V486" s="116">
        <v>45835</v>
      </c>
      <c r="W486" s="116">
        <v>45861</v>
      </c>
      <c r="X486" s="116">
        <v>45835</v>
      </c>
      <c r="Y486" s="116">
        <v>45861</v>
      </c>
      <c r="Z486" s="43"/>
      <c r="AA486" s="43"/>
      <c r="AB486" s="43"/>
      <c r="AC486" s="54"/>
      <c r="AD486" s="43"/>
      <c r="AE486" s="43">
        <v>46119</v>
      </c>
      <c r="AF486" s="46">
        <v>46119</v>
      </c>
      <c r="AG486" s="46">
        <v>46119</v>
      </c>
      <c r="AH486" s="43">
        <v>46132</v>
      </c>
      <c r="AI486" s="43">
        <v>46132</v>
      </c>
      <c r="AJ486" s="46">
        <v>45950</v>
      </c>
      <c r="AK486" s="46">
        <v>45828</v>
      </c>
      <c r="AL486" s="43">
        <v>46132</v>
      </c>
      <c r="AM486" s="43">
        <v>46132</v>
      </c>
      <c r="AN486" s="46">
        <v>46094</v>
      </c>
      <c r="AO486" s="43">
        <v>46132</v>
      </c>
      <c r="AP486" s="46"/>
      <c r="AQ486" s="43">
        <v>46132</v>
      </c>
      <c r="AR486" s="43">
        <v>46132</v>
      </c>
      <c r="AS486" s="43">
        <v>46132</v>
      </c>
      <c r="AT486" s="43">
        <v>46132</v>
      </c>
      <c r="AU486" s="150"/>
      <c r="AV486" s="151"/>
      <c r="AW486" s="151"/>
      <c r="AX486" s="151"/>
      <c r="AY486" s="151"/>
    </row>
    <row r="487" spans="1:51" ht="18.75" customHeight="1">
      <c r="A487" s="149">
        <v>813208</v>
      </c>
      <c r="B487" s="29" t="s">
        <v>794</v>
      </c>
      <c r="C487" s="30" t="s">
        <v>55</v>
      </c>
      <c r="D487" s="153">
        <v>0.6</v>
      </c>
      <c r="E487" s="153">
        <v>0.4</v>
      </c>
      <c r="F487" s="31" t="s">
        <v>43</v>
      </c>
      <c r="G487" s="33">
        <v>334</v>
      </c>
      <c r="H487" s="33">
        <v>500</v>
      </c>
      <c r="I487" s="34">
        <v>3</v>
      </c>
      <c r="J487" s="468" t="s">
        <v>781</v>
      </c>
      <c r="K487" s="31" t="s">
        <v>231</v>
      </c>
      <c r="L487" s="161" t="s">
        <v>804</v>
      </c>
      <c r="M487" s="30"/>
      <c r="N487" s="30" t="s">
        <v>336</v>
      </c>
      <c r="O487" s="30"/>
      <c r="P487" s="30" t="s">
        <v>876</v>
      </c>
      <c r="Q487" s="30"/>
      <c r="R487" s="30"/>
      <c r="S487" s="30"/>
      <c r="T487" s="29"/>
      <c r="U487" s="30" t="s">
        <v>354</v>
      </c>
      <c r="V487" s="36">
        <v>45905</v>
      </c>
      <c r="W487" s="36">
        <f>V487+15</f>
        <v>45920</v>
      </c>
      <c r="X487" s="36">
        <v>45905</v>
      </c>
      <c r="Y487" s="36">
        <f>X487+15</f>
        <v>45920</v>
      </c>
      <c r="Z487" s="31"/>
      <c r="AA487" s="31"/>
      <c r="AB487" s="31"/>
      <c r="AC487" s="37"/>
      <c r="AD487" s="31"/>
      <c r="AE487" s="36">
        <v>46135</v>
      </c>
      <c r="AF487" s="36">
        <v>46140</v>
      </c>
      <c r="AG487" s="36">
        <v>46140</v>
      </c>
      <c r="AH487" s="36">
        <v>46140</v>
      </c>
      <c r="AI487" s="36">
        <v>46142</v>
      </c>
      <c r="AJ487" s="36">
        <v>45898</v>
      </c>
      <c r="AK487" s="36">
        <v>45881</v>
      </c>
      <c r="AL487" s="36">
        <v>46142</v>
      </c>
      <c r="AM487" s="36">
        <v>46142</v>
      </c>
      <c r="AN487" s="36">
        <v>45939</v>
      </c>
      <c r="AO487" s="36">
        <v>46142</v>
      </c>
      <c r="AP487" s="36"/>
      <c r="AQ487" s="36">
        <v>46142</v>
      </c>
      <c r="AR487" s="36">
        <v>46142</v>
      </c>
      <c r="AS487" s="36">
        <v>46142</v>
      </c>
      <c r="AT487" s="36">
        <v>46149</v>
      </c>
      <c r="AU487" s="150"/>
      <c r="AV487" s="151"/>
      <c r="AW487" s="151"/>
      <c r="AX487" s="151"/>
      <c r="AY487" s="151"/>
    </row>
    <row r="488" spans="1:51" ht="18" customHeight="1">
      <c r="A488" s="40"/>
      <c r="B488" s="41"/>
      <c r="C488" s="42">
        <v>813175</v>
      </c>
      <c r="D488" s="42"/>
      <c r="E488" s="42"/>
      <c r="F488" s="43" t="s">
        <v>48</v>
      </c>
      <c r="G488" s="59"/>
      <c r="H488" s="59"/>
      <c r="I488" s="44"/>
      <c r="J488" s="52"/>
      <c r="K488" s="53"/>
      <c r="L488" s="537"/>
      <c r="M488" s="42"/>
      <c r="N488" s="42"/>
      <c r="O488" s="42"/>
      <c r="P488" s="42"/>
      <c r="Q488" s="42"/>
      <c r="R488" s="42"/>
      <c r="S488" s="42"/>
      <c r="T488" s="41"/>
      <c r="U488" s="42"/>
      <c r="V488" s="116">
        <v>45905</v>
      </c>
      <c r="W488" s="116">
        <v>46067</v>
      </c>
      <c r="X488" s="116">
        <v>45905</v>
      </c>
      <c r="Y488" s="116">
        <v>46067</v>
      </c>
      <c r="Z488" s="43"/>
      <c r="AA488" s="43"/>
      <c r="AB488" s="43"/>
      <c r="AC488" s="54"/>
      <c r="AD488" s="43"/>
      <c r="AE488" s="43">
        <v>46119</v>
      </c>
      <c r="AF488" s="43">
        <v>46119</v>
      </c>
      <c r="AG488" s="43">
        <v>46119</v>
      </c>
      <c r="AH488" s="43">
        <v>46119</v>
      </c>
      <c r="AI488" s="43">
        <v>46142</v>
      </c>
      <c r="AJ488" s="43">
        <v>45898</v>
      </c>
      <c r="AK488" s="43">
        <v>45881</v>
      </c>
      <c r="AL488" s="43">
        <v>46142</v>
      </c>
      <c r="AM488" s="43">
        <v>46142</v>
      </c>
      <c r="AN488" s="43">
        <v>46099</v>
      </c>
      <c r="AO488" s="43">
        <v>46142</v>
      </c>
      <c r="AP488" s="43"/>
      <c r="AQ488" s="43">
        <v>46142</v>
      </c>
      <c r="AR488" s="43">
        <v>46142</v>
      </c>
      <c r="AS488" s="43">
        <v>46142</v>
      </c>
      <c r="AT488" s="43">
        <v>46151</v>
      </c>
      <c r="AU488" s="150"/>
      <c r="AV488" s="151"/>
      <c r="AW488" s="151"/>
      <c r="AX488" s="151"/>
      <c r="AY488" s="151"/>
    </row>
    <row r="489" spans="1:51" ht="19.5" customHeight="1">
      <c r="A489" s="340">
        <v>813037</v>
      </c>
      <c r="B489" s="29" t="s">
        <v>809</v>
      </c>
      <c r="C489" s="30" t="s">
        <v>42</v>
      </c>
      <c r="D489" s="30"/>
      <c r="E489" s="30"/>
      <c r="F489" s="31" t="s">
        <v>43</v>
      </c>
      <c r="G489" s="33">
        <v>250</v>
      </c>
      <c r="H489" s="33">
        <v>330</v>
      </c>
      <c r="I489" s="554">
        <v>7</v>
      </c>
      <c r="J489" s="489" t="s">
        <v>658</v>
      </c>
      <c r="K489" s="66" t="s">
        <v>108</v>
      </c>
      <c r="L489" s="157" t="s">
        <v>805</v>
      </c>
      <c r="M489" s="30"/>
      <c r="N489" s="331" t="s">
        <v>336</v>
      </c>
      <c r="O489" s="30"/>
      <c r="P489" s="331" t="s">
        <v>373</v>
      </c>
      <c r="Q489" s="30" t="s">
        <v>810</v>
      </c>
      <c r="R489" s="30" t="s">
        <v>354</v>
      </c>
      <c r="S489" s="30" t="s">
        <v>361</v>
      </c>
      <c r="T489" s="29"/>
      <c r="U489" s="30" t="s">
        <v>708</v>
      </c>
      <c r="V489" s="36">
        <v>45762</v>
      </c>
      <c r="W489" s="36">
        <v>46058</v>
      </c>
      <c r="X489" s="36">
        <v>45777</v>
      </c>
      <c r="Y489" s="36">
        <v>46058</v>
      </c>
      <c r="Z489" s="66"/>
      <c r="AA489" s="31"/>
      <c r="AB489" s="31"/>
      <c r="AC489" s="37"/>
      <c r="AD489" s="31"/>
      <c r="AE489" s="36">
        <v>46139</v>
      </c>
      <c r="AF489" s="36">
        <v>46142</v>
      </c>
      <c r="AG489" s="36">
        <v>46142</v>
      </c>
      <c r="AH489" s="36">
        <v>46142</v>
      </c>
      <c r="AI489" s="36">
        <v>46150</v>
      </c>
      <c r="AJ489" s="36">
        <v>45719</v>
      </c>
      <c r="AK489" s="36" t="s">
        <v>923</v>
      </c>
      <c r="AL489" s="36">
        <v>46142</v>
      </c>
      <c r="AM489" s="36">
        <v>46142</v>
      </c>
      <c r="AN489" s="36">
        <v>46099</v>
      </c>
      <c r="AO489" s="36">
        <v>46142</v>
      </c>
      <c r="AP489" s="36"/>
      <c r="AQ489" s="36">
        <v>46142</v>
      </c>
      <c r="AR489" s="36">
        <v>46142</v>
      </c>
      <c r="AS489" s="36">
        <v>46142</v>
      </c>
      <c r="AT489" s="36">
        <v>46151</v>
      </c>
      <c r="AU489" s="150"/>
      <c r="AV489" s="151"/>
      <c r="AW489" s="151"/>
      <c r="AX489" s="151"/>
      <c r="AY489" s="151"/>
    </row>
    <row r="490" spans="1:51" ht="18" customHeight="1" thickBot="1">
      <c r="A490" s="40"/>
      <c r="B490" s="41"/>
      <c r="C490" s="42"/>
      <c r="D490" s="42"/>
      <c r="E490" s="42"/>
      <c r="F490" s="43" t="s">
        <v>48</v>
      </c>
      <c r="G490" s="59"/>
      <c r="H490" s="59"/>
      <c r="I490" s="44"/>
      <c r="J490" s="44"/>
      <c r="K490" s="53"/>
      <c r="L490" s="537"/>
      <c r="M490" s="42"/>
      <c r="N490" s="42"/>
      <c r="O490" s="42"/>
      <c r="P490" s="42"/>
      <c r="Q490" s="42"/>
      <c r="R490" s="42"/>
      <c r="S490" s="42"/>
      <c r="T490" s="41"/>
      <c r="U490" s="42"/>
      <c r="V490" s="116">
        <v>45768</v>
      </c>
      <c r="W490" s="116"/>
      <c r="X490" s="116">
        <v>45777</v>
      </c>
      <c r="Y490" s="116"/>
      <c r="Z490" s="43"/>
      <c r="AA490" s="43"/>
      <c r="AB490" s="43"/>
      <c r="AC490" s="54"/>
      <c r="AD490" s="43"/>
      <c r="AE490" s="43">
        <v>46139</v>
      </c>
      <c r="AF490" s="43">
        <v>46142</v>
      </c>
      <c r="AG490" s="43">
        <v>46142</v>
      </c>
      <c r="AH490" s="43">
        <v>46142</v>
      </c>
      <c r="AI490" s="43">
        <v>46150</v>
      </c>
      <c r="AJ490" s="43">
        <v>45719</v>
      </c>
      <c r="AK490" s="43">
        <v>45719</v>
      </c>
      <c r="AL490" s="43">
        <v>46142</v>
      </c>
      <c r="AM490" s="43">
        <v>46142</v>
      </c>
      <c r="AN490" s="43">
        <v>46099</v>
      </c>
      <c r="AO490" s="43">
        <v>46142</v>
      </c>
      <c r="AP490" s="43"/>
      <c r="AQ490" s="43">
        <v>46142</v>
      </c>
      <c r="AR490" s="43">
        <v>46142</v>
      </c>
      <c r="AS490" s="43">
        <v>46142</v>
      </c>
      <c r="AT490" s="43">
        <v>46151</v>
      </c>
      <c r="AU490" s="194"/>
      <c r="AV490" s="151"/>
      <c r="AW490" s="151"/>
      <c r="AX490" s="151"/>
      <c r="AY490" s="151"/>
    </row>
    <row r="491" spans="1:51" ht="16.5" customHeight="1" thickBot="1">
      <c r="A491" s="364"/>
      <c r="B491" s="364"/>
      <c r="C491" s="364"/>
      <c r="D491" s="364"/>
      <c r="E491" s="364"/>
      <c r="F491" s="364"/>
      <c r="G491" s="364"/>
      <c r="H491" s="364"/>
      <c r="I491" s="364"/>
      <c r="J491" s="364"/>
      <c r="K491" s="364"/>
      <c r="L491" s="364"/>
      <c r="M491" s="364"/>
      <c r="N491" s="364"/>
      <c r="O491" s="364"/>
      <c r="P491" s="364"/>
      <c r="Q491" s="364"/>
      <c r="R491" s="364"/>
      <c r="S491" s="364"/>
      <c r="T491" s="364"/>
      <c r="U491" s="364"/>
      <c r="V491" s="364"/>
      <c r="W491" s="364"/>
      <c r="X491" s="364"/>
      <c r="Y491" s="364"/>
      <c r="Z491" s="364"/>
      <c r="AA491" s="364"/>
      <c r="AB491" s="364"/>
      <c r="AC491" s="364"/>
      <c r="AD491" s="364"/>
      <c r="AE491" s="364"/>
      <c r="AF491" s="364"/>
      <c r="AG491" s="364"/>
      <c r="AH491" s="364"/>
      <c r="AI491" s="364"/>
      <c r="AJ491" s="364"/>
      <c r="AK491" s="364"/>
      <c r="AL491" s="364"/>
      <c r="AM491" s="364"/>
      <c r="AN491" s="364"/>
      <c r="AO491" s="364"/>
      <c r="AP491" s="364"/>
      <c r="AQ491" s="364"/>
      <c r="AR491" s="364"/>
      <c r="AS491" s="364"/>
      <c r="AT491" s="364"/>
      <c r="AU491" s="371"/>
      <c r="AV491" s="27"/>
      <c r="AW491" s="27"/>
      <c r="AX491" s="27"/>
      <c r="AY491" s="27"/>
    </row>
    <row r="492" spans="1:51" ht="18.75" customHeight="1">
      <c r="A492" s="149">
        <v>813159</v>
      </c>
      <c r="B492" s="29">
        <v>813159</v>
      </c>
      <c r="C492" s="30" t="s">
        <v>42</v>
      </c>
      <c r="D492" s="30"/>
      <c r="E492" s="30"/>
      <c r="F492" s="31" t="s">
        <v>43</v>
      </c>
      <c r="G492" s="389">
        <v>210</v>
      </c>
      <c r="H492" s="389">
        <v>550</v>
      </c>
      <c r="I492" s="6">
        <v>1</v>
      </c>
      <c r="J492" s="630" t="s">
        <v>998</v>
      </c>
      <c r="K492" s="31" t="s">
        <v>45</v>
      </c>
      <c r="L492" s="161" t="s">
        <v>804</v>
      </c>
      <c r="M492" s="30"/>
      <c r="N492" s="30" t="s">
        <v>336</v>
      </c>
      <c r="O492" s="30"/>
      <c r="P492" s="30" t="s">
        <v>418</v>
      </c>
      <c r="Q492" s="30"/>
      <c r="R492" s="30"/>
      <c r="S492" s="30"/>
      <c r="T492" s="29"/>
      <c r="U492" s="30" t="s">
        <v>354</v>
      </c>
      <c r="V492" s="36" t="s">
        <v>271</v>
      </c>
      <c r="W492" s="36" t="s">
        <v>271</v>
      </c>
      <c r="X492" s="36" t="s">
        <v>271</v>
      </c>
      <c r="Y492" s="36" t="s">
        <v>271</v>
      </c>
      <c r="Z492" s="31"/>
      <c r="AA492" s="31"/>
      <c r="AB492" s="31"/>
      <c r="AC492" s="37">
        <v>2</v>
      </c>
      <c r="AD492" s="31"/>
      <c r="AE492" s="36">
        <v>46142</v>
      </c>
      <c r="AF492" s="36">
        <v>46151</v>
      </c>
      <c r="AG492" s="36">
        <v>46151</v>
      </c>
      <c r="AH492" s="36">
        <v>46151</v>
      </c>
      <c r="AI492" s="36">
        <v>46173</v>
      </c>
      <c r="AJ492" s="36">
        <v>45807</v>
      </c>
      <c r="AK492" s="36">
        <v>45814</v>
      </c>
      <c r="AL492" s="36">
        <v>46162</v>
      </c>
      <c r="AM492" s="36">
        <v>46162</v>
      </c>
      <c r="AN492" s="36">
        <v>46104</v>
      </c>
      <c r="AO492" s="36">
        <v>46162</v>
      </c>
      <c r="AP492" s="36"/>
      <c r="AQ492" s="36">
        <v>46162</v>
      </c>
      <c r="AR492" s="36">
        <v>46188</v>
      </c>
      <c r="AS492" s="36">
        <v>46188</v>
      </c>
      <c r="AT492" s="36">
        <v>46188</v>
      </c>
      <c r="AU492" s="195"/>
      <c r="AV492" s="151"/>
      <c r="AW492" s="151"/>
      <c r="AX492" s="151"/>
      <c r="AY492" s="151"/>
    </row>
    <row r="493" spans="1:51" ht="18" customHeight="1">
      <c r="A493" s="40">
        <v>813159</v>
      </c>
      <c r="B493" s="41"/>
      <c r="C493" s="42"/>
      <c r="D493" s="42"/>
      <c r="E493" s="42"/>
      <c r="F493" s="43" t="s">
        <v>48</v>
      </c>
      <c r="G493" s="59"/>
      <c r="H493" s="59"/>
      <c r="I493" s="44"/>
      <c r="J493" s="52"/>
      <c r="K493" s="53"/>
      <c r="L493" s="537"/>
      <c r="M493" s="42"/>
      <c r="N493" s="42"/>
      <c r="O493" s="42"/>
      <c r="P493" s="42"/>
      <c r="Q493" s="42"/>
      <c r="R493" s="42"/>
      <c r="S493" s="42"/>
      <c r="T493" s="41"/>
      <c r="U493" s="42"/>
      <c r="V493" s="116"/>
      <c r="W493" s="116"/>
      <c r="X493" s="116"/>
      <c r="Y493" s="116"/>
      <c r="Z493" s="43"/>
      <c r="AA493" s="43"/>
      <c r="AB493" s="43"/>
      <c r="AC493" s="54"/>
      <c r="AD493" s="43"/>
      <c r="AE493" s="43">
        <v>46142</v>
      </c>
      <c r="AF493" s="46">
        <v>46156</v>
      </c>
      <c r="AG493" s="46">
        <v>46156</v>
      </c>
      <c r="AH493" s="46">
        <v>46156</v>
      </c>
      <c r="AI493" s="46">
        <v>46173</v>
      </c>
      <c r="AJ493" s="46">
        <v>45823</v>
      </c>
      <c r="AK493" s="46">
        <v>45814</v>
      </c>
      <c r="AL493" s="46">
        <v>46162</v>
      </c>
      <c r="AM493" s="46">
        <v>46167</v>
      </c>
      <c r="AN493" s="46">
        <v>46126</v>
      </c>
      <c r="AO493" s="46" t="s">
        <v>700</v>
      </c>
      <c r="AP493" s="46"/>
      <c r="AQ493" s="588" t="s">
        <v>61</v>
      </c>
      <c r="AR493" s="46" t="s">
        <v>974</v>
      </c>
      <c r="AS493" s="46" t="s">
        <v>974</v>
      </c>
      <c r="AT493" s="46" t="s">
        <v>974</v>
      </c>
      <c r="AU493" s="150"/>
      <c r="AV493" s="151"/>
      <c r="AW493" s="151"/>
      <c r="AX493" s="151"/>
      <c r="AY493" s="151"/>
    </row>
    <row r="494" spans="1:51" ht="18.75" customHeight="1">
      <c r="A494" s="149">
        <v>813181</v>
      </c>
      <c r="B494" s="29" t="s">
        <v>772</v>
      </c>
      <c r="C494" s="30" t="s">
        <v>173</v>
      </c>
      <c r="D494" s="153">
        <v>1</v>
      </c>
      <c r="E494" s="153">
        <v>0.9</v>
      </c>
      <c r="F494" s="31" t="s">
        <v>43</v>
      </c>
      <c r="G494" s="33">
        <v>90</v>
      </c>
      <c r="H494" s="33">
        <v>500</v>
      </c>
      <c r="I494" s="34">
        <v>2</v>
      </c>
      <c r="J494" s="525" t="s">
        <v>773</v>
      </c>
      <c r="K494" s="31" t="s">
        <v>108</v>
      </c>
      <c r="L494" s="161" t="s">
        <v>806</v>
      </c>
      <c r="M494" s="30"/>
      <c r="N494" s="30" t="s">
        <v>361</v>
      </c>
      <c r="O494" s="30"/>
      <c r="P494" s="30" t="s">
        <v>418</v>
      </c>
      <c r="Q494" s="30"/>
      <c r="R494" s="30" t="s">
        <v>354</v>
      </c>
      <c r="S494" s="30" t="s">
        <v>361</v>
      </c>
      <c r="T494" s="29"/>
      <c r="U494" s="30" t="s">
        <v>406</v>
      </c>
      <c r="V494" s="36">
        <v>45874</v>
      </c>
      <c r="W494" s="36">
        <f>V494+30</f>
        <v>45904</v>
      </c>
      <c r="X494" s="36">
        <v>45874</v>
      </c>
      <c r="Y494" s="36">
        <f>X494+30</f>
        <v>45904</v>
      </c>
      <c r="Z494" s="31"/>
      <c r="AA494" s="31"/>
      <c r="AB494" s="31"/>
      <c r="AC494" s="37"/>
      <c r="AD494" s="31"/>
      <c r="AE494" s="36">
        <v>46150</v>
      </c>
      <c r="AF494" s="36">
        <v>46154</v>
      </c>
      <c r="AG494" s="36">
        <v>46154</v>
      </c>
      <c r="AH494" s="36">
        <v>46154</v>
      </c>
      <c r="AI494" s="36">
        <v>46162</v>
      </c>
      <c r="AJ494" s="36" t="s">
        <v>81</v>
      </c>
      <c r="AK494" s="36">
        <v>45993</v>
      </c>
      <c r="AL494" s="36">
        <v>46162</v>
      </c>
      <c r="AM494" s="36">
        <v>46162</v>
      </c>
      <c r="AN494" s="36">
        <v>46111</v>
      </c>
      <c r="AO494" s="36">
        <v>46162</v>
      </c>
      <c r="AP494" s="36"/>
      <c r="AQ494" s="36">
        <v>46162</v>
      </c>
      <c r="AR494" s="36">
        <v>46162</v>
      </c>
      <c r="AS494" s="36">
        <v>46162</v>
      </c>
      <c r="AT494" s="587">
        <v>46164</v>
      </c>
      <c r="AU494" s="150"/>
      <c r="AV494" s="151"/>
      <c r="AW494" s="151"/>
      <c r="AX494" s="151"/>
      <c r="AY494" s="151"/>
    </row>
    <row r="495" spans="1:51" ht="18" customHeight="1">
      <c r="A495" s="40"/>
      <c r="B495" s="41"/>
      <c r="C495" s="42">
        <v>813157</v>
      </c>
      <c r="D495" s="42"/>
      <c r="E495" s="42"/>
      <c r="F495" s="43" t="s">
        <v>48</v>
      </c>
      <c r="G495" s="59"/>
      <c r="H495" s="59"/>
      <c r="I495" s="44"/>
      <c r="J495" s="52"/>
      <c r="K495" s="53"/>
      <c r="L495" s="537"/>
      <c r="M495" s="42"/>
      <c r="N495" s="42"/>
      <c r="O495" s="42"/>
      <c r="P495" s="42"/>
      <c r="Q495" s="42"/>
      <c r="R495" s="42"/>
      <c r="S495" s="42"/>
      <c r="T495" s="41"/>
      <c r="U495" s="42"/>
      <c r="V495" s="116">
        <v>45874</v>
      </c>
      <c r="W495" s="116"/>
      <c r="X495" s="116">
        <v>45874</v>
      </c>
      <c r="Y495" s="116"/>
      <c r="Z495" s="43"/>
      <c r="AA495" s="43"/>
      <c r="AB495" s="43"/>
      <c r="AC495" s="54"/>
      <c r="AD495" s="43"/>
      <c r="AE495" s="46">
        <v>46150</v>
      </c>
      <c r="AF495" s="46">
        <v>46154</v>
      </c>
      <c r="AG495" s="46">
        <v>46154</v>
      </c>
      <c r="AH495" s="46">
        <v>46154</v>
      </c>
      <c r="AI495" s="46">
        <v>46154</v>
      </c>
      <c r="AJ495" s="46" t="s">
        <v>81</v>
      </c>
      <c r="AK495" s="46">
        <v>45854</v>
      </c>
      <c r="AL495" s="588">
        <v>46160</v>
      </c>
      <c r="AM495" s="46">
        <v>46162</v>
      </c>
      <c r="AN495" s="46">
        <v>46111</v>
      </c>
      <c r="AO495" s="588">
        <v>46160</v>
      </c>
      <c r="AP495" s="46"/>
      <c r="AQ495" s="46">
        <v>46154</v>
      </c>
      <c r="AR495" s="46">
        <v>46162</v>
      </c>
      <c r="AS495" s="46">
        <v>46162</v>
      </c>
      <c r="AT495" s="46">
        <v>46162</v>
      </c>
      <c r="AU495" s="150"/>
      <c r="AV495" s="151"/>
      <c r="AW495" s="151"/>
      <c r="AX495" s="151"/>
      <c r="AY495" s="151"/>
    </row>
    <row r="496" spans="1:51" ht="18.75" customHeight="1">
      <c r="A496" s="160">
        <v>813275</v>
      </c>
      <c r="B496" s="29" t="s">
        <v>886</v>
      </c>
      <c r="C496" s="30" t="s">
        <v>42</v>
      </c>
      <c r="D496" s="30"/>
      <c r="E496" s="30"/>
      <c r="F496" s="31" t="s">
        <v>43</v>
      </c>
      <c r="G496" s="33">
        <v>350</v>
      </c>
      <c r="H496" s="33">
        <v>220</v>
      </c>
      <c r="I496" s="34">
        <v>2</v>
      </c>
      <c r="J496" s="569" t="s">
        <v>887</v>
      </c>
      <c r="K496" s="31" t="s">
        <v>384</v>
      </c>
      <c r="L496" s="161" t="s">
        <v>799</v>
      </c>
      <c r="M496" s="30"/>
      <c r="N496" s="30"/>
      <c r="O496" s="30"/>
      <c r="P496" s="30"/>
      <c r="Q496" s="30"/>
      <c r="R496" s="30"/>
      <c r="S496" s="30"/>
      <c r="T496" s="29"/>
      <c r="U496" s="30"/>
      <c r="V496" s="36"/>
      <c r="W496" s="36"/>
      <c r="X496" s="36"/>
      <c r="Y496" s="36"/>
      <c r="Z496" s="31" t="s">
        <v>72</v>
      </c>
      <c r="AA496" s="31"/>
      <c r="AB496" s="31"/>
      <c r="AC496" s="37"/>
      <c r="AD496" s="31"/>
      <c r="AE496" s="36">
        <v>46154</v>
      </c>
      <c r="AF496" s="36">
        <v>46157</v>
      </c>
      <c r="AG496" s="36">
        <v>46157</v>
      </c>
      <c r="AH496" s="36">
        <v>46157</v>
      </c>
      <c r="AI496" s="610">
        <v>46172</v>
      </c>
      <c r="AJ496" s="36">
        <v>46064</v>
      </c>
      <c r="AK496" s="36">
        <v>46064</v>
      </c>
      <c r="AL496" s="36">
        <v>46167</v>
      </c>
      <c r="AM496" s="36">
        <v>46167</v>
      </c>
      <c r="AN496" s="36">
        <v>46121</v>
      </c>
      <c r="AO496" s="36">
        <v>46167</v>
      </c>
      <c r="AP496" s="36"/>
      <c r="AQ496" s="36">
        <v>46167</v>
      </c>
      <c r="AR496" s="36">
        <v>46172</v>
      </c>
      <c r="AS496" s="36">
        <v>46172</v>
      </c>
      <c r="AT496" s="587">
        <v>46172</v>
      </c>
      <c r="AU496" s="150"/>
      <c r="AV496" s="151"/>
      <c r="AW496" s="151"/>
      <c r="AX496" s="151"/>
      <c r="AY496" s="151"/>
    </row>
    <row r="497" spans="1:51" ht="18" customHeight="1">
      <c r="A497" s="40"/>
      <c r="B497" s="41"/>
      <c r="C497" s="42"/>
      <c r="D497" s="42"/>
      <c r="E497" s="42"/>
      <c r="F497" s="43" t="s">
        <v>48</v>
      </c>
      <c r="G497" s="59"/>
      <c r="H497" s="59"/>
      <c r="I497" s="44"/>
      <c r="J497" s="52"/>
      <c r="K497" s="53"/>
      <c r="L497" s="537"/>
      <c r="M497" s="42"/>
      <c r="N497" s="42"/>
      <c r="O497" s="42"/>
      <c r="P497" s="42"/>
      <c r="Q497" s="42"/>
      <c r="R497" s="42"/>
      <c r="S497" s="42"/>
      <c r="T497" s="41"/>
      <c r="U497" s="42"/>
      <c r="V497" s="116"/>
      <c r="W497" s="116"/>
      <c r="X497" s="116"/>
      <c r="Y497" s="116"/>
      <c r="Z497" s="43"/>
      <c r="AA497" s="43"/>
      <c r="AB497" s="43"/>
      <c r="AC497" s="54"/>
      <c r="AD497" s="43"/>
      <c r="AE497" s="46">
        <v>46149</v>
      </c>
      <c r="AF497" s="46">
        <v>46157</v>
      </c>
      <c r="AG497" s="46" t="s">
        <v>975</v>
      </c>
      <c r="AH497" s="46">
        <v>46163</v>
      </c>
      <c r="AI497" s="46">
        <v>46172</v>
      </c>
      <c r="AJ497" s="46">
        <v>46039</v>
      </c>
      <c r="AK497" s="46" t="s">
        <v>943</v>
      </c>
      <c r="AL497" s="46">
        <v>46167</v>
      </c>
      <c r="AM497" s="46" t="s">
        <v>242</v>
      </c>
      <c r="AN497" s="46">
        <v>46167</v>
      </c>
      <c r="AO497" s="46">
        <v>46167</v>
      </c>
      <c r="AP497" s="46"/>
      <c r="AQ497" s="46">
        <v>46167</v>
      </c>
      <c r="AR497" s="46">
        <v>46172</v>
      </c>
      <c r="AS497" s="46">
        <v>46172</v>
      </c>
      <c r="AT497" s="588">
        <v>46172</v>
      </c>
      <c r="AU497" s="47" t="s">
        <v>952</v>
      </c>
      <c r="AV497" s="151"/>
      <c r="AW497" s="151"/>
      <c r="AX497" s="151"/>
      <c r="AY497" s="151"/>
    </row>
    <row r="498" spans="1:51" ht="18.75" customHeight="1">
      <c r="A498" s="340">
        <v>813060</v>
      </c>
      <c r="B498" s="29" t="s">
        <v>623</v>
      </c>
      <c r="C498" s="30" t="s">
        <v>42</v>
      </c>
      <c r="D498" s="30"/>
      <c r="E498" s="30"/>
      <c r="F498" s="31" t="s">
        <v>43</v>
      </c>
      <c r="G498" s="33">
        <v>120</v>
      </c>
      <c r="H498" s="33">
        <v>220</v>
      </c>
      <c r="I498" s="34">
        <v>2</v>
      </c>
      <c r="J498" s="517" t="s">
        <v>999</v>
      </c>
      <c r="K498" s="66" t="s">
        <v>77</v>
      </c>
      <c r="L498" s="157" t="s">
        <v>803</v>
      </c>
      <c r="M498" s="30"/>
      <c r="N498" s="30" t="s">
        <v>647</v>
      </c>
      <c r="O498" s="30"/>
      <c r="P498" s="30" t="s">
        <v>646</v>
      </c>
      <c r="Q498" s="30"/>
      <c r="R498" s="30" t="s">
        <v>406</v>
      </c>
      <c r="S498" s="30"/>
      <c r="T498" s="29"/>
      <c r="U498" s="309" t="s">
        <v>406</v>
      </c>
      <c r="V498" s="36">
        <v>45948</v>
      </c>
      <c r="W498" s="36">
        <v>45964</v>
      </c>
      <c r="X498" s="36">
        <v>45948</v>
      </c>
      <c r="Y498" s="36">
        <v>45964</v>
      </c>
      <c r="Z498" s="66" t="s">
        <v>700</v>
      </c>
      <c r="AA498" s="31"/>
      <c r="AB498" s="31"/>
      <c r="AC498" s="37"/>
      <c r="AD498" s="31"/>
      <c r="AE498" s="36">
        <v>46157</v>
      </c>
      <c r="AF498" s="36">
        <v>46163</v>
      </c>
      <c r="AG498" s="36">
        <v>46163</v>
      </c>
      <c r="AH498" s="36">
        <v>46163</v>
      </c>
      <c r="AI498" s="610">
        <v>46191</v>
      </c>
      <c r="AJ498" s="36">
        <v>45820</v>
      </c>
      <c r="AK498" s="38" t="s">
        <v>732</v>
      </c>
      <c r="AL498" s="36">
        <v>46169</v>
      </c>
      <c r="AM498" s="36">
        <v>46169</v>
      </c>
      <c r="AN498" s="36">
        <v>46122</v>
      </c>
      <c r="AO498" s="36">
        <v>46169</v>
      </c>
      <c r="AP498" s="36"/>
      <c r="AQ498" s="36">
        <v>46169</v>
      </c>
      <c r="AR498" s="36">
        <v>46169</v>
      </c>
      <c r="AS498" s="36">
        <v>46169</v>
      </c>
      <c r="AT498" s="587">
        <v>46171</v>
      </c>
      <c r="AU498" s="228"/>
      <c r="AV498" s="151"/>
      <c r="AW498" s="151"/>
      <c r="AX498" s="151"/>
      <c r="AY498" s="151"/>
    </row>
    <row r="499" spans="1:51" ht="16.5" customHeight="1">
      <c r="A499" s="40">
        <v>813060</v>
      </c>
      <c r="B499" s="41"/>
      <c r="C499" s="42"/>
      <c r="D499" s="42"/>
      <c r="E499" s="42"/>
      <c r="F499" s="43" t="s">
        <v>48</v>
      </c>
      <c r="G499" s="59"/>
      <c r="H499" s="59"/>
      <c r="I499" s="44"/>
      <c r="J499" s="52"/>
      <c r="K499" s="53"/>
      <c r="L499" s="537"/>
      <c r="M499" s="42"/>
      <c r="N499" s="42"/>
      <c r="O499" s="42"/>
      <c r="P499" s="42"/>
      <c r="Q499" s="42"/>
      <c r="R499" s="42"/>
      <c r="S499" s="42"/>
      <c r="T499" s="41"/>
      <c r="U499" s="42"/>
      <c r="V499" s="116" t="s">
        <v>914</v>
      </c>
      <c r="W499" s="116" t="s">
        <v>913</v>
      </c>
      <c r="X499" s="116">
        <v>45986</v>
      </c>
      <c r="Y499" s="116">
        <v>46050</v>
      </c>
      <c r="Z499" s="43"/>
      <c r="AA499" s="43"/>
      <c r="AB499" s="43"/>
      <c r="AC499" s="54"/>
      <c r="AD499" s="43"/>
      <c r="AE499" s="46">
        <v>46161</v>
      </c>
      <c r="AF499" s="46">
        <v>46167</v>
      </c>
      <c r="AG499" s="46">
        <v>46157</v>
      </c>
      <c r="AH499" s="46">
        <v>46163</v>
      </c>
      <c r="AI499" s="46">
        <v>46178</v>
      </c>
      <c r="AJ499" s="46">
        <v>46163</v>
      </c>
      <c r="AK499" s="46">
        <v>45908</v>
      </c>
      <c r="AL499" s="46">
        <v>46169</v>
      </c>
      <c r="AM499" s="46">
        <v>46169</v>
      </c>
      <c r="AN499" s="46">
        <v>46122</v>
      </c>
      <c r="AO499" s="46">
        <v>46169</v>
      </c>
      <c r="AP499" s="46"/>
      <c r="AQ499" s="46">
        <v>46169</v>
      </c>
      <c r="AR499" s="46">
        <v>46169</v>
      </c>
      <c r="AS499" s="46">
        <v>46169</v>
      </c>
      <c r="AT499" s="46">
        <v>46171</v>
      </c>
      <c r="AU499" s="150"/>
      <c r="AV499" s="151"/>
      <c r="AW499" s="151"/>
      <c r="AX499" s="151"/>
      <c r="AY499" s="151"/>
    </row>
    <row r="500" spans="1:51" ht="18.75" customHeight="1">
      <c r="A500" s="149">
        <v>813193</v>
      </c>
      <c r="B500" s="29">
        <v>813193</v>
      </c>
      <c r="C500" s="30" t="s">
        <v>42</v>
      </c>
      <c r="D500" s="30"/>
      <c r="E500" s="30"/>
      <c r="F500" s="31" t="s">
        <v>43</v>
      </c>
      <c r="G500" s="33">
        <v>83</v>
      </c>
      <c r="H500" s="33">
        <v>110</v>
      </c>
      <c r="I500" s="34">
        <v>1</v>
      </c>
      <c r="J500" s="489" t="s">
        <v>756</v>
      </c>
      <c r="K500" s="31" t="s">
        <v>66</v>
      </c>
      <c r="L500" s="161" t="s">
        <v>806</v>
      </c>
      <c r="M500" s="30"/>
      <c r="N500" s="30" t="s">
        <v>336</v>
      </c>
      <c r="O500" s="30"/>
      <c r="P500" s="30" t="s">
        <v>817</v>
      </c>
      <c r="Q500" s="30"/>
      <c r="R500" s="30" t="s">
        <v>406</v>
      </c>
      <c r="S500" s="30" t="s">
        <v>406</v>
      </c>
      <c r="T500" s="29"/>
      <c r="U500" s="309" t="s">
        <v>355</v>
      </c>
      <c r="V500" s="36">
        <v>45991</v>
      </c>
      <c r="W500" s="36">
        <f>V500+30</f>
        <v>46021</v>
      </c>
      <c r="X500" s="36">
        <v>45991</v>
      </c>
      <c r="Y500" s="36">
        <f>X500+30</f>
        <v>46021</v>
      </c>
      <c r="Z500" s="31"/>
      <c r="AA500" s="31"/>
      <c r="AB500" s="31"/>
      <c r="AC500" s="37"/>
      <c r="AD500" s="31"/>
      <c r="AE500" s="46">
        <v>46161</v>
      </c>
      <c r="AF500" s="46">
        <v>46167</v>
      </c>
      <c r="AG500" s="36">
        <v>46167</v>
      </c>
      <c r="AH500" s="36">
        <v>46167</v>
      </c>
      <c r="AI500" s="36">
        <v>46190</v>
      </c>
      <c r="AJ500" s="36">
        <v>46062</v>
      </c>
      <c r="AK500" s="36">
        <v>46062</v>
      </c>
      <c r="AL500" s="36">
        <v>46170</v>
      </c>
      <c r="AM500" s="36">
        <v>46170</v>
      </c>
      <c r="AN500" s="36">
        <v>46128</v>
      </c>
      <c r="AO500" s="36">
        <v>46170</v>
      </c>
      <c r="AP500" s="36"/>
      <c r="AQ500" s="348" t="s">
        <v>968</v>
      </c>
      <c r="AR500" s="36">
        <v>46170</v>
      </c>
      <c r="AS500" s="36">
        <v>46170</v>
      </c>
      <c r="AT500" s="587">
        <v>46175</v>
      </c>
      <c r="AU500" s="150"/>
      <c r="AV500" s="151"/>
      <c r="AW500" s="151"/>
      <c r="AX500" s="151"/>
      <c r="AY500" s="151"/>
    </row>
    <row r="501" spans="1:51" ht="18" customHeight="1">
      <c r="A501" s="40"/>
      <c r="B501" s="41"/>
      <c r="C501" s="42"/>
      <c r="D501" s="42"/>
      <c r="E501" s="42"/>
      <c r="F501" s="43" t="s">
        <v>48</v>
      </c>
      <c r="G501" s="59"/>
      <c r="H501" s="59"/>
      <c r="I501" s="44"/>
      <c r="J501" s="44"/>
      <c r="K501" s="53"/>
      <c r="L501" s="537"/>
      <c r="M501" s="42"/>
      <c r="N501" s="42"/>
      <c r="O501" s="42"/>
      <c r="P501" s="42"/>
      <c r="Q501" s="42"/>
      <c r="R501" s="42"/>
      <c r="S501" s="42"/>
      <c r="T501" s="41"/>
      <c r="U501" s="42"/>
      <c r="V501" s="116">
        <v>46002</v>
      </c>
      <c r="W501" s="116"/>
      <c r="X501" s="116">
        <v>46014</v>
      </c>
      <c r="Y501" s="116"/>
      <c r="Z501" s="43"/>
      <c r="AA501" s="43">
        <f ca="1">AA501</f>
        <v>0</v>
      </c>
      <c r="AB501" s="43"/>
      <c r="AC501" s="54"/>
      <c r="AD501" s="43"/>
      <c r="AE501" s="46">
        <v>46160</v>
      </c>
      <c r="AF501" s="46">
        <v>46168</v>
      </c>
      <c r="AG501" s="46" t="s">
        <v>976</v>
      </c>
      <c r="AH501" s="46">
        <v>46169</v>
      </c>
      <c r="AI501" s="46">
        <v>46171</v>
      </c>
      <c r="AJ501" s="46">
        <v>45875</v>
      </c>
      <c r="AK501" s="46">
        <v>46000</v>
      </c>
      <c r="AL501" s="46">
        <v>46170</v>
      </c>
      <c r="AM501" s="46">
        <v>46170</v>
      </c>
      <c r="AN501" s="46">
        <v>46128</v>
      </c>
      <c r="AO501" s="46">
        <v>46170</v>
      </c>
      <c r="AP501" s="46"/>
      <c r="AQ501" s="304">
        <v>46170</v>
      </c>
      <c r="AR501" s="46">
        <v>46163</v>
      </c>
      <c r="AS501" s="46">
        <v>46170</v>
      </c>
      <c r="AT501" s="588">
        <v>46175</v>
      </c>
      <c r="AU501" s="150"/>
      <c r="AV501" s="151"/>
      <c r="AW501" s="151"/>
      <c r="AX501" s="151"/>
      <c r="AY501" s="151"/>
    </row>
    <row r="502" spans="1:51" ht="18.75" customHeight="1">
      <c r="A502" s="591">
        <v>813281</v>
      </c>
      <c r="B502" s="29"/>
      <c r="C502" s="30" t="s">
        <v>55</v>
      </c>
      <c r="D502" s="153">
        <v>1</v>
      </c>
      <c r="E502" s="153">
        <v>0.9</v>
      </c>
      <c r="F502" s="31" t="s">
        <v>43</v>
      </c>
      <c r="G502" s="33">
        <v>250</v>
      </c>
      <c r="H502" s="33">
        <v>400</v>
      </c>
      <c r="I502" s="34">
        <v>1</v>
      </c>
      <c r="J502" t="s">
        <v>894</v>
      </c>
      <c r="K502" s="31" t="s">
        <v>45</v>
      </c>
      <c r="L502" s="161" t="s">
        <v>805</v>
      </c>
      <c r="M502" s="30"/>
      <c r="N502" s="30"/>
      <c r="O502" s="30"/>
      <c r="P502" s="30"/>
      <c r="Q502" s="30"/>
      <c r="R502" s="30"/>
      <c r="S502" s="30"/>
      <c r="T502" s="29"/>
      <c r="U502" s="30"/>
      <c r="V502" s="35">
        <v>46052</v>
      </c>
      <c r="W502" s="35">
        <v>46111</v>
      </c>
      <c r="X502" s="35">
        <v>46052</v>
      </c>
      <c r="Y502" s="35">
        <v>46111</v>
      </c>
      <c r="Z502" s="31"/>
      <c r="AA502" s="31"/>
      <c r="AB502" s="31"/>
      <c r="AC502" s="37"/>
      <c r="AD502" s="31"/>
      <c r="AE502" s="36">
        <v>46164</v>
      </c>
      <c r="AF502" s="36">
        <v>46171</v>
      </c>
      <c r="AG502" s="36">
        <v>46171</v>
      </c>
      <c r="AH502" s="36">
        <v>46171</v>
      </c>
      <c r="AI502" s="36">
        <v>46171</v>
      </c>
      <c r="AJ502" s="36">
        <v>46066</v>
      </c>
      <c r="AK502" s="36">
        <v>46066</v>
      </c>
      <c r="AL502" s="36">
        <v>46171</v>
      </c>
      <c r="AM502" s="36">
        <v>46171</v>
      </c>
      <c r="AN502" s="36">
        <v>46139</v>
      </c>
      <c r="AO502" s="36">
        <v>46171</v>
      </c>
      <c r="AP502" s="36"/>
      <c r="AQ502" s="36">
        <v>46171</v>
      </c>
      <c r="AR502" s="36">
        <v>46171</v>
      </c>
      <c r="AS502" s="36">
        <v>46171</v>
      </c>
      <c r="AT502" s="587">
        <v>46177</v>
      </c>
      <c r="AU502" s="150"/>
      <c r="AV502" s="151"/>
      <c r="AW502" s="151"/>
      <c r="AX502" s="151"/>
      <c r="AY502" s="151"/>
    </row>
    <row r="503" spans="1:51" ht="18" customHeight="1" thickBot="1">
      <c r="A503" s="592"/>
      <c r="B503" s="41"/>
      <c r="C503" s="42">
        <v>812941</v>
      </c>
      <c r="D503" s="42"/>
      <c r="E503" s="42"/>
      <c r="F503" s="43" t="s">
        <v>48</v>
      </c>
      <c r="G503" s="59"/>
      <c r="H503" s="59"/>
      <c r="I503" s="44"/>
      <c r="J503" s="52"/>
      <c r="K503" s="53"/>
      <c r="L503" s="537"/>
      <c r="M503" s="42"/>
      <c r="N503" s="42"/>
      <c r="O503" s="42"/>
      <c r="P503" s="42"/>
      <c r="Q503" s="42"/>
      <c r="R503" s="42"/>
      <c r="S503" s="42"/>
      <c r="T503" s="41"/>
      <c r="U503" s="42"/>
      <c r="V503" s="53">
        <v>46044</v>
      </c>
      <c r="W503" s="53"/>
      <c r="X503" s="53">
        <v>46045</v>
      </c>
      <c r="Y503" s="53"/>
      <c r="Z503" s="43"/>
      <c r="AA503" s="43"/>
      <c r="AB503" s="43"/>
      <c r="AC503" s="54"/>
      <c r="AD503" s="43"/>
      <c r="AE503" s="46">
        <v>46157</v>
      </c>
      <c r="AF503" s="46">
        <v>46157</v>
      </c>
      <c r="AG503" s="46">
        <v>46156</v>
      </c>
      <c r="AH503" s="46">
        <v>46156</v>
      </c>
      <c r="AI503" s="46">
        <v>46158</v>
      </c>
      <c r="AJ503" s="46">
        <v>46043</v>
      </c>
      <c r="AK503" s="46">
        <v>46043</v>
      </c>
      <c r="AL503" s="46">
        <v>46162</v>
      </c>
      <c r="AM503" s="46">
        <v>46171</v>
      </c>
      <c r="AN503" s="46">
        <v>46139</v>
      </c>
      <c r="AO503" s="46">
        <v>46162</v>
      </c>
      <c r="AP503" s="46"/>
      <c r="AQ503" s="46">
        <v>46162</v>
      </c>
      <c r="AR503" s="46">
        <v>46171</v>
      </c>
      <c r="AS503" s="46">
        <v>46171</v>
      </c>
      <c r="AT503" s="588">
        <v>46177</v>
      </c>
      <c r="AU503" s="194"/>
      <c r="AV503" s="151"/>
      <c r="AW503" s="151"/>
      <c r="AX503" s="151"/>
      <c r="AY503" s="151"/>
    </row>
    <row r="504" spans="1:51" ht="16.5" customHeight="1" thickBot="1">
      <c r="A504" s="364"/>
      <c r="B504" s="364"/>
      <c r="C504" s="364"/>
      <c r="D504" s="364"/>
      <c r="E504" s="364"/>
      <c r="F504" s="364"/>
      <c r="G504" s="364"/>
      <c r="H504" s="364"/>
      <c r="I504" s="364"/>
      <c r="J504" s="364"/>
      <c r="K504" s="364"/>
      <c r="L504" s="364"/>
      <c r="M504" s="364"/>
      <c r="N504" s="364"/>
      <c r="O504" s="364"/>
      <c r="P504" s="364"/>
      <c r="Q504" s="364"/>
      <c r="R504" s="364"/>
      <c r="S504" s="364"/>
      <c r="T504" s="364"/>
      <c r="U504" s="364"/>
      <c r="V504" s="364"/>
      <c r="W504" s="364"/>
      <c r="X504" s="364"/>
      <c r="Y504" s="364"/>
      <c r="Z504" s="364"/>
      <c r="AA504" s="364"/>
      <c r="AB504" s="364"/>
      <c r="AC504" s="364"/>
      <c r="AD504" s="364"/>
      <c r="AE504" s="364"/>
      <c r="AF504" s="364"/>
      <c r="AG504" s="364"/>
      <c r="AH504" s="364"/>
      <c r="AI504" s="364"/>
      <c r="AJ504" s="364"/>
      <c r="AK504" s="364"/>
      <c r="AL504" s="364"/>
      <c r="AM504" s="364"/>
      <c r="AN504" s="364"/>
      <c r="AO504" s="364"/>
      <c r="AP504" s="364"/>
      <c r="AQ504" s="364"/>
      <c r="AR504" s="364"/>
      <c r="AS504" s="364"/>
      <c r="AT504" s="364"/>
      <c r="AU504" s="371"/>
      <c r="AV504" s="27"/>
      <c r="AW504" s="27"/>
      <c r="AX504" s="27"/>
      <c r="AY504" s="27"/>
    </row>
    <row r="505" spans="1:51" ht="18.75" customHeight="1">
      <c r="A505" s="160">
        <v>813360</v>
      </c>
      <c r="B505" s="29">
        <v>813360</v>
      </c>
      <c r="C505" s="30" t="s">
        <v>42</v>
      </c>
      <c r="D505" s="30"/>
      <c r="E505" s="30"/>
      <c r="F505" s="31" t="s">
        <v>43</v>
      </c>
      <c r="G505" s="33">
        <v>550</v>
      </c>
      <c r="H505" s="33">
        <v>500</v>
      </c>
      <c r="I505" s="34">
        <v>1</v>
      </c>
      <c r="J505" s="596" t="s">
        <v>951</v>
      </c>
      <c r="K505" s="31" t="s">
        <v>66</v>
      </c>
      <c r="L505" s="161" t="s">
        <v>804</v>
      </c>
      <c r="M505" s="30"/>
      <c r="N505" s="30"/>
      <c r="O505" s="30"/>
      <c r="P505" s="30"/>
      <c r="Q505" s="30"/>
      <c r="R505" s="30"/>
      <c r="S505" s="30"/>
      <c r="T505" s="29"/>
      <c r="U505" s="30"/>
      <c r="V505" s="35">
        <v>46167</v>
      </c>
      <c r="W505" s="35"/>
      <c r="X505" s="35"/>
      <c r="Y505" s="35"/>
      <c r="Z505" s="31" t="s">
        <v>72</v>
      </c>
      <c r="AA505" s="31" t="s">
        <v>72</v>
      </c>
      <c r="AB505" s="31"/>
      <c r="AC505" s="37"/>
      <c r="AD505" s="31" t="s">
        <v>72</v>
      </c>
      <c r="AE505" s="502">
        <v>46174</v>
      </c>
      <c r="AF505" s="36">
        <v>46184</v>
      </c>
      <c r="AG505" s="36">
        <v>46178</v>
      </c>
      <c r="AH505" s="36">
        <v>46183</v>
      </c>
      <c r="AI505" s="36">
        <v>46188</v>
      </c>
      <c r="AJ505" s="36">
        <v>46135</v>
      </c>
      <c r="AK505" s="36">
        <v>46135</v>
      </c>
      <c r="AL505" s="36">
        <v>46188</v>
      </c>
      <c r="AM505" s="36">
        <v>46188</v>
      </c>
      <c r="AN505" s="36">
        <v>46135</v>
      </c>
      <c r="AO505" s="36">
        <v>46188</v>
      </c>
      <c r="AP505" s="36"/>
      <c r="AQ505" s="36">
        <v>46188</v>
      </c>
      <c r="AR505" s="99">
        <v>46218</v>
      </c>
      <c r="AS505" s="99">
        <v>46218</v>
      </c>
      <c r="AT505" s="99">
        <v>46218</v>
      </c>
      <c r="AU505" s="195"/>
      <c r="AV505" s="151"/>
      <c r="AW505" s="151"/>
      <c r="AX505" s="151"/>
      <c r="AY505" s="151"/>
    </row>
    <row r="506" spans="1:51" ht="18" customHeight="1">
      <c r="A506" s="40"/>
      <c r="B506" s="41"/>
      <c r="C506" s="42"/>
      <c r="D506" s="42"/>
      <c r="E506" s="42"/>
      <c r="F506" s="43" t="s">
        <v>48</v>
      </c>
      <c r="G506" s="59"/>
      <c r="H506" s="59"/>
      <c r="I506" s="44"/>
      <c r="J506" s="52"/>
      <c r="K506" s="53"/>
      <c r="L506" s="537"/>
      <c r="M506" s="42"/>
      <c r="N506" s="42"/>
      <c r="O506" s="42"/>
      <c r="P506" s="42"/>
      <c r="Q506" s="42"/>
      <c r="R506" s="42"/>
      <c r="S506" s="42"/>
      <c r="T506" s="41"/>
      <c r="U506" s="42"/>
      <c r="V506" s="53"/>
      <c r="W506" s="53"/>
      <c r="X506" s="53"/>
      <c r="Y506" s="53"/>
      <c r="Z506" s="43"/>
      <c r="AA506" s="43"/>
      <c r="AB506" s="43"/>
      <c r="AC506" s="54"/>
      <c r="AD506" s="43"/>
      <c r="AE506" s="46">
        <v>46176</v>
      </c>
      <c r="AF506" s="46">
        <v>46192</v>
      </c>
      <c r="AG506" s="46">
        <v>46178</v>
      </c>
      <c r="AH506" s="46">
        <v>46183</v>
      </c>
      <c r="AI506" s="46">
        <v>46199</v>
      </c>
      <c r="AJ506" s="46">
        <v>46136</v>
      </c>
      <c r="AK506" s="46">
        <v>46135</v>
      </c>
      <c r="AL506" s="46">
        <v>46188</v>
      </c>
      <c r="AM506" s="46" t="s">
        <v>254</v>
      </c>
      <c r="AN506" s="46">
        <v>46154</v>
      </c>
      <c r="AO506" s="46">
        <v>46177</v>
      </c>
      <c r="AP506" s="46"/>
      <c r="AQ506" s="46" t="s">
        <v>271</v>
      </c>
      <c r="AR506" s="46" t="s">
        <v>254</v>
      </c>
      <c r="AS506" s="46" t="s">
        <v>254</v>
      </c>
      <c r="AT506" s="46" t="s">
        <v>254</v>
      </c>
      <c r="AU506" s="150"/>
      <c r="AV506" s="151"/>
      <c r="AW506" s="151"/>
      <c r="AX506" s="151"/>
      <c r="AY506" s="151"/>
    </row>
    <row r="507" spans="1:51" ht="18" customHeight="1">
      <c r="A507" s="591">
        <v>813329</v>
      </c>
      <c r="B507" s="29" t="s">
        <v>936</v>
      </c>
      <c r="C507" s="30" t="s">
        <v>42</v>
      </c>
      <c r="D507" s="30"/>
      <c r="E507" s="30"/>
      <c r="F507" s="31" t="s">
        <v>43</v>
      </c>
      <c r="G507" s="33">
        <v>315</v>
      </c>
      <c r="H507" s="33">
        <v>275</v>
      </c>
      <c r="I507" s="34">
        <v>3</v>
      </c>
      <c r="J507" s="569" t="s">
        <v>937</v>
      </c>
      <c r="K507" s="31" t="s">
        <v>231</v>
      </c>
      <c r="L507" s="161" t="s">
        <v>803</v>
      </c>
      <c r="M507" s="30"/>
      <c r="N507" s="30"/>
      <c r="O507" s="30"/>
      <c r="P507" s="30"/>
      <c r="Q507" s="30"/>
      <c r="R507" s="30"/>
      <c r="S507" s="30"/>
      <c r="T507" s="29"/>
      <c r="U507" s="30"/>
      <c r="V507" s="35">
        <v>46157</v>
      </c>
      <c r="W507" s="35"/>
      <c r="X507" s="35"/>
      <c r="Y507" s="35"/>
      <c r="Z507" s="31"/>
      <c r="AA507" s="31"/>
      <c r="AB507" s="31"/>
      <c r="AC507" s="37">
        <v>3</v>
      </c>
      <c r="AD507" s="31" t="s">
        <v>72</v>
      </c>
      <c r="AE507" s="36">
        <v>46174</v>
      </c>
      <c r="AF507" s="36">
        <v>46203</v>
      </c>
      <c r="AG507" s="36">
        <v>46189</v>
      </c>
      <c r="AH507" s="36">
        <v>46188</v>
      </c>
      <c r="AI507" s="36">
        <v>46232</v>
      </c>
      <c r="AJ507" s="36">
        <v>46127</v>
      </c>
      <c r="AK507" s="36">
        <v>46127</v>
      </c>
      <c r="AL507" s="36">
        <v>46191</v>
      </c>
      <c r="AM507" s="36">
        <v>46191</v>
      </c>
      <c r="AN507" s="36">
        <v>46151</v>
      </c>
      <c r="AO507" s="36">
        <v>46191</v>
      </c>
      <c r="AP507" s="36"/>
      <c r="AQ507" s="36">
        <v>46191</v>
      </c>
      <c r="AR507" s="36">
        <v>46191</v>
      </c>
      <c r="AS507" s="99">
        <v>46213</v>
      </c>
      <c r="AT507" s="99">
        <v>46215</v>
      </c>
      <c r="AU507" s="150"/>
      <c r="AV507" s="151"/>
      <c r="AW507" s="151"/>
      <c r="AX507" s="151"/>
      <c r="AY507" s="151"/>
    </row>
    <row r="508" spans="1:51" ht="18" customHeight="1">
      <c r="A508" s="592"/>
      <c r="B508" s="41"/>
      <c r="C508" s="42"/>
      <c r="D508" s="42"/>
      <c r="E508" s="42"/>
      <c r="F508" s="43" t="s">
        <v>48</v>
      </c>
      <c r="G508" s="59"/>
      <c r="H508" s="59"/>
      <c r="I508" s="44"/>
      <c r="J508" s="52"/>
      <c r="K508" s="53"/>
      <c r="L508" s="537"/>
      <c r="M508" s="42"/>
      <c r="N508" s="42"/>
      <c r="O508" s="42"/>
      <c r="P508" s="42"/>
      <c r="Q508" s="42"/>
      <c r="R508" s="42"/>
      <c r="S508" s="42"/>
      <c r="T508" s="41"/>
      <c r="U508" s="42"/>
      <c r="V508" s="53"/>
      <c r="W508" s="53"/>
      <c r="X508" s="53"/>
      <c r="Y508" s="53"/>
      <c r="Z508" s="43"/>
      <c r="AA508" s="43"/>
      <c r="AB508" s="43"/>
      <c r="AC508" s="54"/>
      <c r="AD508" s="43"/>
      <c r="AE508" s="46">
        <v>46176</v>
      </c>
      <c r="AF508" s="46">
        <v>46197</v>
      </c>
      <c r="AG508" s="46">
        <v>46189</v>
      </c>
      <c r="AH508" s="46">
        <v>46191</v>
      </c>
      <c r="AI508" s="46">
        <v>46191</v>
      </c>
      <c r="AJ508" s="46">
        <v>46127</v>
      </c>
      <c r="AK508" s="46">
        <v>46127</v>
      </c>
      <c r="AL508" s="46">
        <v>46191</v>
      </c>
      <c r="AM508" s="46" t="s">
        <v>254</v>
      </c>
      <c r="AN508" s="46">
        <v>46151</v>
      </c>
      <c r="AO508" s="46">
        <v>46181</v>
      </c>
      <c r="AP508" s="46"/>
      <c r="AQ508" s="46">
        <v>46181</v>
      </c>
      <c r="AR508" s="46" t="s">
        <v>992</v>
      </c>
      <c r="AS508" s="46" t="s">
        <v>254</v>
      </c>
      <c r="AT508" s="46" t="s">
        <v>254</v>
      </c>
      <c r="AU508" s="150"/>
      <c r="AV508" s="151"/>
      <c r="AW508" s="151"/>
      <c r="AX508" s="151"/>
      <c r="AY508" s="151"/>
    </row>
    <row r="509" spans="1:51" ht="18" customHeight="1">
      <c r="A509" s="149">
        <v>813282</v>
      </c>
      <c r="B509" s="29">
        <v>813282</v>
      </c>
      <c r="C509" s="30" t="s">
        <v>55</v>
      </c>
      <c r="D509" s="153">
        <v>1</v>
      </c>
      <c r="E509" s="153">
        <v>0.9</v>
      </c>
      <c r="F509" s="31" t="s">
        <v>43</v>
      </c>
      <c r="G509" s="33">
        <v>125</v>
      </c>
      <c r="H509" s="33">
        <v>400</v>
      </c>
      <c r="I509" s="34">
        <v>1</v>
      </c>
      <c r="J509" s="602" t="s">
        <v>895</v>
      </c>
      <c r="K509" s="31" t="s">
        <v>45</v>
      </c>
      <c r="L509" s="161" t="s">
        <v>805</v>
      </c>
      <c r="M509" s="30"/>
      <c r="N509" s="30"/>
      <c r="O509" s="30"/>
      <c r="P509" s="30"/>
      <c r="Q509" s="30"/>
      <c r="R509" s="30"/>
      <c r="S509" s="30"/>
      <c r="T509" s="29"/>
      <c r="U509" s="30"/>
      <c r="V509" s="36">
        <v>46081</v>
      </c>
      <c r="W509" s="36">
        <v>46142</v>
      </c>
      <c r="X509" s="36">
        <v>46081</v>
      </c>
      <c r="Y509" s="36">
        <v>46142</v>
      </c>
      <c r="Z509" s="31"/>
      <c r="AA509" s="31"/>
      <c r="AB509" s="31"/>
      <c r="AC509" s="37"/>
      <c r="AD509" s="31"/>
      <c r="AE509" s="36">
        <v>46178</v>
      </c>
      <c r="AF509" s="36">
        <v>46185</v>
      </c>
      <c r="AG509" s="36">
        <v>46185</v>
      </c>
      <c r="AH509" s="36">
        <v>46185</v>
      </c>
      <c r="AI509" s="36">
        <v>46196</v>
      </c>
      <c r="AJ509" s="36">
        <v>46149</v>
      </c>
      <c r="AK509" s="36">
        <v>46149</v>
      </c>
      <c r="AL509" s="36">
        <v>46196</v>
      </c>
      <c r="AM509" s="36">
        <v>46196</v>
      </c>
      <c r="AN509" s="36">
        <v>46167</v>
      </c>
      <c r="AO509" s="36">
        <v>46196</v>
      </c>
      <c r="AP509" s="36"/>
      <c r="AQ509" s="36">
        <v>46196</v>
      </c>
      <c r="AR509" s="36">
        <v>46196</v>
      </c>
      <c r="AS509" s="36">
        <v>46196</v>
      </c>
      <c r="AT509" s="36">
        <v>46198</v>
      </c>
      <c r="AU509" s="150"/>
      <c r="AV509" s="151"/>
      <c r="AW509" s="151"/>
      <c r="AX509" s="151"/>
      <c r="AY509" s="151"/>
    </row>
    <row r="510" spans="1:51" ht="18" customHeight="1">
      <c r="A510" s="40"/>
      <c r="B510" s="41"/>
      <c r="C510" s="42">
        <v>812975</v>
      </c>
      <c r="D510" s="42"/>
      <c r="E510" s="42"/>
      <c r="F510" s="43" t="s">
        <v>48</v>
      </c>
      <c r="G510" s="59"/>
      <c r="H510" s="59"/>
      <c r="I510" s="44"/>
      <c r="J510" s="52"/>
      <c r="K510" s="53"/>
      <c r="L510" s="537"/>
      <c r="M510" s="42"/>
      <c r="N510" s="42"/>
      <c r="O510" s="42"/>
      <c r="P510" s="42"/>
      <c r="Q510" s="42"/>
      <c r="R510" s="42"/>
      <c r="S510" s="42"/>
      <c r="T510" s="41"/>
      <c r="U510" s="42"/>
      <c r="V510" s="116">
        <v>46077</v>
      </c>
      <c r="W510" s="116"/>
      <c r="X510" s="116">
        <v>46078</v>
      </c>
      <c r="Y510" s="116"/>
      <c r="Z510" s="43"/>
      <c r="AA510" s="43"/>
      <c r="AB510" s="43"/>
      <c r="AC510" s="54"/>
      <c r="AD510" s="43"/>
      <c r="AE510" s="46">
        <v>46176</v>
      </c>
      <c r="AF510" s="46">
        <v>46176</v>
      </c>
      <c r="AG510" s="46">
        <v>45823</v>
      </c>
      <c r="AH510" s="46">
        <v>45823</v>
      </c>
      <c r="AI510" s="46">
        <v>46196</v>
      </c>
      <c r="AJ510" s="46">
        <v>46149</v>
      </c>
      <c r="AK510" s="46">
        <v>46149</v>
      </c>
      <c r="AL510" s="46">
        <v>46196</v>
      </c>
      <c r="AM510" s="46">
        <v>46196</v>
      </c>
      <c r="AN510" s="46">
        <v>46167</v>
      </c>
      <c r="AO510" s="46">
        <v>46196</v>
      </c>
      <c r="AP510" s="46"/>
      <c r="AQ510" s="46">
        <v>46196</v>
      </c>
      <c r="AR510" s="46">
        <v>46196</v>
      </c>
      <c r="AS510" s="46">
        <v>46196</v>
      </c>
      <c r="AT510" s="46">
        <v>46198</v>
      </c>
      <c r="AU510" s="150"/>
      <c r="AV510" s="151"/>
      <c r="AW510" s="151"/>
      <c r="AX510" s="151"/>
      <c r="AY510" s="151"/>
    </row>
    <row r="511" spans="1:51" ht="18.75" customHeight="1">
      <c r="A511" s="149">
        <v>813203</v>
      </c>
      <c r="B511" s="29">
        <v>813203</v>
      </c>
      <c r="C511" s="30" t="s">
        <v>55</v>
      </c>
      <c r="D511" s="153">
        <v>0.7</v>
      </c>
      <c r="E511" s="153">
        <v>0.6</v>
      </c>
      <c r="F511" s="31" t="s">
        <v>43</v>
      </c>
      <c r="G511" s="33">
        <v>160</v>
      </c>
      <c r="H511" s="33">
        <v>400</v>
      </c>
      <c r="I511" s="34">
        <v>1</v>
      </c>
      <c r="J511" s="493" t="s">
        <v>797</v>
      </c>
      <c r="K511" s="31" t="s">
        <v>351</v>
      </c>
      <c r="L511" s="161" t="s">
        <v>803</v>
      </c>
      <c r="M511" s="30"/>
      <c r="N511" s="30"/>
      <c r="O511" s="30"/>
      <c r="P511" s="30"/>
      <c r="Q511" s="30"/>
      <c r="R511" s="30"/>
      <c r="S511" s="30"/>
      <c r="T511" s="29"/>
      <c r="U511" s="30"/>
      <c r="V511" s="36">
        <v>46053</v>
      </c>
      <c r="W511" s="36">
        <f>V511+15</f>
        <v>46068</v>
      </c>
      <c r="X511" s="36">
        <v>46053</v>
      </c>
      <c r="Y511" s="36">
        <f>X511+15</f>
        <v>46068</v>
      </c>
      <c r="Z511" s="31"/>
      <c r="AA511" s="31"/>
      <c r="AB511" s="31"/>
      <c r="AC511" s="37"/>
      <c r="AD511" s="31" t="s">
        <v>72</v>
      </c>
      <c r="AE511" s="36">
        <v>46182</v>
      </c>
      <c r="AF511" s="36">
        <v>46183</v>
      </c>
      <c r="AG511" s="36">
        <v>46189</v>
      </c>
      <c r="AH511" s="36">
        <v>46189</v>
      </c>
      <c r="AI511" s="36">
        <v>46216</v>
      </c>
      <c r="AJ511" s="36">
        <v>46100</v>
      </c>
      <c r="AK511" s="36">
        <v>46100</v>
      </c>
      <c r="AL511" s="36">
        <v>46198</v>
      </c>
      <c r="AM511" s="36">
        <v>46198</v>
      </c>
      <c r="AN511" s="36">
        <v>46157</v>
      </c>
      <c r="AO511" s="36">
        <v>46198</v>
      </c>
      <c r="AP511" s="36"/>
      <c r="AQ511" s="36">
        <v>46198</v>
      </c>
      <c r="AR511" s="36">
        <v>46198</v>
      </c>
      <c r="AS511" s="36">
        <v>46198</v>
      </c>
      <c r="AT511" s="36">
        <v>46202</v>
      </c>
      <c r="AU511" s="47" t="s">
        <v>966</v>
      </c>
      <c r="AV511" s="151"/>
      <c r="AW511" s="151"/>
      <c r="AX511" s="151"/>
      <c r="AY511" s="151"/>
    </row>
    <row r="512" spans="1:51" ht="18" customHeight="1">
      <c r="A512" s="40"/>
      <c r="B512" s="41"/>
      <c r="C512" s="42">
        <v>813016</v>
      </c>
      <c r="D512" s="42"/>
      <c r="E512" s="42"/>
      <c r="F512" s="43" t="s">
        <v>48</v>
      </c>
      <c r="G512" s="59"/>
      <c r="H512" s="59"/>
      <c r="I512" s="44"/>
      <c r="J512" s="52"/>
      <c r="K512" s="53"/>
      <c r="L512" s="537"/>
      <c r="M512" s="42"/>
      <c r="N512" s="42"/>
      <c r="O512" s="42"/>
      <c r="P512" s="42"/>
      <c r="Q512" s="42"/>
      <c r="R512" s="42"/>
      <c r="S512" s="42"/>
      <c r="T512" s="41"/>
      <c r="U512" s="42"/>
      <c r="V512" s="116">
        <v>46048</v>
      </c>
      <c r="W512" s="116"/>
      <c r="X512" s="116">
        <v>46049</v>
      </c>
      <c r="Y512" s="116"/>
      <c r="Z512" s="43"/>
      <c r="AA512" s="43"/>
      <c r="AB512" s="43"/>
      <c r="AC512" s="54"/>
      <c r="AD512" s="43"/>
      <c r="AE512" s="46">
        <v>46176</v>
      </c>
      <c r="AF512" s="46">
        <v>46176</v>
      </c>
      <c r="AG512" s="46">
        <v>46189</v>
      </c>
      <c r="AH512" s="46">
        <v>46189</v>
      </c>
      <c r="AI512" s="46">
        <v>46189</v>
      </c>
      <c r="AJ512" s="46">
        <v>46097</v>
      </c>
      <c r="AK512" s="46">
        <v>46097</v>
      </c>
      <c r="AL512" s="46">
        <v>46175</v>
      </c>
      <c r="AM512" s="46">
        <v>46198</v>
      </c>
      <c r="AN512" s="46">
        <v>46157</v>
      </c>
      <c r="AO512" s="46">
        <v>46175</v>
      </c>
      <c r="AP512" s="46"/>
      <c r="AQ512" s="46">
        <v>46175</v>
      </c>
      <c r="AR512" s="46">
        <v>46198</v>
      </c>
      <c r="AS512" s="46">
        <v>46198</v>
      </c>
      <c r="AT512" s="46">
        <v>46202</v>
      </c>
      <c r="AU512" s="150"/>
      <c r="AV512" s="151"/>
      <c r="AW512" s="151"/>
      <c r="AX512" s="151"/>
      <c r="AY512" s="151"/>
    </row>
    <row r="513" spans="1:51" ht="18.75" customHeight="1">
      <c r="A513" s="591">
        <v>813271</v>
      </c>
      <c r="B513" s="29" t="s">
        <v>892</v>
      </c>
      <c r="C513" s="30" t="s">
        <v>42</v>
      </c>
      <c r="D513" s="30"/>
      <c r="E513" s="30"/>
      <c r="F513" s="31" t="s">
        <v>43</v>
      </c>
      <c r="G513" s="33">
        <v>250</v>
      </c>
      <c r="H513" s="33">
        <v>132</v>
      </c>
      <c r="I513" s="34">
        <v>3</v>
      </c>
      <c r="J513" s="569" t="s">
        <v>893</v>
      </c>
      <c r="K513" s="31" t="s">
        <v>351</v>
      </c>
      <c r="L513" s="161" t="s">
        <v>799</v>
      </c>
      <c r="M513" s="30"/>
      <c r="N513" s="30"/>
      <c r="O513" s="30"/>
      <c r="P513" s="30"/>
      <c r="Q513" s="30"/>
      <c r="R513" s="30"/>
      <c r="S513" s="30"/>
      <c r="T513" s="29"/>
      <c r="U513" s="30"/>
      <c r="V513" s="35"/>
      <c r="W513" s="35"/>
      <c r="X513" s="35"/>
      <c r="Y513" s="35"/>
      <c r="Z513" s="31" t="s">
        <v>72</v>
      </c>
      <c r="AA513" s="31"/>
      <c r="AB513" s="31"/>
      <c r="AC513" s="37"/>
      <c r="AD513" s="31"/>
      <c r="AE513" s="502">
        <v>46177</v>
      </c>
      <c r="AF513" s="36">
        <v>46189</v>
      </c>
      <c r="AG513" s="36">
        <v>46198</v>
      </c>
      <c r="AH513" s="36">
        <v>46195</v>
      </c>
      <c r="AI513" s="36">
        <v>46202</v>
      </c>
      <c r="AJ513" s="36">
        <v>46077</v>
      </c>
      <c r="AK513" s="36">
        <v>46077</v>
      </c>
      <c r="AL513" s="36">
        <v>46202</v>
      </c>
      <c r="AM513" s="36">
        <v>46202</v>
      </c>
      <c r="AN513" s="36">
        <v>46148</v>
      </c>
      <c r="AO513" s="36">
        <v>46202</v>
      </c>
      <c r="AP513" s="36"/>
      <c r="AQ513" s="36">
        <v>46202</v>
      </c>
      <c r="AR513" s="36">
        <v>46202</v>
      </c>
      <c r="AS513" s="36">
        <v>46202</v>
      </c>
      <c r="AT513" s="99">
        <v>46213</v>
      </c>
      <c r="AU513" s="150"/>
      <c r="AV513" s="151"/>
      <c r="AW513" s="151"/>
      <c r="AX513" s="151"/>
      <c r="AY513" s="151"/>
    </row>
    <row r="514" spans="1:51" ht="18" customHeight="1">
      <c r="A514" s="592"/>
      <c r="B514" s="41"/>
      <c r="C514" s="42"/>
      <c r="D514" s="42"/>
      <c r="E514" s="42"/>
      <c r="F514" s="43" t="s">
        <v>48</v>
      </c>
      <c r="G514" s="59"/>
      <c r="H514" s="59"/>
      <c r="I514" s="44"/>
      <c r="J514" s="52"/>
      <c r="K514" s="53"/>
      <c r="L514" s="537"/>
      <c r="M514" s="42"/>
      <c r="N514" s="42"/>
      <c r="O514" s="42"/>
      <c r="P514" s="42"/>
      <c r="Q514" s="42"/>
      <c r="R514" s="42"/>
      <c r="S514" s="42"/>
      <c r="T514" s="41"/>
      <c r="U514" s="42"/>
      <c r="V514" s="53"/>
      <c r="W514" s="53"/>
      <c r="X514" s="53"/>
      <c r="Y514" s="53"/>
      <c r="Z514" s="43"/>
      <c r="AA514" s="43"/>
      <c r="AB514" s="43"/>
      <c r="AC514" s="54"/>
      <c r="AD514" s="43"/>
      <c r="AE514" s="46">
        <v>46177</v>
      </c>
      <c r="AF514" s="46">
        <v>46191</v>
      </c>
      <c r="AG514" s="46">
        <v>46198</v>
      </c>
      <c r="AH514" s="46">
        <v>46203</v>
      </c>
      <c r="AI514" s="46">
        <v>46216</v>
      </c>
      <c r="AJ514" s="46">
        <v>46077</v>
      </c>
      <c r="AK514" s="46">
        <v>46112</v>
      </c>
      <c r="AL514" s="46">
        <v>46202</v>
      </c>
      <c r="AM514" s="46" t="s">
        <v>254</v>
      </c>
      <c r="AN514" s="46">
        <v>46154</v>
      </c>
      <c r="AO514" s="46">
        <v>46202</v>
      </c>
      <c r="AP514" s="46"/>
      <c r="AQ514" s="46">
        <v>46202</v>
      </c>
      <c r="AR514" s="46">
        <v>46202</v>
      </c>
      <c r="AS514" s="46">
        <v>46202</v>
      </c>
      <c r="AT514" s="46">
        <v>46218</v>
      </c>
      <c r="AU514" s="150"/>
      <c r="AV514" s="151"/>
      <c r="AW514" s="151"/>
      <c r="AX514" s="151"/>
      <c r="AY514" s="151"/>
    </row>
    <row r="515" spans="1:51" ht="18.75" customHeight="1">
      <c r="A515" s="591">
        <v>813223</v>
      </c>
      <c r="B515" s="29">
        <v>813223</v>
      </c>
      <c r="C515" s="30" t="s">
        <v>42</v>
      </c>
      <c r="D515" s="30"/>
      <c r="E515" s="30"/>
      <c r="F515" s="31" t="s">
        <v>43</v>
      </c>
      <c r="G515" s="33">
        <v>450</v>
      </c>
      <c r="H515" s="33">
        <v>400</v>
      </c>
      <c r="I515" s="34">
        <v>1</v>
      </c>
      <c r="J515" s="489" t="s">
        <v>841</v>
      </c>
      <c r="K515" s="31" t="s">
        <v>66</v>
      </c>
      <c r="L515" s="161" t="s">
        <v>799</v>
      </c>
      <c r="M515" s="30"/>
      <c r="N515" s="30"/>
      <c r="O515" s="30"/>
      <c r="P515" s="30"/>
      <c r="Q515" s="30"/>
      <c r="R515" s="30"/>
      <c r="S515" s="30"/>
      <c r="T515" s="29"/>
      <c r="U515" s="30"/>
      <c r="V515" s="36" t="s">
        <v>864</v>
      </c>
      <c r="W515" s="36" t="s">
        <v>868</v>
      </c>
      <c r="X515" s="36" t="s">
        <v>864</v>
      </c>
      <c r="Y515" s="36" t="s">
        <v>868</v>
      </c>
      <c r="Z515" s="31"/>
      <c r="AA515" s="31"/>
      <c r="AB515" s="31"/>
      <c r="AC515" s="37">
        <v>1</v>
      </c>
      <c r="AD515" s="31"/>
      <c r="AE515" s="502">
        <v>46190</v>
      </c>
      <c r="AF515" s="502">
        <v>46202</v>
      </c>
      <c r="AG515" s="36">
        <v>46199</v>
      </c>
      <c r="AH515" s="99">
        <v>46203</v>
      </c>
      <c r="AI515" s="36">
        <v>46203</v>
      </c>
      <c r="AJ515" s="36">
        <v>46099</v>
      </c>
      <c r="AK515" s="36">
        <v>46099</v>
      </c>
      <c r="AL515" s="36">
        <v>46203</v>
      </c>
      <c r="AM515" s="36">
        <v>46203</v>
      </c>
      <c r="AN515" s="36">
        <v>46171</v>
      </c>
      <c r="AO515" s="36">
        <v>46203</v>
      </c>
      <c r="AP515" s="36"/>
      <c r="AQ515" s="36">
        <v>46203</v>
      </c>
      <c r="AR515" s="36">
        <v>46203</v>
      </c>
      <c r="AS515" s="99">
        <v>46208</v>
      </c>
      <c r="AT515" s="99">
        <v>46211</v>
      </c>
      <c r="AU515" s="150"/>
      <c r="AV515" s="151"/>
      <c r="AW515" s="151"/>
      <c r="AX515" s="151"/>
      <c r="AY515" s="151"/>
    </row>
    <row r="516" spans="1:51" ht="18" customHeight="1">
      <c r="A516" s="40"/>
      <c r="B516" s="41"/>
      <c r="C516" s="42"/>
      <c r="D516" s="42"/>
      <c r="E516" s="42"/>
      <c r="F516" s="43" t="s">
        <v>48</v>
      </c>
      <c r="G516" s="59"/>
      <c r="H516" s="59"/>
      <c r="I516" s="44"/>
      <c r="J516" s="52"/>
      <c r="K516" s="53"/>
      <c r="L516" s="537"/>
      <c r="M516" s="42"/>
      <c r="N516" s="42"/>
      <c r="O516" s="42"/>
      <c r="P516" s="42"/>
      <c r="Q516" s="42"/>
      <c r="R516" s="42"/>
      <c r="S516" s="42"/>
      <c r="T516" s="41"/>
      <c r="U516" s="42"/>
      <c r="V516" s="116"/>
      <c r="W516" s="116"/>
      <c r="X516" s="116"/>
      <c r="Y516" s="116"/>
      <c r="Z516" s="43"/>
      <c r="AA516" s="43"/>
      <c r="AB516" s="43"/>
      <c r="AC516" s="54"/>
      <c r="AD516" s="43"/>
      <c r="AE516" s="46">
        <v>46177</v>
      </c>
      <c r="AF516" s="46">
        <v>46199</v>
      </c>
      <c r="AG516" s="46">
        <v>46198</v>
      </c>
      <c r="AH516" s="46">
        <v>46204</v>
      </c>
      <c r="AI516" s="46">
        <v>46204</v>
      </c>
      <c r="AJ516" s="46">
        <v>46027</v>
      </c>
      <c r="AK516" s="46">
        <v>46034</v>
      </c>
      <c r="AL516" s="46">
        <v>46188</v>
      </c>
      <c r="AM516" s="46">
        <v>46196</v>
      </c>
      <c r="AN516" s="46">
        <v>46171</v>
      </c>
      <c r="AO516" s="46">
        <v>46183</v>
      </c>
      <c r="AP516" s="46"/>
      <c r="AQ516" s="46">
        <v>46195</v>
      </c>
      <c r="AR516" s="46">
        <v>46203</v>
      </c>
      <c r="AS516" s="46">
        <v>46213</v>
      </c>
      <c r="AT516" s="46">
        <v>46211</v>
      </c>
      <c r="AU516" s="150"/>
      <c r="AV516" s="151"/>
      <c r="AW516" s="151"/>
      <c r="AX516" s="151"/>
      <c r="AY516" s="151"/>
    </row>
    <row r="517" spans="1:51" ht="18.75" customHeight="1">
      <c r="A517" s="149">
        <v>812752</v>
      </c>
      <c r="B517" s="29" t="s">
        <v>445</v>
      </c>
      <c r="C517" s="30" t="s">
        <v>731</v>
      </c>
      <c r="D517" s="153" t="s">
        <v>700</v>
      </c>
      <c r="E517" s="30"/>
      <c r="F517" s="31" t="s">
        <v>43</v>
      </c>
      <c r="G517" s="33">
        <v>240</v>
      </c>
      <c r="H517" s="33">
        <v>220</v>
      </c>
      <c r="I517" s="34">
        <v>2</v>
      </c>
      <c r="J517" s="516" t="s">
        <v>704</v>
      </c>
      <c r="K517" s="31" t="s">
        <v>50</v>
      </c>
      <c r="L517" s="161" t="s">
        <v>802</v>
      </c>
      <c r="M517" s="30"/>
      <c r="N517" s="317" t="s">
        <v>426</v>
      </c>
      <c r="O517" s="178" t="s">
        <v>516</v>
      </c>
      <c r="P517" s="309" t="s">
        <v>474</v>
      </c>
      <c r="Q517" s="30"/>
      <c r="R517" s="178" t="s">
        <v>354</v>
      </c>
      <c r="S517" s="178" t="s">
        <v>354</v>
      </c>
      <c r="T517" s="332"/>
      <c r="U517" s="323" t="s">
        <v>354</v>
      </c>
      <c r="V517" s="36">
        <v>45726</v>
      </c>
      <c r="W517" s="36">
        <f>V517+15</f>
        <v>45741</v>
      </c>
      <c r="X517" s="36" t="s">
        <v>446</v>
      </c>
      <c r="Y517" s="36"/>
      <c r="Z517" s="161" t="s">
        <v>72</v>
      </c>
      <c r="AA517" s="31"/>
      <c r="AB517" s="31"/>
      <c r="AC517" s="37">
        <v>3</v>
      </c>
      <c r="AD517" s="31"/>
      <c r="AE517" s="36">
        <v>46191</v>
      </c>
      <c r="AF517" s="36">
        <v>46203</v>
      </c>
      <c r="AG517" s="36">
        <v>46203</v>
      </c>
      <c r="AH517" s="36">
        <v>46203</v>
      </c>
      <c r="AI517" s="99">
        <v>46226</v>
      </c>
      <c r="AJ517" s="36">
        <v>45792</v>
      </c>
      <c r="AK517" s="36">
        <v>45792</v>
      </c>
      <c r="AL517" s="36">
        <v>46203</v>
      </c>
      <c r="AM517" s="36">
        <v>46203</v>
      </c>
      <c r="AN517" s="36">
        <v>46132</v>
      </c>
      <c r="AO517" s="36">
        <v>46203</v>
      </c>
      <c r="AP517" s="36"/>
      <c r="AQ517" s="36">
        <v>46216</v>
      </c>
      <c r="AR517" s="36">
        <v>46216</v>
      </c>
      <c r="AS517" s="36">
        <v>46216</v>
      </c>
      <c r="AT517" s="36">
        <v>46218</v>
      </c>
      <c r="AU517" s="150"/>
      <c r="AV517" s="151"/>
      <c r="AW517" s="151"/>
      <c r="AX517" s="151"/>
      <c r="AY517" s="151"/>
    </row>
    <row r="518" spans="1:51" ht="18" customHeight="1" thickBot="1">
      <c r="A518" s="40">
        <v>812752</v>
      </c>
      <c r="B518" s="41"/>
      <c r="C518" s="42"/>
      <c r="D518" s="42"/>
      <c r="E518" s="42"/>
      <c r="F518" s="43" t="s">
        <v>48</v>
      </c>
      <c r="G518" s="59"/>
      <c r="H518" s="59"/>
      <c r="I518" s="44"/>
      <c r="J518" s="52"/>
      <c r="K518" s="53"/>
      <c r="L518" s="537"/>
      <c r="M518" s="42"/>
      <c r="N518" s="42"/>
      <c r="O518" s="42"/>
      <c r="P518" s="42"/>
      <c r="Q518" s="42"/>
      <c r="R518" s="42"/>
      <c r="S518" s="42"/>
      <c r="T518" s="41"/>
      <c r="U518" s="42"/>
      <c r="V518" s="116">
        <v>45722</v>
      </c>
      <c r="W518" s="116"/>
      <c r="X518" s="116">
        <v>45727</v>
      </c>
      <c r="Y518" s="116"/>
      <c r="Z518" s="158"/>
      <c r="AA518" s="43"/>
      <c r="AB518" s="43"/>
      <c r="AC518" s="54"/>
      <c r="AD518" s="43"/>
      <c r="AE518" s="46">
        <v>46177</v>
      </c>
      <c r="AF518" s="46">
        <v>46199</v>
      </c>
      <c r="AG518" s="46">
        <v>46203</v>
      </c>
      <c r="AH518" s="46">
        <v>46203</v>
      </c>
      <c r="AI518" s="46">
        <v>46224</v>
      </c>
      <c r="AJ518" s="46">
        <v>45774</v>
      </c>
      <c r="AK518" s="46">
        <v>45774</v>
      </c>
      <c r="AL518" s="46">
        <v>45776</v>
      </c>
      <c r="AM518" s="46">
        <v>46210</v>
      </c>
      <c r="AN518" s="46">
        <v>46132</v>
      </c>
      <c r="AO518" s="46">
        <v>45776</v>
      </c>
      <c r="AP518" s="46"/>
      <c r="AQ518" s="46" t="s">
        <v>271</v>
      </c>
      <c r="AR518" s="46">
        <v>46199</v>
      </c>
      <c r="AS518" s="46">
        <v>46199</v>
      </c>
      <c r="AT518" s="46">
        <v>46218</v>
      </c>
      <c r="AU518" s="194"/>
      <c r="AV518" s="151"/>
      <c r="AW518" s="151"/>
      <c r="AX518" s="151"/>
      <c r="AY518" s="151"/>
    </row>
    <row r="519" spans="1:51" ht="16.5" customHeight="1" thickBot="1">
      <c r="A519" s="364"/>
      <c r="B519" s="364"/>
      <c r="C519" s="364"/>
      <c r="D519" s="364"/>
      <c r="E519" s="364"/>
      <c r="F519" s="364"/>
      <c r="G519" s="364"/>
      <c r="H519" s="364"/>
      <c r="I519" s="364"/>
      <c r="J519" s="364"/>
      <c r="K519" s="364"/>
      <c r="L519" s="364"/>
      <c r="M519" s="364"/>
      <c r="N519" s="364"/>
      <c r="O519" s="364"/>
      <c r="P519" s="364"/>
      <c r="Q519" s="364"/>
      <c r="R519" s="364"/>
      <c r="S519" s="364"/>
      <c r="T519" s="364"/>
      <c r="U519" s="364"/>
      <c r="V519" s="364"/>
      <c r="W519" s="364"/>
      <c r="X519" s="364"/>
      <c r="Y519" s="364"/>
      <c r="Z519" s="364"/>
      <c r="AA519" s="364"/>
      <c r="AB519" s="364"/>
      <c r="AC519" s="364"/>
      <c r="AD519" s="364"/>
      <c r="AE519" s="364"/>
      <c r="AF519" s="364"/>
      <c r="AG519" s="364"/>
      <c r="AH519" s="364"/>
      <c r="AI519" s="364"/>
      <c r="AJ519" s="364"/>
      <c r="AK519" s="364"/>
      <c r="AL519" s="364"/>
      <c r="AM519" s="364"/>
      <c r="AN519" s="364"/>
      <c r="AO519" s="364"/>
      <c r="AP519" s="364"/>
      <c r="AQ519" s="364"/>
      <c r="AR519" s="364"/>
      <c r="AS519" s="364"/>
      <c r="AT519" s="364"/>
      <c r="AU519" s="371"/>
      <c r="AV519" s="27"/>
      <c r="AW519" s="27"/>
      <c r="AX519" s="27"/>
      <c r="AY519" s="27"/>
    </row>
    <row r="520" spans="1:51" ht="18.75" customHeight="1">
      <c r="A520" s="591">
        <v>813265</v>
      </c>
      <c r="B520" s="29" t="s">
        <v>854</v>
      </c>
      <c r="C520" s="30" t="s">
        <v>42</v>
      </c>
      <c r="D520" s="30"/>
      <c r="E520" s="30"/>
      <c r="F520" s="31" t="s">
        <v>43</v>
      </c>
      <c r="G520" s="33">
        <v>20</v>
      </c>
      <c r="H520" s="33">
        <v>220</v>
      </c>
      <c r="I520" s="34">
        <v>2</v>
      </c>
      <c r="J520" s="493" t="s">
        <v>855</v>
      </c>
      <c r="K520" s="31" t="s">
        <v>351</v>
      </c>
      <c r="L520" s="161" t="s">
        <v>799</v>
      </c>
      <c r="M520" s="30"/>
      <c r="N520" s="30"/>
      <c r="O520" s="30"/>
      <c r="P520" s="30"/>
      <c r="Q520" s="30"/>
      <c r="R520" s="30"/>
      <c r="S520" s="30"/>
      <c r="T520" s="29"/>
      <c r="U520" s="30"/>
      <c r="V520" s="35"/>
      <c r="W520" s="35"/>
      <c r="X520" s="35"/>
      <c r="Y520" s="35"/>
      <c r="Z520" s="31"/>
      <c r="AA520" s="31"/>
      <c r="AB520" s="31"/>
      <c r="AC520" s="37"/>
      <c r="AD520" s="31"/>
      <c r="AE520" s="36">
        <v>46195</v>
      </c>
      <c r="AF520" s="36">
        <v>46206</v>
      </c>
      <c r="AG520" s="36">
        <v>46206</v>
      </c>
      <c r="AH520" s="36">
        <v>46206</v>
      </c>
      <c r="AI520" s="36">
        <v>46218</v>
      </c>
      <c r="AJ520" s="36">
        <v>46097</v>
      </c>
      <c r="AK520" s="36">
        <v>46097</v>
      </c>
      <c r="AL520" s="36">
        <v>46218</v>
      </c>
      <c r="AM520" s="36">
        <v>46218</v>
      </c>
      <c r="AN520" s="36">
        <v>46154</v>
      </c>
      <c r="AO520" s="36">
        <v>46218</v>
      </c>
      <c r="AP520" s="36"/>
      <c r="AQ520" s="36">
        <v>46218</v>
      </c>
      <c r="AR520" s="36">
        <v>46218</v>
      </c>
      <c r="AS520" s="36">
        <v>46218</v>
      </c>
      <c r="AT520" s="36">
        <v>46220</v>
      </c>
      <c r="AU520" s="150"/>
      <c r="AV520" s="151"/>
      <c r="AW520" s="151"/>
      <c r="AX520" s="151"/>
      <c r="AY520" s="151"/>
    </row>
    <row r="521" spans="1:51" ht="18" customHeight="1">
      <c r="A521" s="592"/>
      <c r="B521" s="41"/>
      <c r="C521" s="42"/>
      <c r="D521" s="42"/>
      <c r="E521" s="42"/>
      <c r="F521" s="43" t="s">
        <v>48</v>
      </c>
      <c r="G521" s="59"/>
      <c r="H521" s="59"/>
      <c r="I521" s="44"/>
      <c r="J521" s="52"/>
      <c r="K521" s="53"/>
      <c r="L521" s="537"/>
      <c r="M521" s="42"/>
      <c r="N521" s="42"/>
      <c r="O521" s="42"/>
      <c r="P521" s="42"/>
      <c r="Q521" s="42"/>
      <c r="R521" s="42"/>
      <c r="S521" s="42"/>
      <c r="T521" s="41"/>
      <c r="U521" s="42"/>
      <c r="V521" s="53"/>
      <c r="W521" s="53"/>
      <c r="X521" s="53"/>
      <c r="Y521" s="53"/>
      <c r="Z521" s="43"/>
      <c r="AA521" s="43"/>
      <c r="AB521" s="43"/>
      <c r="AC521" s="54"/>
      <c r="AD521" s="43"/>
      <c r="AE521" s="46">
        <v>46213</v>
      </c>
      <c r="AF521" s="46">
        <v>46225</v>
      </c>
      <c r="AG521" s="46">
        <v>46213</v>
      </c>
      <c r="AH521" s="46">
        <v>46227</v>
      </c>
      <c r="AI521" s="46">
        <v>46232</v>
      </c>
      <c r="AJ521" s="46" t="s">
        <v>729</v>
      </c>
      <c r="AK521" s="46">
        <v>46035</v>
      </c>
      <c r="AL521" s="46" t="s">
        <v>254</v>
      </c>
      <c r="AM521" s="46">
        <v>46218</v>
      </c>
      <c r="AN521" s="46">
        <v>46154</v>
      </c>
      <c r="AO521" s="46">
        <v>46224</v>
      </c>
      <c r="AP521" s="46"/>
      <c r="AQ521" s="46" t="s">
        <v>1009</v>
      </c>
      <c r="AR521" s="46">
        <v>46218</v>
      </c>
      <c r="AS521" s="46">
        <v>46223</v>
      </c>
      <c r="AT521" s="46">
        <v>46220</v>
      </c>
      <c r="AU521" s="150"/>
      <c r="AV521" s="151"/>
      <c r="AW521" s="151"/>
      <c r="AX521" s="151"/>
      <c r="AY521" s="151"/>
    </row>
    <row r="522" spans="1:51" ht="18.75" customHeight="1">
      <c r="A522" s="149">
        <v>850816</v>
      </c>
      <c r="B522" s="29">
        <v>850816</v>
      </c>
      <c r="C522" s="30" t="s">
        <v>731</v>
      </c>
      <c r="D522" s="30"/>
      <c r="E522" s="30"/>
      <c r="F522" s="31" t="s">
        <v>43</v>
      </c>
      <c r="G522" s="30">
        <v>150</v>
      </c>
      <c r="H522" s="30">
        <v>220</v>
      </c>
      <c r="I522" s="30">
        <v>1</v>
      </c>
      <c r="J522" s="613" t="s">
        <v>979</v>
      </c>
      <c r="K522" s="30" t="s">
        <v>327</v>
      </c>
      <c r="L522" s="30" t="s">
        <v>804</v>
      </c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30"/>
      <c r="AD522" s="30"/>
      <c r="AE522" s="600" t="s">
        <v>379</v>
      </c>
      <c r="AF522" s="600" t="s">
        <v>379</v>
      </c>
      <c r="AG522" s="36">
        <v>46210</v>
      </c>
      <c r="AH522" s="36">
        <v>46210</v>
      </c>
      <c r="AI522" s="36">
        <v>46223</v>
      </c>
      <c r="AJ522" s="36" t="s">
        <v>967</v>
      </c>
      <c r="AK522" s="36">
        <v>46148</v>
      </c>
      <c r="AL522" s="36">
        <v>46223</v>
      </c>
      <c r="AM522" s="36">
        <v>46223</v>
      </c>
      <c r="AN522" s="36">
        <v>46182</v>
      </c>
      <c r="AO522" s="36">
        <v>46224</v>
      </c>
      <c r="AP522" s="36"/>
      <c r="AQ522" s="36">
        <v>46223</v>
      </c>
      <c r="AR522" s="36">
        <v>46220</v>
      </c>
      <c r="AS522" s="99">
        <v>46239</v>
      </c>
      <c r="AT522" s="99">
        <v>46240</v>
      </c>
      <c r="AU522" s="150"/>
      <c r="AV522" s="151"/>
      <c r="AW522" s="151"/>
      <c r="AX522" s="151"/>
      <c r="AY522" s="151"/>
    </row>
    <row r="523" spans="1:51" ht="18" customHeight="1">
      <c r="A523" s="40"/>
      <c r="B523" s="71" t="s">
        <v>509</v>
      </c>
      <c r="C523" s="42"/>
      <c r="D523" s="42"/>
      <c r="E523" s="42"/>
      <c r="F523" s="43" t="s">
        <v>48</v>
      </c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6">
        <v>46225</v>
      </c>
      <c r="AF523" s="46">
        <v>46225</v>
      </c>
      <c r="AG523" s="46" t="s">
        <v>1010</v>
      </c>
      <c r="AH523" s="46">
        <v>46240</v>
      </c>
      <c r="AI523" s="46">
        <v>46234</v>
      </c>
      <c r="AJ523" s="46" t="s">
        <v>81</v>
      </c>
      <c r="AK523" s="36">
        <v>46149</v>
      </c>
      <c r="AL523" s="36">
        <v>46224</v>
      </c>
      <c r="AM523" s="46">
        <v>46227</v>
      </c>
      <c r="AN523" s="46">
        <v>46176</v>
      </c>
      <c r="AO523" s="46" t="s">
        <v>1021</v>
      </c>
      <c r="AP523" s="46"/>
      <c r="AQ523" s="46" t="s">
        <v>1009</v>
      </c>
      <c r="AR523" s="46" t="s">
        <v>961</v>
      </c>
      <c r="AS523" s="46"/>
      <c r="AT523" s="46"/>
      <c r="AU523" s="150"/>
      <c r="AV523" s="151"/>
      <c r="AW523" s="151"/>
      <c r="AX523" s="151"/>
      <c r="AY523" s="151"/>
    </row>
    <row r="524" spans="1:51" ht="18.75" customHeight="1">
      <c r="A524" s="149">
        <v>813136</v>
      </c>
      <c r="B524" s="29">
        <v>813136</v>
      </c>
      <c r="C524" s="30" t="s">
        <v>731</v>
      </c>
      <c r="D524" s="30"/>
      <c r="E524" s="30"/>
      <c r="F524" s="31" t="s">
        <v>43</v>
      </c>
      <c r="G524" s="389">
        <v>160</v>
      </c>
      <c r="H524" s="389">
        <v>230</v>
      </c>
      <c r="I524" s="6">
        <v>1</v>
      </c>
      <c r="J524" s="529" t="s">
        <v>696</v>
      </c>
      <c r="K524" s="30" t="s">
        <v>66</v>
      </c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30">
        <v>2</v>
      </c>
      <c r="AD524" s="30"/>
      <c r="AE524" s="36">
        <v>46211</v>
      </c>
      <c r="AF524" s="36">
        <v>46217</v>
      </c>
      <c r="AG524" s="36">
        <v>46217</v>
      </c>
      <c r="AH524" s="36">
        <v>46217</v>
      </c>
      <c r="AI524" s="36">
        <v>46227</v>
      </c>
      <c r="AJ524" s="36">
        <v>46139</v>
      </c>
      <c r="AK524" s="36">
        <v>46139</v>
      </c>
      <c r="AL524" s="36">
        <v>46227</v>
      </c>
      <c r="AM524" s="36">
        <v>46227</v>
      </c>
      <c r="AN524" s="36">
        <v>46176</v>
      </c>
      <c r="AO524" s="36">
        <v>46227</v>
      </c>
      <c r="AP524" s="36"/>
      <c r="AQ524" s="36">
        <v>46227</v>
      </c>
      <c r="AR524" s="36">
        <v>46227</v>
      </c>
      <c r="AS524" s="99">
        <v>46244</v>
      </c>
      <c r="AT524" s="99">
        <v>46250</v>
      </c>
      <c r="AU524" s="150"/>
      <c r="AV524" s="151"/>
      <c r="AW524" s="151"/>
      <c r="AX524" s="151"/>
      <c r="AY524" s="151"/>
    </row>
    <row r="525" spans="1:51" ht="18" customHeight="1">
      <c r="A525" s="40"/>
      <c r="B525" s="41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6">
        <v>46225</v>
      </c>
      <c r="AF525" s="46">
        <v>46217</v>
      </c>
      <c r="AG525" s="631" t="s">
        <v>1011</v>
      </c>
      <c r="AH525" s="631">
        <v>46224</v>
      </c>
      <c r="AI525" s="631"/>
      <c r="AJ525" s="46">
        <v>46182</v>
      </c>
      <c r="AK525" s="46">
        <v>46162</v>
      </c>
      <c r="AL525" s="46">
        <v>46227</v>
      </c>
      <c r="AM525" s="46" t="s">
        <v>254</v>
      </c>
      <c r="AN525" s="46" t="s">
        <v>254</v>
      </c>
      <c r="AO525" s="46">
        <v>46227</v>
      </c>
      <c r="AP525" s="46"/>
      <c r="AQ525" s="46" t="s">
        <v>1009</v>
      </c>
      <c r="AR525" s="46">
        <v>46227</v>
      </c>
      <c r="AS525" s="46"/>
      <c r="AT525" s="46"/>
      <c r="AU525" s="150"/>
      <c r="AV525" s="151"/>
      <c r="AW525" s="151"/>
      <c r="AX525" s="151"/>
      <c r="AY525" s="151"/>
    </row>
    <row r="526" spans="1:51" ht="18.75" customHeight="1">
      <c r="A526" s="160">
        <v>813405</v>
      </c>
      <c r="B526" s="29" t="s">
        <v>987</v>
      </c>
      <c r="C526" s="634" t="s">
        <v>1000</v>
      </c>
      <c r="D526" s="635"/>
      <c r="E526" s="636"/>
      <c r="F526" s="31" t="s">
        <v>43</v>
      </c>
      <c r="G526" s="33">
        <v>80</v>
      </c>
      <c r="H526" s="33">
        <v>150</v>
      </c>
      <c r="I526" s="34">
        <v>3</v>
      </c>
      <c r="J526" s="619" t="s">
        <v>988</v>
      </c>
      <c r="K526" s="31"/>
      <c r="L526" s="161"/>
      <c r="M526" s="30"/>
      <c r="N526" s="30"/>
      <c r="O526" s="30"/>
      <c r="P526" s="30"/>
      <c r="Q526" s="30"/>
      <c r="R526" s="30"/>
      <c r="S526" s="30"/>
      <c r="T526" s="29"/>
      <c r="U526" s="30"/>
      <c r="V526" s="35"/>
      <c r="W526" s="35"/>
      <c r="X526" s="35"/>
      <c r="Y526" s="35"/>
      <c r="Z526" s="31"/>
      <c r="AA526" s="31"/>
      <c r="AB526" s="31"/>
      <c r="AC526" s="37"/>
      <c r="AD526" s="31"/>
      <c r="AE526" s="36">
        <v>46218</v>
      </c>
      <c r="AF526" s="36">
        <v>46218</v>
      </c>
      <c r="AG526" s="36">
        <v>46218</v>
      </c>
      <c r="AH526" s="36">
        <v>46218</v>
      </c>
      <c r="AI526" s="36">
        <v>46237</v>
      </c>
      <c r="AJ526" s="36">
        <v>46223</v>
      </c>
      <c r="AK526" s="36">
        <v>46195</v>
      </c>
      <c r="AL526" s="36">
        <v>46244</v>
      </c>
      <c r="AM526" s="36">
        <v>46230</v>
      </c>
      <c r="AN526" s="36">
        <v>46218</v>
      </c>
      <c r="AO526" s="36">
        <v>46244</v>
      </c>
      <c r="AP526" s="36"/>
      <c r="AQ526" s="36">
        <v>46244</v>
      </c>
      <c r="AR526" s="36">
        <v>46244</v>
      </c>
      <c r="AS526" s="36">
        <v>46244</v>
      </c>
      <c r="AT526" s="36">
        <v>46244</v>
      </c>
      <c r="AU526" s="47" t="s">
        <v>991</v>
      </c>
      <c r="AV526" s="151"/>
      <c r="AW526" s="151"/>
      <c r="AX526" s="151"/>
      <c r="AY526" s="151"/>
    </row>
    <row r="527" spans="1:51" ht="18" customHeight="1">
      <c r="A527" s="40"/>
      <c r="B527" s="41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6">
        <v>46225</v>
      </c>
      <c r="AF527" s="46">
        <v>46233</v>
      </c>
      <c r="AG527" s="46">
        <v>46233</v>
      </c>
      <c r="AH527" s="46">
        <v>46233</v>
      </c>
      <c r="AI527" s="46">
        <v>46237</v>
      </c>
      <c r="AJ527" s="46">
        <v>46230</v>
      </c>
      <c r="AK527" s="46">
        <v>46227</v>
      </c>
      <c r="AL527" s="46"/>
      <c r="AM527" s="46" t="s">
        <v>1012</v>
      </c>
      <c r="AN527" s="46">
        <v>46211</v>
      </c>
      <c r="AO527" s="46"/>
      <c r="AP527" s="46"/>
      <c r="AQ527" s="46"/>
      <c r="AR527" s="46"/>
      <c r="AS527" s="46"/>
      <c r="AT527" s="46"/>
      <c r="AU527" s="150"/>
      <c r="AV527" s="151"/>
      <c r="AW527" s="151"/>
      <c r="AX527" s="151"/>
      <c r="AY527" s="151"/>
    </row>
    <row r="528" spans="1:51" ht="18.75" customHeight="1">
      <c r="A528" s="149">
        <v>813137</v>
      </c>
      <c r="B528" s="29">
        <v>813137</v>
      </c>
      <c r="C528" s="30" t="s">
        <v>731</v>
      </c>
      <c r="D528" s="30"/>
      <c r="E528" s="30"/>
      <c r="F528" s="31" t="s">
        <v>43</v>
      </c>
      <c r="G528" s="33">
        <v>80</v>
      </c>
      <c r="H528" s="33">
        <v>230</v>
      </c>
      <c r="I528" s="34">
        <v>1</v>
      </c>
      <c r="J528" s="489" t="s">
        <v>696</v>
      </c>
      <c r="K528" s="31" t="s">
        <v>66</v>
      </c>
      <c r="L528" s="161" t="s">
        <v>800</v>
      </c>
      <c r="M528" s="30"/>
      <c r="N528" s="30" t="s">
        <v>426</v>
      </c>
      <c r="O528" s="30"/>
      <c r="P528" s="30" t="s">
        <v>707</v>
      </c>
      <c r="Q528" s="30"/>
      <c r="R528" s="30" t="s">
        <v>72</v>
      </c>
      <c r="S528" s="30"/>
      <c r="T528" s="29"/>
      <c r="U528" s="30"/>
      <c r="V528" s="35">
        <v>46153</v>
      </c>
      <c r="W528" s="35">
        <v>46167</v>
      </c>
      <c r="X528" s="35">
        <v>46160</v>
      </c>
      <c r="Y528" s="35">
        <v>46174</v>
      </c>
      <c r="Z528" s="31"/>
      <c r="AA528" s="31"/>
      <c r="AB528" s="31"/>
      <c r="AC528" s="37">
        <v>3</v>
      </c>
      <c r="AD528" s="31"/>
      <c r="AE528" s="36">
        <v>46213</v>
      </c>
      <c r="AF528" s="99">
        <v>46238</v>
      </c>
      <c r="AG528" s="36">
        <v>46223</v>
      </c>
      <c r="AH528" s="36">
        <v>46223</v>
      </c>
      <c r="AI528" s="36">
        <v>46234</v>
      </c>
      <c r="AJ528" s="36">
        <v>46134</v>
      </c>
      <c r="AK528" s="36">
        <v>46134</v>
      </c>
      <c r="AL528" s="36">
        <v>46234</v>
      </c>
      <c r="AM528" s="36">
        <v>46234</v>
      </c>
      <c r="AN528" s="36">
        <v>46178</v>
      </c>
      <c r="AO528" s="36">
        <v>46234</v>
      </c>
      <c r="AP528" s="36"/>
      <c r="AQ528" s="36">
        <v>46234</v>
      </c>
      <c r="AR528" s="36">
        <v>46234</v>
      </c>
      <c r="AS528" s="99">
        <v>46244</v>
      </c>
      <c r="AT528" s="36">
        <v>46249</v>
      </c>
      <c r="AU528" s="150"/>
      <c r="AV528" s="151"/>
      <c r="AW528" s="151"/>
      <c r="AX528" s="151"/>
      <c r="AY528" s="151"/>
    </row>
    <row r="529" spans="1:51" ht="18" customHeight="1">
      <c r="A529" s="40"/>
      <c r="B529" s="41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6">
        <v>46208</v>
      </c>
      <c r="AF529" s="46" t="s">
        <v>700</v>
      </c>
      <c r="AG529" s="46" t="s">
        <v>1013</v>
      </c>
      <c r="AH529" s="46">
        <v>46234</v>
      </c>
      <c r="AI529" s="46"/>
      <c r="AJ529" s="46">
        <v>46134</v>
      </c>
      <c r="AK529" s="46">
        <v>46148</v>
      </c>
      <c r="AL529" s="46">
        <v>46234</v>
      </c>
      <c r="AM529" s="46" t="s">
        <v>254</v>
      </c>
      <c r="AN529" s="46" t="s">
        <v>254</v>
      </c>
      <c r="AO529" s="46">
        <v>46234</v>
      </c>
      <c r="AP529" s="46"/>
      <c r="AQ529" s="46">
        <v>46234</v>
      </c>
      <c r="AR529" s="46">
        <v>46234</v>
      </c>
      <c r="AS529" s="46"/>
      <c r="AT529" s="46"/>
      <c r="AU529" s="150"/>
      <c r="AV529" s="151"/>
      <c r="AW529" s="151"/>
      <c r="AX529" s="151"/>
      <c r="AY529" s="151"/>
    </row>
    <row r="530" spans="1:51" ht="18.75" customHeight="1">
      <c r="A530" s="294">
        <v>813201</v>
      </c>
      <c r="B530" s="29">
        <v>813201</v>
      </c>
      <c r="C530" s="30" t="s">
        <v>731</v>
      </c>
      <c r="D530" s="30"/>
      <c r="E530" s="30"/>
      <c r="F530" s="31" t="s">
        <v>43</v>
      </c>
      <c r="G530" s="33">
        <v>460</v>
      </c>
      <c r="H530" s="33">
        <v>430</v>
      </c>
      <c r="I530" s="34">
        <v>1</v>
      </c>
      <c r="J530" s="510" t="s">
        <v>761</v>
      </c>
      <c r="K530" s="31" t="s">
        <v>384</v>
      </c>
      <c r="L530" s="161" t="s">
        <v>805</v>
      </c>
      <c r="M530" s="30"/>
      <c r="N530" s="30" t="s">
        <v>426</v>
      </c>
      <c r="O530" s="30"/>
      <c r="P530" s="30" t="s">
        <v>807</v>
      </c>
      <c r="Q530" s="29" t="s">
        <v>808</v>
      </c>
      <c r="R530" s="30" t="s">
        <v>72</v>
      </c>
      <c r="S530" s="30" t="s">
        <v>361</v>
      </c>
      <c r="T530" s="29"/>
      <c r="U530" s="30" t="s">
        <v>72</v>
      </c>
      <c r="V530" s="36">
        <v>45904</v>
      </c>
      <c r="W530" s="36" t="s">
        <v>882</v>
      </c>
      <c r="X530" s="36">
        <v>45905</v>
      </c>
      <c r="Y530" s="36" t="s">
        <v>882</v>
      </c>
      <c r="Z530" s="31" t="s">
        <v>72</v>
      </c>
      <c r="AA530" s="31"/>
      <c r="AB530" s="31"/>
      <c r="AC530" s="37"/>
      <c r="AD530" s="31"/>
      <c r="AE530" s="36">
        <v>46218</v>
      </c>
      <c r="AF530" s="36">
        <v>46230</v>
      </c>
      <c r="AG530" s="36">
        <v>46230</v>
      </c>
      <c r="AH530" s="36">
        <v>46230</v>
      </c>
      <c r="AI530" s="36">
        <v>46234</v>
      </c>
      <c r="AJ530" s="36">
        <v>46120</v>
      </c>
      <c r="AK530" s="36">
        <v>46120</v>
      </c>
      <c r="AL530" s="36">
        <v>46234</v>
      </c>
      <c r="AM530" s="36">
        <v>46234</v>
      </c>
      <c r="AN530" s="36">
        <v>46185</v>
      </c>
      <c r="AO530" s="36">
        <v>46234</v>
      </c>
      <c r="AP530" s="36"/>
      <c r="AQ530" s="36">
        <v>46234</v>
      </c>
      <c r="AR530" s="36">
        <v>46234</v>
      </c>
      <c r="AS530" s="99">
        <v>46239</v>
      </c>
      <c r="AT530" s="502">
        <v>46240</v>
      </c>
      <c r="AU530" s="150"/>
      <c r="AV530" s="151"/>
      <c r="AW530" s="151"/>
      <c r="AX530" s="151"/>
      <c r="AY530" s="151"/>
    </row>
    <row r="531" spans="1:51" ht="18" customHeight="1">
      <c r="A531" s="227"/>
      <c r="B531" s="41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6">
        <v>46225</v>
      </c>
      <c r="AF531" s="46">
        <v>46225</v>
      </c>
      <c r="AG531" s="46">
        <v>46234</v>
      </c>
      <c r="AH531" s="46">
        <v>46246</v>
      </c>
      <c r="AI531" s="46"/>
      <c r="AJ531" s="46">
        <v>45888</v>
      </c>
      <c r="AK531" s="46">
        <v>46044</v>
      </c>
      <c r="AL531" s="46">
        <v>46234</v>
      </c>
      <c r="AM531" s="46">
        <v>46234</v>
      </c>
      <c r="AN531" s="46">
        <v>46185</v>
      </c>
      <c r="AO531" s="46" t="s">
        <v>1018</v>
      </c>
      <c r="AP531" s="46"/>
      <c r="AQ531" s="46" t="s">
        <v>1018</v>
      </c>
      <c r="AR531" s="46" t="s">
        <v>1014</v>
      </c>
      <c r="AS531" s="46"/>
      <c r="AT531" s="46"/>
      <c r="AU531" s="150"/>
      <c r="AV531" s="151"/>
      <c r="AW531" s="151"/>
      <c r="AX531" s="151"/>
      <c r="AY531" s="151"/>
    </row>
    <row r="532" spans="1:51" ht="18.75" customHeight="1">
      <c r="A532" s="622">
        <v>813320</v>
      </c>
      <c r="B532" s="29">
        <v>813320</v>
      </c>
      <c r="C532" s="30" t="s">
        <v>731</v>
      </c>
      <c r="D532" s="30"/>
      <c r="E532" s="30"/>
      <c r="F532" s="31" t="s">
        <v>43</v>
      </c>
      <c r="G532" s="33" t="s">
        <v>922</v>
      </c>
      <c r="H532" s="33">
        <v>400</v>
      </c>
      <c r="I532" s="34">
        <v>1</v>
      </c>
      <c r="J532" s="572" t="s">
        <v>906</v>
      </c>
      <c r="K532" s="31" t="s">
        <v>108</v>
      </c>
      <c r="L532" s="161" t="s">
        <v>805</v>
      </c>
      <c r="M532" s="30"/>
      <c r="N532" s="30"/>
      <c r="O532" s="30"/>
      <c r="P532" s="30"/>
      <c r="Q532" s="30"/>
      <c r="R532" s="30"/>
      <c r="S532" s="30"/>
      <c r="T532" s="29"/>
      <c r="U532" s="30"/>
      <c r="V532" s="36">
        <v>46147</v>
      </c>
      <c r="W532" s="36">
        <f>V532+15</f>
        <v>46162</v>
      </c>
      <c r="X532" s="36">
        <v>46147</v>
      </c>
      <c r="Y532" s="36">
        <f>X532+15</f>
        <v>46162</v>
      </c>
      <c r="Z532" s="31"/>
      <c r="AA532" s="31"/>
      <c r="AB532" s="31"/>
      <c r="AC532" s="37"/>
      <c r="AD532" s="31"/>
      <c r="AE532" s="36">
        <v>46233</v>
      </c>
      <c r="AF532" s="99">
        <v>46238</v>
      </c>
      <c r="AG532" s="36">
        <v>46234</v>
      </c>
      <c r="AH532" s="36">
        <v>46234</v>
      </c>
      <c r="AI532" s="36">
        <v>46234</v>
      </c>
      <c r="AJ532" s="36">
        <v>46135</v>
      </c>
      <c r="AK532" s="36">
        <v>46135</v>
      </c>
      <c r="AL532" s="36">
        <v>46234</v>
      </c>
      <c r="AM532" s="36">
        <v>46234</v>
      </c>
      <c r="AN532" s="36">
        <v>46234</v>
      </c>
      <c r="AO532" s="36">
        <v>46234</v>
      </c>
      <c r="AP532" s="36"/>
      <c r="AQ532" s="36">
        <v>46234</v>
      </c>
      <c r="AR532" s="36">
        <v>46234</v>
      </c>
      <c r="AS532" s="99">
        <v>46239</v>
      </c>
      <c r="AT532" s="36">
        <v>46243</v>
      </c>
      <c r="AU532" s="150"/>
      <c r="AV532" s="151"/>
      <c r="AW532" s="151"/>
      <c r="AX532" s="151"/>
      <c r="AY532" s="151"/>
    </row>
    <row r="533" spans="1:51" ht="18" customHeight="1" thickBot="1">
      <c r="A533" s="40"/>
      <c r="B533" s="41"/>
      <c r="C533" s="42"/>
      <c r="D533" s="42"/>
      <c r="E533" s="42"/>
      <c r="F533" s="43" t="s">
        <v>48</v>
      </c>
      <c r="G533" s="59"/>
      <c r="H533" s="59"/>
      <c r="I533" s="44"/>
      <c r="J533" s="52"/>
      <c r="K533" s="53"/>
      <c r="L533" s="537"/>
      <c r="M533" s="42"/>
      <c r="N533" s="42"/>
      <c r="O533" s="42"/>
      <c r="P533" s="42"/>
      <c r="Q533" s="42"/>
      <c r="R533" s="42"/>
      <c r="S533" s="42"/>
      <c r="T533" s="41"/>
      <c r="U533" s="42"/>
      <c r="V533" s="116"/>
      <c r="W533" s="116"/>
      <c r="X533" s="116"/>
      <c r="Y533" s="116" t="s">
        <v>700</v>
      </c>
      <c r="Z533" s="43"/>
      <c r="AA533" s="43"/>
      <c r="AB533" s="43"/>
      <c r="AC533" s="54"/>
      <c r="AD533" s="43"/>
      <c r="AE533" s="46">
        <v>46225</v>
      </c>
      <c r="AF533" s="46">
        <v>46238</v>
      </c>
      <c r="AG533" s="46"/>
      <c r="AH533" s="46">
        <v>46255</v>
      </c>
      <c r="AI533" s="46"/>
      <c r="AJ533" s="46">
        <v>46133</v>
      </c>
      <c r="AK533" s="46">
        <v>46133</v>
      </c>
      <c r="AL533" s="46">
        <v>46234</v>
      </c>
      <c r="AM533" s="46">
        <v>46234</v>
      </c>
      <c r="AN533" s="46">
        <v>46234</v>
      </c>
      <c r="AO533" s="46">
        <v>46234</v>
      </c>
      <c r="AP533" s="46"/>
      <c r="AQ533" s="46">
        <v>46234</v>
      </c>
      <c r="AR533" s="46">
        <v>46234</v>
      </c>
      <c r="AS533" s="46"/>
      <c r="AT533" s="46"/>
      <c r="AU533" s="194"/>
      <c r="AV533" s="151"/>
      <c r="AW533" s="151"/>
      <c r="AX533" s="151"/>
      <c r="AY533" s="151"/>
    </row>
    <row r="534" spans="1:51" ht="16.5" customHeight="1" thickBot="1">
      <c r="A534" s="364"/>
      <c r="B534" s="364"/>
      <c r="C534" s="364"/>
      <c r="D534" s="364"/>
      <c r="E534" s="364"/>
      <c r="F534" s="364"/>
      <c r="G534" s="364"/>
      <c r="H534" s="364"/>
      <c r="I534" s="364"/>
      <c r="J534" s="364"/>
      <c r="K534" s="364"/>
      <c r="L534" s="364"/>
      <c r="M534" s="364"/>
      <c r="N534" s="364"/>
      <c r="O534" s="364"/>
      <c r="P534" s="364"/>
      <c r="Q534" s="364"/>
      <c r="R534" s="364"/>
      <c r="S534" s="364"/>
      <c r="T534" s="364"/>
      <c r="U534" s="364"/>
      <c r="V534" s="364"/>
      <c r="W534" s="364"/>
      <c r="X534" s="364"/>
      <c r="Y534" s="364"/>
      <c r="Z534" s="364"/>
      <c r="AA534" s="364"/>
      <c r="AB534" s="364"/>
      <c r="AC534" s="364"/>
      <c r="AD534" s="364"/>
      <c r="AE534" s="364"/>
      <c r="AF534" s="364"/>
      <c r="AG534" s="364"/>
      <c r="AH534" s="364"/>
      <c r="AI534" s="364"/>
      <c r="AJ534" s="364"/>
      <c r="AK534" s="364"/>
      <c r="AL534" s="364"/>
      <c r="AM534" s="364"/>
      <c r="AN534" s="364"/>
      <c r="AO534" s="364"/>
      <c r="AP534" s="364"/>
      <c r="AQ534" s="364"/>
      <c r="AR534" s="364"/>
      <c r="AS534" s="364"/>
      <c r="AT534" s="364"/>
      <c r="AU534" s="371"/>
      <c r="AV534" s="27"/>
      <c r="AW534" s="27"/>
      <c r="AX534" s="27"/>
      <c r="AY534" s="27"/>
    </row>
    <row r="535" spans="1:51" ht="24" customHeight="1">
      <c r="A535" s="160">
        <v>850858</v>
      </c>
      <c r="B535" s="29">
        <v>850858</v>
      </c>
      <c r="C535" s="30" t="s">
        <v>731</v>
      </c>
      <c r="D535" s="30"/>
      <c r="E535" s="30"/>
      <c r="F535" s="31" t="s">
        <v>43</v>
      </c>
      <c r="G535" s="33">
        <v>240</v>
      </c>
      <c r="H535" s="33">
        <v>220</v>
      </c>
      <c r="I535" s="34">
        <v>1</v>
      </c>
      <c r="J535" s="632" t="s">
        <v>1015</v>
      </c>
      <c r="K535" s="31" t="s">
        <v>1016</v>
      </c>
      <c r="L535" s="161" t="s">
        <v>804</v>
      </c>
      <c r="M535" s="30"/>
      <c r="N535" s="30"/>
      <c r="O535" s="30"/>
      <c r="P535" s="30"/>
      <c r="Q535" s="30"/>
      <c r="R535" s="30"/>
      <c r="S535" s="30"/>
      <c r="T535" s="29"/>
      <c r="U535" s="30"/>
      <c r="V535" s="35"/>
      <c r="W535" s="35"/>
      <c r="X535" s="35"/>
      <c r="Y535" s="35"/>
      <c r="Z535" s="532" t="s">
        <v>1017</v>
      </c>
      <c r="AA535" s="31"/>
      <c r="AB535" s="31"/>
      <c r="AC535" s="37"/>
      <c r="AD535" s="31" t="s">
        <v>72</v>
      </c>
      <c r="AE535" s="36">
        <v>46238</v>
      </c>
      <c r="AF535" s="99" t="s">
        <v>1020</v>
      </c>
      <c r="AG535" s="36">
        <v>46240</v>
      </c>
      <c r="AH535" s="36">
        <v>46240</v>
      </c>
      <c r="AI535" s="36">
        <v>46259</v>
      </c>
      <c r="AJ535" s="36">
        <v>46237</v>
      </c>
      <c r="AK535" s="36">
        <v>46227</v>
      </c>
      <c r="AL535" s="36">
        <v>46259</v>
      </c>
      <c r="AM535" s="36">
        <v>46259</v>
      </c>
      <c r="AN535" s="36">
        <v>46243</v>
      </c>
      <c r="AO535" s="36">
        <v>46259</v>
      </c>
      <c r="AP535" s="36"/>
      <c r="AQ535" s="36">
        <v>46259</v>
      </c>
      <c r="AR535" s="36">
        <v>46259</v>
      </c>
      <c r="AS535" s="36">
        <v>46259</v>
      </c>
      <c r="AT535" s="587">
        <v>46262</v>
      </c>
      <c r="AU535" s="195"/>
      <c r="AV535" s="151"/>
      <c r="AW535" s="151"/>
      <c r="AX535" s="151"/>
      <c r="AY535" s="151"/>
    </row>
    <row r="536" spans="1:51" ht="18" customHeight="1">
      <c r="A536" s="571"/>
      <c r="B536" s="71" t="s">
        <v>509</v>
      </c>
      <c r="C536" s="42"/>
      <c r="D536" s="42"/>
      <c r="E536" s="42"/>
      <c r="F536" s="42"/>
      <c r="G536" s="59"/>
      <c r="H536" s="59"/>
      <c r="I536" s="44"/>
      <c r="J536" s="52"/>
      <c r="K536" s="53"/>
      <c r="L536" s="537"/>
      <c r="M536" s="42"/>
      <c r="N536" s="42"/>
      <c r="O536" s="42"/>
      <c r="P536" s="42"/>
      <c r="Q536" s="42"/>
      <c r="R536" s="42"/>
      <c r="S536" s="42"/>
      <c r="T536" s="41"/>
      <c r="U536" s="42"/>
      <c r="V536" s="53"/>
      <c r="W536" s="53"/>
      <c r="X536" s="53"/>
      <c r="Y536" s="53"/>
      <c r="Z536" s="43"/>
      <c r="AA536" s="43"/>
      <c r="AB536" s="43"/>
      <c r="AC536" s="54"/>
      <c r="AD536" s="46"/>
      <c r="AE536" s="43">
        <v>46237</v>
      </c>
      <c r="AF536" s="46"/>
      <c r="AG536" s="46"/>
      <c r="AH536" s="46"/>
      <c r="AI536" s="46"/>
      <c r="AJ536" s="46" t="s">
        <v>1025</v>
      </c>
      <c r="AK536" s="46" t="s">
        <v>502</v>
      </c>
      <c r="AL536" s="46"/>
      <c r="AM536" s="46"/>
      <c r="AN536" s="46" t="s">
        <v>254</v>
      </c>
      <c r="AO536" s="46"/>
      <c r="AP536" s="46"/>
      <c r="AQ536" s="46"/>
      <c r="AR536" s="46"/>
      <c r="AS536" s="46"/>
      <c r="AT536" s="588"/>
      <c r="AU536" s="150"/>
      <c r="AV536" s="151"/>
      <c r="AW536" s="151"/>
      <c r="AX536" s="151"/>
      <c r="AY536" s="151"/>
    </row>
    <row r="537" spans="1:51" ht="22.5" customHeight="1">
      <c r="A537" s="591">
        <v>813375</v>
      </c>
      <c r="B537" s="29" t="s">
        <v>964</v>
      </c>
      <c r="C537" s="30" t="s">
        <v>731</v>
      </c>
      <c r="D537" s="30"/>
      <c r="E537" s="30"/>
      <c r="F537" s="31" t="s">
        <v>43</v>
      </c>
      <c r="G537" s="33">
        <v>700</v>
      </c>
      <c r="H537" s="33">
        <v>750</v>
      </c>
      <c r="I537" s="34">
        <v>6</v>
      </c>
      <c r="J537" s="614" t="s">
        <v>959</v>
      </c>
      <c r="K537" s="31" t="s">
        <v>45</v>
      </c>
      <c r="L537" s="161" t="s">
        <v>802</v>
      </c>
      <c r="M537" s="30"/>
      <c r="N537" s="30"/>
      <c r="O537" s="30"/>
      <c r="P537" s="30"/>
      <c r="Q537" s="30"/>
      <c r="R537" s="30"/>
      <c r="S537" s="30"/>
      <c r="T537" s="29"/>
      <c r="U537" s="30"/>
      <c r="V537" s="35"/>
      <c r="W537" s="35"/>
      <c r="X537" s="35"/>
      <c r="Y537" s="35"/>
      <c r="Z537" s="31"/>
      <c r="AA537" s="31"/>
      <c r="AB537" s="31"/>
      <c r="AC537" s="37"/>
      <c r="AD537" s="31"/>
      <c r="AE537" s="99">
        <v>46239</v>
      </c>
      <c r="AF537" s="99">
        <v>46249</v>
      </c>
      <c r="AG537" s="99">
        <v>46249</v>
      </c>
      <c r="AH537" s="99">
        <v>46260</v>
      </c>
      <c r="AI537" s="36">
        <v>46254</v>
      </c>
      <c r="AJ537" s="36">
        <v>46173</v>
      </c>
      <c r="AK537" s="36">
        <v>46154</v>
      </c>
      <c r="AL537" s="36">
        <v>46254</v>
      </c>
      <c r="AM537" s="36">
        <v>46254</v>
      </c>
      <c r="AN537" s="36">
        <v>46191</v>
      </c>
      <c r="AO537" s="36" t="s">
        <v>81</v>
      </c>
      <c r="AP537" s="38" t="s">
        <v>1019</v>
      </c>
      <c r="AQ537" s="36" t="s">
        <v>81</v>
      </c>
      <c r="AR537" s="36">
        <v>46254</v>
      </c>
      <c r="AS537" s="36">
        <v>46254</v>
      </c>
      <c r="AT537" s="587">
        <v>46258</v>
      </c>
      <c r="AU537" s="150"/>
      <c r="AV537" s="151"/>
      <c r="AW537" s="151"/>
      <c r="AX537" s="151"/>
      <c r="AY537" s="151"/>
    </row>
    <row r="538" spans="1:51" ht="22.5" customHeight="1">
      <c r="A538" s="40"/>
      <c r="B538" s="41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3">
        <v>46237</v>
      </c>
      <c r="AF538" s="42"/>
      <c r="AG538" s="42"/>
      <c r="AH538" s="46"/>
      <c r="AI538" s="46" t="s">
        <v>1022</v>
      </c>
      <c r="AJ538" s="46">
        <v>46191</v>
      </c>
      <c r="AK538" s="46">
        <v>46154</v>
      </c>
      <c r="AL538" s="46"/>
      <c r="AM538" s="46"/>
      <c r="AN538" s="46">
        <v>46191</v>
      </c>
      <c r="AO538" s="46"/>
      <c r="AP538" s="46">
        <v>46239</v>
      </c>
      <c r="AQ538" s="46"/>
      <c r="AR538" s="46"/>
      <c r="AS538" s="46"/>
      <c r="AT538" s="588"/>
      <c r="AU538" s="150"/>
      <c r="AV538" s="151"/>
      <c r="AW538" s="151"/>
      <c r="AX538" s="151"/>
      <c r="AY538" s="151"/>
    </row>
    <row r="539" spans="1:51" ht="18.75" customHeight="1">
      <c r="A539" s="603">
        <v>813352</v>
      </c>
      <c r="B539" s="29" t="s">
        <v>940</v>
      </c>
      <c r="C539" s="30" t="s">
        <v>173</v>
      </c>
      <c r="D539" s="153">
        <v>1</v>
      </c>
      <c r="E539" s="153">
        <v>0.9</v>
      </c>
      <c r="F539" s="31" t="s">
        <v>43</v>
      </c>
      <c r="G539" s="33">
        <v>250</v>
      </c>
      <c r="H539" s="33">
        <v>225</v>
      </c>
      <c r="I539" s="34">
        <v>4</v>
      </c>
      <c r="J539" s="589" t="s">
        <v>941</v>
      </c>
      <c r="K539" s="31" t="s">
        <v>231</v>
      </c>
      <c r="L539" s="161"/>
      <c r="M539" s="30"/>
      <c r="N539" s="30"/>
      <c r="O539" s="30"/>
      <c r="P539" s="30"/>
      <c r="Q539" s="30"/>
      <c r="R539" s="30"/>
      <c r="S539" s="30"/>
      <c r="T539" s="29"/>
      <c r="U539" s="30"/>
      <c r="V539" s="35"/>
      <c r="W539" s="35"/>
      <c r="X539" s="35"/>
      <c r="Y539" s="35"/>
      <c r="Z539" s="31"/>
      <c r="AA539" s="31"/>
      <c r="AB539" s="31"/>
      <c r="AC539" s="37"/>
      <c r="AD539" s="31"/>
      <c r="AE539" s="36">
        <v>46260</v>
      </c>
      <c r="AF539" s="36">
        <v>46248</v>
      </c>
      <c r="AG539" s="36">
        <v>46248</v>
      </c>
      <c r="AH539" s="36">
        <v>46248</v>
      </c>
      <c r="AI539" s="36">
        <v>46258</v>
      </c>
      <c r="AJ539" s="36">
        <v>46132</v>
      </c>
      <c r="AK539" s="36">
        <v>46132</v>
      </c>
      <c r="AL539" s="36">
        <v>46258</v>
      </c>
      <c r="AM539" s="36">
        <v>46258</v>
      </c>
      <c r="AN539" s="36">
        <v>46244</v>
      </c>
      <c r="AO539" s="36">
        <v>46258</v>
      </c>
      <c r="AP539" s="36"/>
      <c r="AQ539" s="36">
        <v>46258</v>
      </c>
      <c r="AR539" s="38">
        <v>46240</v>
      </c>
      <c r="AS539" s="38">
        <v>46240</v>
      </c>
      <c r="AT539" s="587">
        <v>46261</v>
      </c>
      <c r="AU539" s="150"/>
      <c r="AV539" s="151"/>
      <c r="AW539" s="151"/>
      <c r="AX539" s="151"/>
      <c r="AY539" s="151"/>
    </row>
    <row r="540" spans="1:51" ht="22.5" customHeight="1">
      <c r="A540" s="592"/>
      <c r="B540" s="41"/>
      <c r="C540" s="42">
        <v>813267</v>
      </c>
      <c r="D540" s="42"/>
      <c r="E540" s="42"/>
      <c r="F540" s="43" t="s">
        <v>48</v>
      </c>
      <c r="G540" s="59"/>
      <c r="H540" s="59"/>
      <c r="I540" s="44"/>
      <c r="J540" s="52"/>
      <c r="K540" s="53"/>
      <c r="L540" s="537"/>
      <c r="M540" s="42"/>
      <c r="N540" s="42"/>
      <c r="O540" s="42"/>
      <c r="P540" s="42"/>
      <c r="Q540" s="42"/>
      <c r="R540" s="42"/>
      <c r="S540" s="42"/>
      <c r="T540" s="41"/>
      <c r="U540" s="42"/>
      <c r="V540" s="53"/>
      <c r="W540" s="53"/>
      <c r="X540" s="53"/>
      <c r="Y540" s="53"/>
      <c r="Z540" s="43"/>
      <c r="AA540" s="43"/>
      <c r="AB540" s="43"/>
      <c r="AC540" s="54"/>
      <c r="AD540" s="43"/>
      <c r="AE540" s="43">
        <v>46237</v>
      </c>
      <c r="AF540" s="43">
        <v>46237</v>
      </c>
      <c r="AG540" s="46"/>
      <c r="AH540" s="46"/>
      <c r="AI540" s="46"/>
      <c r="AJ540" s="46">
        <v>46132</v>
      </c>
      <c r="AK540" s="46">
        <v>46112</v>
      </c>
      <c r="AL540" s="46"/>
      <c r="AM540" s="46"/>
      <c r="AN540" s="46">
        <v>46244</v>
      </c>
      <c r="AO540" s="46"/>
      <c r="AP540" s="46"/>
      <c r="AQ540" s="46"/>
      <c r="AR540" s="640" t="s">
        <v>1024</v>
      </c>
      <c r="AS540" s="641"/>
      <c r="AT540" s="588"/>
      <c r="AU540" s="150"/>
      <c r="AV540" s="151"/>
      <c r="AW540" s="151"/>
      <c r="AX540" s="151"/>
      <c r="AY540" s="151"/>
    </row>
    <row r="541" spans="1:51" ht="18.75" customHeight="1">
      <c r="A541" s="591">
        <v>813135</v>
      </c>
      <c r="B541" s="325">
        <v>813135</v>
      </c>
      <c r="C541" s="551" t="s">
        <v>731</v>
      </c>
      <c r="D541" s="551"/>
      <c r="E541" s="551"/>
      <c r="F541" s="623" t="s">
        <v>43</v>
      </c>
      <c r="G541" s="33">
        <v>200</v>
      </c>
      <c r="H541" s="33">
        <v>230</v>
      </c>
      <c r="I541" s="624">
        <v>1</v>
      </c>
      <c r="J541" s="489" t="s">
        <v>696</v>
      </c>
      <c r="K541" s="623" t="s">
        <v>66</v>
      </c>
      <c r="L541" s="625" t="s">
        <v>800</v>
      </c>
      <c r="M541" s="551"/>
      <c r="N541" s="551" t="s">
        <v>426</v>
      </c>
      <c r="O541" s="551"/>
      <c r="P541" s="551" t="s">
        <v>707</v>
      </c>
      <c r="Q541" s="551" t="s">
        <v>915</v>
      </c>
      <c r="R541" s="551" t="s">
        <v>72</v>
      </c>
      <c r="S541" s="551"/>
      <c r="T541" s="325"/>
      <c r="U541" s="551"/>
      <c r="V541" s="36">
        <v>45960</v>
      </c>
      <c r="W541" s="36">
        <f>V541+15</f>
        <v>45975</v>
      </c>
      <c r="X541" s="36">
        <v>45974</v>
      </c>
      <c r="Y541" s="36">
        <f>X541+15</f>
        <v>45989</v>
      </c>
      <c r="Z541" s="623"/>
      <c r="AA541" s="623" t="s">
        <v>72</v>
      </c>
      <c r="AB541" s="623" t="s">
        <v>994</v>
      </c>
      <c r="AC541" s="626">
        <v>2</v>
      </c>
      <c r="AD541" s="623"/>
      <c r="AE541" s="36">
        <v>46239</v>
      </c>
      <c r="AF541" s="36">
        <v>46251</v>
      </c>
      <c r="AG541" s="36">
        <v>46251</v>
      </c>
      <c r="AH541" s="36">
        <v>46251</v>
      </c>
      <c r="AI541" s="36">
        <v>46260</v>
      </c>
      <c r="AJ541" s="36">
        <v>46101</v>
      </c>
      <c r="AK541" s="36">
        <v>46101</v>
      </c>
      <c r="AL541" s="36">
        <v>46260</v>
      </c>
      <c r="AM541" s="36">
        <v>46260</v>
      </c>
      <c r="AN541" s="36">
        <v>46189</v>
      </c>
      <c r="AO541" s="36">
        <v>46260</v>
      </c>
      <c r="AP541" s="36"/>
      <c r="AQ541" s="36">
        <v>46260</v>
      </c>
      <c r="AR541" s="36">
        <v>46260</v>
      </c>
      <c r="AS541" s="36">
        <v>46260</v>
      </c>
      <c r="AT541" s="587">
        <v>46262</v>
      </c>
      <c r="AU541" s="47" t="s">
        <v>1006</v>
      </c>
      <c r="AV541" s="151"/>
      <c r="AW541" s="151"/>
      <c r="AX541" s="151"/>
      <c r="AY541" s="151"/>
    </row>
    <row r="542" spans="1:51" ht="18" customHeight="1">
      <c r="A542" s="592"/>
      <c r="B542" s="41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  <c r="AF542" s="46"/>
      <c r="AG542" s="46"/>
      <c r="AH542" s="46"/>
      <c r="AI542" s="46"/>
      <c r="AJ542" s="46">
        <v>46101</v>
      </c>
      <c r="AK542" s="46">
        <v>46148</v>
      </c>
      <c r="AL542" s="46"/>
      <c r="AM542" s="46"/>
      <c r="AN542" s="46" t="s">
        <v>254</v>
      </c>
      <c r="AO542" s="46"/>
      <c r="AP542" s="46"/>
      <c r="AQ542" s="46"/>
      <c r="AR542" s="46"/>
      <c r="AS542" s="46"/>
      <c r="AT542" s="588"/>
      <c r="AU542" s="150"/>
      <c r="AV542" s="151"/>
      <c r="AW542" s="151"/>
      <c r="AX542" s="151"/>
      <c r="AY542" s="151"/>
    </row>
    <row r="543" spans="1:51" ht="18.75" customHeight="1">
      <c r="A543" s="591">
        <v>813141</v>
      </c>
      <c r="B543" s="29">
        <v>813141</v>
      </c>
      <c r="C543" s="30" t="s">
        <v>731</v>
      </c>
      <c r="D543" s="30"/>
      <c r="E543" s="30"/>
      <c r="F543" s="31" t="s">
        <v>43</v>
      </c>
      <c r="G543" s="33">
        <v>66</v>
      </c>
      <c r="H543" s="33">
        <v>230</v>
      </c>
      <c r="I543" s="34">
        <v>1</v>
      </c>
      <c r="J543" s="489" t="s">
        <v>696</v>
      </c>
      <c r="K543" s="31" t="s">
        <v>77</v>
      </c>
      <c r="L543" s="161" t="s">
        <v>800</v>
      </c>
      <c r="M543" s="30"/>
      <c r="N543" s="30" t="s">
        <v>426</v>
      </c>
      <c r="O543" s="30"/>
      <c r="P543" s="30" t="s">
        <v>707</v>
      </c>
      <c r="Q543" s="30"/>
      <c r="R543" s="30" t="s">
        <v>72</v>
      </c>
      <c r="S543" s="30"/>
      <c r="T543" s="29"/>
      <c r="U543" s="30"/>
      <c r="V543" s="35">
        <v>46122</v>
      </c>
      <c r="W543" s="35">
        <v>46136</v>
      </c>
      <c r="X543" s="35">
        <v>46127</v>
      </c>
      <c r="Y543" s="35">
        <v>46141</v>
      </c>
      <c r="Z543" s="31"/>
      <c r="AA543" s="31" t="s">
        <v>72</v>
      </c>
      <c r="AB543" s="31" t="s">
        <v>730</v>
      </c>
      <c r="AC543" s="37">
        <v>3</v>
      </c>
      <c r="AD543" s="31"/>
      <c r="AE543" s="36">
        <v>46241</v>
      </c>
      <c r="AF543" s="36">
        <v>46258</v>
      </c>
      <c r="AG543" s="36">
        <v>46258</v>
      </c>
      <c r="AH543" s="36">
        <v>46258</v>
      </c>
      <c r="AI543" s="36">
        <v>46262</v>
      </c>
      <c r="AJ543" s="36">
        <v>46125</v>
      </c>
      <c r="AK543" s="36">
        <v>46125</v>
      </c>
      <c r="AL543" s="36">
        <v>46262</v>
      </c>
      <c r="AM543" s="36">
        <v>46262</v>
      </c>
      <c r="AN543" s="36">
        <v>46195</v>
      </c>
      <c r="AO543" s="36">
        <v>46262</v>
      </c>
      <c r="AP543" s="36"/>
      <c r="AQ543" s="36">
        <v>46262</v>
      </c>
      <c r="AR543" s="36">
        <v>46262</v>
      </c>
      <c r="AS543" s="36">
        <v>46262</v>
      </c>
      <c r="AT543" s="587">
        <v>46265</v>
      </c>
      <c r="AU543" s="150"/>
      <c r="AV543" s="151"/>
      <c r="AW543" s="151"/>
      <c r="AX543" s="151"/>
      <c r="AY543" s="151"/>
    </row>
    <row r="544" spans="1:51" ht="18" customHeight="1">
      <c r="A544" s="592"/>
      <c r="B544" s="41"/>
      <c r="C544" s="42"/>
      <c r="D544" s="42"/>
      <c r="E544" s="42"/>
      <c r="F544" s="43" t="s">
        <v>48</v>
      </c>
      <c r="G544" s="59"/>
      <c r="H544" s="59"/>
      <c r="I544" s="44"/>
      <c r="J544" s="44"/>
      <c r="K544" s="53"/>
      <c r="L544" s="537"/>
      <c r="M544" s="42"/>
      <c r="N544" s="42"/>
      <c r="O544" s="42"/>
      <c r="P544" s="42"/>
      <c r="Q544" s="42"/>
      <c r="R544" s="42"/>
      <c r="S544" s="42"/>
      <c r="T544" s="41"/>
      <c r="U544" s="42"/>
      <c r="V544" s="53"/>
      <c r="W544" s="53"/>
      <c r="X544" s="53"/>
      <c r="Y544" s="53"/>
      <c r="Z544" s="43"/>
      <c r="AA544" s="43"/>
      <c r="AB544" s="43"/>
      <c r="AC544" s="54"/>
      <c r="AD544" s="43"/>
      <c r="AE544" s="46"/>
      <c r="AF544" s="46"/>
      <c r="AG544" s="46"/>
      <c r="AH544" s="46"/>
      <c r="AI544" s="46"/>
      <c r="AJ544" s="46">
        <v>46125</v>
      </c>
      <c r="AK544" s="46">
        <v>46163</v>
      </c>
      <c r="AL544" s="46"/>
      <c r="AM544" s="46"/>
      <c r="AN544" s="46" t="s">
        <v>254</v>
      </c>
      <c r="AO544" s="46"/>
      <c r="AP544" s="46"/>
      <c r="AQ544" s="46"/>
      <c r="AR544" s="46"/>
      <c r="AS544" s="46"/>
      <c r="AT544" s="588"/>
      <c r="AU544" s="228"/>
      <c r="AV544" s="151"/>
      <c r="AW544" s="151"/>
      <c r="AX544" s="151"/>
      <c r="AY544" s="151"/>
    </row>
    <row r="545" spans="1:51" ht="18.75" customHeight="1">
      <c r="A545" s="160">
        <v>813391</v>
      </c>
      <c r="B545" s="29">
        <v>813391</v>
      </c>
      <c r="C545" s="30" t="s">
        <v>55</v>
      </c>
      <c r="D545" s="153">
        <v>0.9</v>
      </c>
      <c r="E545" s="153">
        <v>0.7</v>
      </c>
      <c r="F545" s="31" t="s">
        <v>43</v>
      </c>
      <c r="G545" s="33">
        <v>400</v>
      </c>
      <c r="H545" s="33">
        <v>400</v>
      </c>
      <c r="I545" s="34">
        <v>1</v>
      </c>
      <c r="J545" s="611" t="s">
        <v>977</v>
      </c>
      <c r="K545" s="31" t="s">
        <v>108</v>
      </c>
      <c r="L545" s="161"/>
      <c r="M545" s="30"/>
      <c r="N545" s="30"/>
      <c r="O545" s="30"/>
      <c r="P545" s="30"/>
      <c r="Q545" s="30"/>
      <c r="R545" s="30"/>
      <c r="S545" s="30"/>
      <c r="T545" s="29"/>
      <c r="U545" s="30"/>
      <c r="V545" s="35"/>
      <c r="W545" s="35"/>
      <c r="X545" s="35"/>
      <c r="Y545" s="35"/>
      <c r="Z545" s="31"/>
      <c r="AA545" s="31"/>
      <c r="AB545" s="31"/>
      <c r="AC545" s="37">
        <v>3</v>
      </c>
      <c r="AD545" s="31"/>
      <c r="AE545" s="36">
        <v>46251</v>
      </c>
      <c r="AF545" s="36">
        <v>46262</v>
      </c>
      <c r="AG545" s="36">
        <v>46262</v>
      </c>
      <c r="AH545" s="36">
        <v>46262</v>
      </c>
      <c r="AI545" s="36">
        <v>46265</v>
      </c>
      <c r="AJ545" s="36">
        <v>46183</v>
      </c>
      <c r="AK545" s="36">
        <v>46183</v>
      </c>
      <c r="AL545" s="36">
        <v>46262</v>
      </c>
      <c r="AM545" s="36">
        <v>46262</v>
      </c>
      <c r="AN545" s="36">
        <v>46237</v>
      </c>
      <c r="AO545" s="36">
        <v>46262</v>
      </c>
      <c r="AP545" s="36"/>
      <c r="AQ545" s="36">
        <v>46262</v>
      </c>
      <c r="AR545" s="36">
        <v>46262</v>
      </c>
      <c r="AS545" s="36">
        <v>46262</v>
      </c>
      <c r="AT545" s="587">
        <v>46265</v>
      </c>
      <c r="AU545" s="150"/>
      <c r="AV545" s="151"/>
      <c r="AW545" s="151"/>
      <c r="AX545" s="151"/>
      <c r="AY545" s="151"/>
    </row>
    <row r="546" spans="1:51" ht="18" customHeight="1">
      <c r="A546" s="40"/>
      <c r="B546" s="71" t="s">
        <v>509</v>
      </c>
      <c r="C546" s="42">
        <v>812925</v>
      </c>
      <c r="D546" s="42"/>
      <c r="E546" s="42"/>
      <c r="F546" s="43" t="s">
        <v>48</v>
      </c>
      <c r="G546" s="59"/>
      <c r="H546" s="59"/>
      <c r="I546" s="44"/>
      <c r="J546" s="52"/>
      <c r="K546" s="53"/>
      <c r="L546" s="537"/>
      <c r="M546" s="42"/>
      <c r="N546" s="42"/>
      <c r="O546" s="42"/>
      <c r="P546" s="42"/>
      <c r="Q546" s="42"/>
      <c r="R546" s="42"/>
      <c r="S546" s="42"/>
      <c r="T546" s="41"/>
      <c r="U546" s="42"/>
      <c r="V546" s="53"/>
      <c r="W546" s="53"/>
      <c r="X546" s="53"/>
      <c r="Y546" s="53"/>
      <c r="Z546" s="43"/>
      <c r="AA546" s="43"/>
      <c r="AB546" s="43"/>
      <c r="AC546" s="54"/>
      <c r="AD546" s="43"/>
      <c r="AE546" s="43">
        <v>46237</v>
      </c>
      <c r="AF546" s="43"/>
      <c r="AG546" s="46"/>
      <c r="AH546" s="46"/>
      <c r="AI546" s="46"/>
      <c r="AJ546" s="46">
        <v>46196</v>
      </c>
      <c r="AK546" s="46">
        <v>46183</v>
      </c>
      <c r="AL546" s="46"/>
      <c r="AM546" s="46"/>
      <c r="AN546" s="46" t="s">
        <v>254</v>
      </c>
      <c r="AO546" s="46"/>
      <c r="AP546" s="46"/>
      <c r="AQ546" s="46"/>
      <c r="AR546" s="46"/>
      <c r="AS546" s="46"/>
      <c r="AT546" s="588"/>
      <c r="AU546" s="150"/>
      <c r="AV546" s="151"/>
      <c r="AW546" s="151"/>
      <c r="AX546" s="151"/>
      <c r="AY546" s="151"/>
    </row>
    <row r="547" spans="1:51" ht="18.75" customHeight="1">
      <c r="A547" s="603">
        <v>813387</v>
      </c>
      <c r="B547" s="29" t="s">
        <v>969</v>
      </c>
      <c r="C547" s="30" t="s">
        <v>731</v>
      </c>
      <c r="D547" s="30"/>
      <c r="E547" s="30"/>
      <c r="F547" s="31" t="s">
        <v>43</v>
      </c>
      <c r="G547" s="33">
        <v>200</v>
      </c>
      <c r="H547" s="33">
        <v>220</v>
      </c>
      <c r="I547" s="34">
        <v>3</v>
      </c>
      <c r="J547" s="604" t="s">
        <v>978</v>
      </c>
      <c r="K547" s="31" t="s">
        <v>351</v>
      </c>
      <c r="L547" s="161"/>
      <c r="M547" s="30"/>
      <c r="N547" s="30"/>
      <c r="O547" s="30"/>
      <c r="P547" s="30"/>
      <c r="Q547" s="30"/>
      <c r="R547" s="30"/>
      <c r="S547" s="30"/>
      <c r="T547" s="29"/>
      <c r="U547" s="30"/>
      <c r="V547" s="35"/>
      <c r="W547" s="35"/>
      <c r="X547" s="35"/>
      <c r="Y547" s="35"/>
      <c r="Z547" s="31"/>
      <c r="AA547" s="31"/>
      <c r="AB547" s="31"/>
      <c r="AC547" s="37"/>
      <c r="AD547" s="31"/>
      <c r="AE547" s="36">
        <v>46254</v>
      </c>
      <c r="AF547" s="36">
        <v>46265</v>
      </c>
      <c r="AG547" s="36">
        <v>46265</v>
      </c>
      <c r="AH547" s="36">
        <v>46265</v>
      </c>
      <c r="AI547" s="36">
        <v>46265</v>
      </c>
      <c r="AJ547" s="36">
        <v>46182</v>
      </c>
      <c r="AK547" s="36">
        <v>46175</v>
      </c>
      <c r="AL547" s="36">
        <v>46265</v>
      </c>
      <c r="AM547" s="36">
        <v>46265</v>
      </c>
      <c r="AN547" s="36">
        <v>46241</v>
      </c>
      <c r="AO547" s="36">
        <v>46265</v>
      </c>
      <c r="AP547" s="36"/>
      <c r="AQ547" s="36">
        <v>46265</v>
      </c>
      <c r="AR547" s="36">
        <v>46265</v>
      </c>
      <c r="AS547" s="36">
        <v>46265</v>
      </c>
      <c r="AT547" s="587">
        <v>46268</v>
      </c>
      <c r="AU547" s="150"/>
      <c r="AV547" s="151"/>
      <c r="AW547" s="151"/>
      <c r="AX547" s="151"/>
      <c r="AY547" s="151"/>
    </row>
    <row r="548" spans="1:51" ht="18" customHeight="1" thickBot="1">
      <c r="A548" s="592"/>
      <c r="B548" s="71" t="s">
        <v>509</v>
      </c>
      <c r="C548" s="42"/>
      <c r="D548" s="42"/>
      <c r="E548" s="42"/>
      <c r="F548" s="43" t="s">
        <v>48</v>
      </c>
      <c r="G548" s="59"/>
      <c r="H548" s="59"/>
      <c r="I548" s="44"/>
      <c r="J548" s="52"/>
      <c r="K548" s="53"/>
      <c r="L548" s="537"/>
      <c r="M548" s="42"/>
      <c r="N548" s="42"/>
      <c r="O548" s="42"/>
      <c r="P548" s="42"/>
      <c r="Q548" s="42"/>
      <c r="R548" s="42"/>
      <c r="S548" s="42"/>
      <c r="T548" s="41"/>
      <c r="U548" s="42"/>
      <c r="V548" s="53"/>
      <c r="W548" s="53"/>
      <c r="X548" s="53"/>
      <c r="Y548" s="53"/>
      <c r="Z548" s="43"/>
      <c r="AA548" s="43"/>
      <c r="AB548" s="43"/>
      <c r="AC548" s="54"/>
      <c r="AD548" s="43"/>
      <c r="AE548" s="46"/>
      <c r="AF548" s="46"/>
      <c r="AG548" s="46"/>
      <c r="AH548" s="46"/>
      <c r="AI548" s="46"/>
      <c r="AJ548" s="46">
        <v>46183</v>
      </c>
      <c r="AK548" s="46">
        <v>46183</v>
      </c>
      <c r="AL548" s="46"/>
      <c r="AM548" s="46"/>
      <c r="AN548" s="46">
        <v>46241</v>
      </c>
      <c r="AO548" s="46"/>
      <c r="AP548" s="46"/>
      <c r="AQ548" s="46"/>
      <c r="AR548" s="46"/>
      <c r="AS548" s="46"/>
      <c r="AT548" s="588"/>
      <c r="AU548" s="194"/>
      <c r="AV548" s="151"/>
      <c r="AW548" s="151"/>
      <c r="AX548" s="151"/>
      <c r="AY548" s="151"/>
    </row>
    <row r="549" spans="1:51" ht="16.5" customHeight="1" thickBot="1">
      <c r="A549" s="364"/>
      <c r="B549" s="364"/>
      <c r="C549" s="364"/>
      <c r="D549" s="364"/>
      <c r="E549" s="364"/>
      <c r="F549" s="364"/>
      <c r="G549" s="364"/>
      <c r="H549" s="364"/>
      <c r="I549" s="364"/>
      <c r="J549" s="364"/>
      <c r="K549" s="364"/>
      <c r="L549" s="364"/>
      <c r="M549" s="364"/>
      <c r="N549" s="364"/>
      <c r="O549" s="364"/>
      <c r="P549" s="364"/>
      <c r="Q549" s="364"/>
      <c r="R549" s="364"/>
      <c r="S549" s="364"/>
      <c r="T549" s="364"/>
      <c r="U549" s="364"/>
      <c r="V549" s="364"/>
      <c r="W549" s="364"/>
      <c r="X549" s="364"/>
      <c r="Y549" s="364"/>
      <c r="Z549" s="364"/>
      <c r="AA549" s="364"/>
      <c r="AB549" s="364"/>
      <c r="AC549" s="364"/>
      <c r="AD549" s="364"/>
      <c r="AE549" s="364"/>
      <c r="AF549" s="364"/>
      <c r="AG549" s="364"/>
      <c r="AH549" s="364"/>
      <c r="AI549" s="364"/>
      <c r="AJ549" s="364"/>
      <c r="AK549" s="364"/>
      <c r="AL549" s="364"/>
      <c r="AM549" s="364"/>
      <c r="AN549" s="364"/>
      <c r="AO549" s="364"/>
      <c r="AP549" s="364"/>
      <c r="AQ549" s="364"/>
      <c r="AR549" s="364"/>
      <c r="AS549" s="364"/>
      <c r="AT549" s="364"/>
      <c r="AU549" s="371"/>
      <c r="AV549" s="27"/>
      <c r="AW549" s="27"/>
      <c r="AX549" s="27"/>
      <c r="AY549" s="27"/>
    </row>
    <row r="550" spans="1:51" ht="18.75" customHeight="1">
      <c r="A550" s="591">
        <v>813139</v>
      </c>
      <c r="B550" s="29">
        <v>813139</v>
      </c>
      <c r="C550" s="30" t="s">
        <v>731</v>
      </c>
      <c r="D550" s="30"/>
      <c r="E550" s="30"/>
      <c r="F550" s="31" t="s">
        <v>43</v>
      </c>
      <c r="G550" s="33">
        <v>133</v>
      </c>
      <c r="H550" s="33">
        <v>230</v>
      </c>
      <c r="I550" s="34">
        <v>1</v>
      </c>
      <c r="J550" s="489" t="s">
        <v>696</v>
      </c>
      <c r="K550" s="31" t="s">
        <v>66</v>
      </c>
      <c r="L550" s="161" t="s">
        <v>800</v>
      </c>
      <c r="M550" s="30"/>
      <c r="N550" s="30" t="s">
        <v>426</v>
      </c>
      <c r="O550" s="30"/>
      <c r="P550" s="30" t="s">
        <v>707</v>
      </c>
      <c r="Q550" s="30"/>
      <c r="R550" s="30" t="s">
        <v>72</v>
      </c>
      <c r="S550" s="30"/>
      <c r="T550" s="29"/>
      <c r="U550" s="30"/>
      <c r="V550" s="35">
        <v>46101</v>
      </c>
      <c r="W550" s="35">
        <v>46115</v>
      </c>
      <c r="X550" s="35">
        <v>46111</v>
      </c>
      <c r="Y550" s="35">
        <v>46125</v>
      </c>
      <c r="Z550" s="31"/>
      <c r="AA550" s="31"/>
      <c r="AB550" s="31"/>
      <c r="AC550" s="37">
        <v>3</v>
      </c>
      <c r="AD550" s="31"/>
      <c r="AE550" s="36">
        <v>46265</v>
      </c>
      <c r="AF550" s="36">
        <v>46269</v>
      </c>
      <c r="AG550" s="36">
        <v>46269</v>
      </c>
      <c r="AH550" s="36">
        <v>46269</v>
      </c>
      <c r="AI550" s="36">
        <v>46280</v>
      </c>
      <c r="AJ550" s="36">
        <v>46122</v>
      </c>
      <c r="AK550" s="36">
        <v>46122</v>
      </c>
      <c r="AL550" s="36">
        <v>46280</v>
      </c>
      <c r="AM550" s="36">
        <v>46280</v>
      </c>
      <c r="AN550" s="36">
        <v>46234</v>
      </c>
      <c r="AO550" s="36">
        <v>46280</v>
      </c>
      <c r="AP550" s="36"/>
      <c r="AQ550" s="36">
        <v>46280</v>
      </c>
      <c r="AR550" s="36">
        <v>46280</v>
      </c>
      <c r="AS550" s="36">
        <v>46280</v>
      </c>
      <c r="AT550" s="36">
        <v>46283</v>
      </c>
      <c r="AU550" s="228"/>
      <c r="AV550" s="151"/>
      <c r="AW550" s="151"/>
      <c r="AX550" s="151"/>
      <c r="AY550" s="151"/>
    </row>
    <row r="551" spans="1:51" ht="18" customHeight="1">
      <c r="A551" s="592"/>
      <c r="B551" s="41"/>
      <c r="C551" s="42"/>
      <c r="D551" s="42"/>
      <c r="E551" s="42"/>
      <c r="F551" s="43" t="s">
        <v>48</v>
      </c>
      <c r="G551" s="59"/>
      <c r="H551" s="59"/>
      <c r="I551" s="44"/>
      <c r="J551" s="44"/>
      <c r="K551" s="53"/>
      <c r="L551" s="537"/>
      <c r="M551" s="42"/>
      <c r="N551" s="42"/>
      <c r="O551" s="42"/>
      <c r="P551" s="42"/>
      <c r="Q551" s="42"/>
      <c r="R551" s="42"/>
      <c r="S551" s="42"/>
      <c r="T551" s="41"/>
      <c r="U551" s="42"/>
      <c r="V551" s="53"/>
      <c r="W551" s="53"/>
      <c r="X551" s="53"/>
      <c r="Y551" s="53"/>
      <c r="Z551" s="43"/>
      <c r="AA551" s="43"/>
      <c r="AB551" s="43"/>
      <c r="AC551" s="54"/>
      <c r="AD551" s="43"/>
      <c r="AE551" s="46"/>
      <c r="AF551" s="46"/>
      <c r="AG551" s="46"/>
      <c r="AH551" s="46"/>
      <c r="AI551" s="46"/>
      <c r="AJ551" s="46">
        <v>46122</v>
      </c>
      <c r="AK551" s="46">
        <v>46122</v>
      </c>
      <c r="AL551" s="46"/>
      <c r="AM551" s="46"/>
      <c r="AN551" s="46" t="s">
        <v>254</v>
      </c>
      <c r="AO551" s="46"/>
      <c r="AP551" s="46"/>
      <c r="AQ551" s="46"/>
      <c r="AR551" s="46"/>
      <c r="AS551" s="46"/>
      <c r="AT551" s="588"/>
      <c r="AU551" s="150"/>
      <c r="AV551" s="151"/>
      <c r="AW551" s="151"/>
      <c r="AX551" s="151"/>
      <c r="AY551" s="151"/>
    </row>
    <row r="552" spans="1:51" ht="18.75" customHeight="1">
      <c r="A552" s="149">
        <v>813138</v>
      </c>
      <c r="B552" s="29">
        <v>813138</v>
      </c>
      <c r="C552" s="30" t="s">
        <v>731</v>
      </c>
      <c r="D552" s="30"/>
      <c r="E552" s="30"/>
      <c r="F552" s="31" t="s">
        <v>43</v>
      </c>
      <c r="G552" s="33">
        <v>66.7</v>
      </c>
      <c r="H552" s="33">
        <v>230</v>
      </c>
      <c r="I552" s="34">
        <v>1</v>
      </c>
      <c r="J552" s="489" t="s">
        <v>696</v>
      </c>
      <c r="K552" s="31" t="s">
        <v>77</v>
      </c>
      <c r="L552" s="161" t="s">
        <v>800</v>
      </c>
      <c r="M552" s="30"/>
      <c r="N552" s="30" t="s">
        <v>426</v>
      </c>
      <c r="O552" s="30"/>
      <c r="P552" s="30" t="s">
        <v>707</v>
      </c>
      <c r="Q552" s="30"/>
      <c r="R552" s="30" t="s">
        <v>72</v>
      </c>
      <c r="S552" s="30"/>
      <c r="T552" s="29"/>
      <c r="U552" s="30"/>
      <c r="V552" s="36">
        <v>45862</v>
      </c>
      <c r="W552" s="36">
        <f>V552+15</f>
        <v>45877</v>
      </c>
      <c r="X552" s="36">
        <v>45876</v>
      </c>
      <c r="Y552" s="36">
        <f>X552+15</f>
        <v>45891</v>
      </c>
      <c r="Z552" s="31"/>
      <c r="AA552" s="31"/>
      <c r="AB552" s="31"/>
      <c r="AC552" s="37">
        <v>3</v>
      </c>
      <c r="AD552" s="31"/>
      <c r="AE552" s="36"/>
      <c r="AF552" s="36"/>
      <c r="AG552" s="36"/>
      <c r="AH552" s="36"/>
      <c r="AI552" s="36"/>
      <c r="AJ552" s="36">
        <v>46136</v>
      </c>
      <c r="AK552" s="36">
        <v>46136</v>
      </c>
      <c r="AL552" s="36"/>
      <c r="AM552" s="36"/>
      <c r="AN552" s="36">
        <v>46252</v>
      </c>
      <c r="AO552" s="36"/>
      <c r="AR552" s="36"/>
      <c r="AS552" s="36"/>
      <c r="AT552" s="36"/>
      <c r="AU552" s="150"/>
      <c r="AV552" s="151"/>
      <c r="AW552" s="151"/>
      <c r="AX552" s="151"/>
      <c r="AY552" s="151"/>
    </row>
    <row r="553" spans="1:51" ht="18" customHeight="1">
      <c r="A553" s="40"/>
      <c r="B553" s="41"/>
      <c r="C553" s="42"/>
      <c r="D553" s="42"/>
      <c r="E553" s="42"/>
      <c r="F553" s="43" t="s">
        <v>48</v>
      </c>
      <c r="G553" s="59"/>
      <c r="H553" s="59"/>
      <c r="I553" s="44"/>
      <c r="J553" s="44"/>
      <c r="K553" s="53"/>
      <c r="L553" s="537"/>
      <c r="M553" s="42"/>
      <c r="N553" s="42"/>
      <c r="O553" s="42"/>
      <c r="P553" s="42"/>
      <c r="Q553" s="42"/>
      <c r="R553" s="42"/>
      <c r="S553" s="42"/>
      <c r="T553" s="41"/>
      <c r="U553" s="42"/>
      <c r="V553" s="116">
        <v>45917</v>
      </c>
      <c r="W553" s="116"/>
      <c r="X553" s="116">
        <v>45924</v>
      </c>
      <c r="Y553" s="116"/>
      <c r="Z553" s="43"/>
      <c r="AA553" s="43"/>
      <c r="AB553" s="43"/>
      <c r="AC553" s="54"/>
      <c r="AD553" s="43"/>
      <c r="AE553" s="46"/>
      <c r="AF553" s="46"/>
      <c r="AG553" s="46"/>
      <c r="AH553" s="46"/>
      <c r="AI553" s="46"/>
      <c r="AJ553" s="46">
        <v>46136</v>
      </c>
      <c r="AK553" s="46">
        <v>46164</v>
      </c>
      <c r="AL553" s="46"/>
      <c r="AM553" s="46"/>
      <c r="AN553" s="46" t="s">
        <v>254</v>
      </c>
      <c r="AO553" s="46"/>
      <c r="AP553" s="633"/>
      <c r="AQ553" s="633"/>
      <c r="AR553" s="46"/>
      <c r="AS553" s="46"/>
      <c r="AT553" s="46"/>
      <c r="AU553" s="150"/>
      <c r="AV553" s="151"/>
      <c r="AW553" s="151"/>
      <c r="AX553" s="151"/>
      <c r="AY553" s="151"/>
    </row>
    <row r="554" spans="1:51" ht="18.75" customHeight="1">
      <c r="A554" s="160">
        <v>813408</v>
      </c>
      <c r="B554" s="29" t="s">
        <v>983</v>
      </c>
      <c r="C554" s="30"/>
      <c r="D554" s="30"/>
      <c r="E554" s="30"/>
      <c r="F554" s="31" t="s">
        <v>43</v>
      </c>
      <c r="G554" s="33">
        <v>60</v>
      </c>
      <c r="H554" s="33">
        <v>380</v>
      </c>
      <c r="I554" s="34">
        <v>2</v>
      </c>
      <c r="J554" s="616" t="s">
        <v>984</v>
      </c>
      <c r="K554" s="31" t="s">
        <v>108</v>
      </c>
      <c r="L554" s="161"/>
      <c r="M554" s="30"/>
      <c r="N554" s="30"/>
      <c r="O554" s="30"/>
      <c r="P554" s="30"/>
      <c r="Q554" s="30"/>
      <c r="R554" s="30"/>
      <c r="S554" s="30"/>
      <c r="T554" s="29"/>
      <c r="U554" s="30"/>
      <c r="V554" s="35"/>
      <c r="W554" s="35"/>
      <c r="X554" s="35"/>
      <c r="Y554" s="35"/>
      <c r="Z554" s="31"/>
      <c r="AA554" s="31"/>
      <c r="AB554" s="31"/>
      <c r="AC554" s="37"/>
      <c r="AD554" s="31"/>
      <c r="AE554" s="36"/>
      <c r="AF554" s="36"/>
      <c r="AG554" s="36"/>
      <c r="AH554" s="36"/>
      <c r="AI554" s="36"/>
      <c r="AJ554" s="36" t="s">
        <v>81</v>
      </c>
      <c r="AK554" s="36">
        <v>46239</v>
      </c>
      <c r="AL554" s="36"/>
      <c r="AM554" s="36"/>
      <c r="AN554" s="36">
        <v>46254</v>
      </c>
      <c r="AO554" s="36"/>
      <c r="AP554" s="36"/>
      <c r="AQ554" s="36"/>
      <c r="AR554" s="36"/>
      <c r="AS554" s="36"/>
      <c r="AT554" s="36"/>
      <c r="AU554" s="150"/>
      <c r="AV554" s="151"/>
      <c r="AW554" s="151"/>
      <c r="AX554" s="151"/>
      <c r="AY554" s="151"/>
    </row>
    <row r="555" spans="1:51" ht="18" customHeight="1">
      <c r="A555" s="40"/>
      <c r="B555" s="41"/>
      <c r="C555" s="42"/>
      <c r="D555" s="42"/>
      <c r="E555" s="42"/>
      <c r="F555" s="43" t="s">
        <v>48</v>
      </c>
      <c r="G555" s="59"/>
      <c r="H555" s="59"/>
      <c r="I555" s="44"/>
      <c r="J555" s="52"/>
      <c r="K555" s="53"/>
      <c r="L555" s="537"/>
      <c r="M555" s="42"/>
      <c r="N555" s="42"/>
      <c r="O555" s="42"/>
      <c r="P555" s="42"/>
      <c r="Q555" s="42"/>
      <c r="R555" s="42"/>
      <c r="S555" s="42"/>
      <c r="T555" s="41"/>
      <c r="U555" s="42"/>
      <c r="V555" s="53"/>
      <c r="W555" s="53"/>
      <c r="X555" s="53"/>
      <c r="Y555" s="53"/>
      <c r="Z555" s="43"/>
      <c r="AA555" s="43"/>
      <c r="AB555" s="43"/>
      <c r="AC555" s="54"/>
      <c r="AD555" s="43"/>
      <c r="AE555" s="46"/>
      <c r="AF555" s="46"/>
      <c r="AG555" s="46"/>
      <c r="AH555" s="46"/>
      <c r="AI555" s="46"/>
      <c r="AJ555" s="46" t="s">
        <v>81</v>
      </c>
      <c r="AK555" s="46"/>
      <c r="AL555" s="46"/>
      <c r="AM555" s="46"/>
      <c r="AN555" s="46" t="s">
        <v>254</v>
      </c>
      <c r="AO555" s="46"/>
      <c r="AP555" s="46"/>
      <c r="AQ555" s="46"/>
      <c r="AR555" s="46"/>
      <c r="AS555" s="46"/>
      <c r="AT555" s="46"/>
      <c r="AU555" s="150"/>
      <c r="AV555" s="151"/>
      <c r="AW555" s="151"/>
      <c r="AX555" s="151"/>
      <c r="AY555" s="151"/>
    </row>
    <row r="556" spans="1:51" ht="18.75" customHeight="1">
      <c r="A556" s="160">
        <v>813428</v>
      </c>
      <c r="B556" s="29">
        <v>813428</v>
      </c>
      <c r="C556" s="30" t="s">
        <v>173</v>
      </c>
      <c r="D556" s="30"/>
      <c r="E556" s="30"/>
      <c r="F556" s="31" t="s">
        <v>43</v>
      </c>
      <c r="G556" s="33">
        <v>265</v>
      </c>
      <c r="H556" s="33">
        <v>155</v>
      </c>
      <c r="I556" s="34">
        <v>1</v>
      </c>
      <c r="J556" s="616" t="s">
        <v>1004</v>
      </c>
      <c r="K556" s="31" t="s">
        <v>66</v>
      </c>
      <c r="L556" s="161"/>
      <c r="M556" s="30"/>
      <c r="N556" s="30"/>
      <c r="O556" s="30"/>
      <c r="P556" s="30"/>
      <c r="Q556" s="30"/>
      <c r="R556" s="30"/>
      <c r="S556" s="30"/>
      <c r="T556" s="29"/>
      <c r="U556" s="30"/>
      <c r="V556" s="35"/>
      <c r="W556" s="35"/>
      <c r="X556" s="35"/>
      <c r="Y556" s="35"/>
      <c r="Z556" s="31"/>
      <c r="AA556" s="31"/>
      <c r="AB556" s="31"/>
      <c r="AC556" s="37"/>
      <c r="AD556" s="31"/>
      <c r="AE556" s="36"/>
      <c r="AF556" s="36"/>
      <c r="AG556" s="36"/>
      <c r="AH556" s="36"/>
      <c r="AI556" s="36"/>
      <c r="AJ556" s="99">
        <v>46248</v>
      </c>
      <c r="AK556" s="99">
        <v>46248</v>
      </c>
      <c r="AL556" s="36"/>
      <c r="AM556" s="36"/>
      <c r="AN556" s="99">
        <v>46248</v>
      </c>
      <c r="AO556" s="36"/>
      <c r="AP556" s="36"/>
      <c r="AQ556" s="36"/>
      <c r="AR556" s="36"/>
      <c r="AS556" s="36"/>
      <c r="AT556" s="36"/>
      <c r="AU556" s="150"/>
      <c r="AV556" s="151"/>
      <c r="AW556" s="151"/>
      <c r="AX556" s="151"/>
      <c r="AY556" s="151"/>
    </row>
    <row r="557" spans="1:51" ht="18" customHeight="1">
      <c r="A557" s="40"/>
      <c r="B557" s="71" t="s">
        <v>509</v>
      </c>
      <c r="C557" s="42">
        <v>812828</v>
      </c>
      <c r="D557" s="42"/>
      <c r="E557" s="42"/>
      <c r="F557" s="43" t="s">
        <v>48</v>
      </c>
      <c r="G557" s="59"/>
      <c r="H557" s="59"/>
      <c r="I557" s="44"/>
      <c r="J557" s="52"/>
      <c r="K557" s="53"/>
      <c r="L557" s="537"/>
      <c r="M557" s="42"/>
      <c r="N557" s="42"/>
      <c r="O557" s="42"/>
      <c r="P557" s="42"/>
      <c r="Q557" s="42"/>
      <c r="R557" s="42"/>
      <c r="S557" s="42"/>
      <c r="T557" s="41"/>
      <c r="U557" s="42"/>
      <c r="V557" s="53"/>
      <c r="W557" s="53"/>
      <c r="X557" s="53"/>
      <c r="Y557" s="53"/>
      <c r="Z557" s="43"/>
      <c r="AA557" s="43"/>
      <c r="AB557" s="43"/>
      <c r="AC557" s="54"/>
      <c r="AD557" s="43"/>
      <c r="AE557" s="46"/>
      <c r="AF557" s="46"/>
      <c r="AG557" s="46"/>
      <c r="AH557" s="46"/>
      <c r="AI557" s="46"/>
      <c r="AJ557" s="46" t="s">
        <v>1023</v>
      </c>
      <c r="AK557" s="46" t="s">
        <v>1023</v>
      </c>
      <c r="AL557" s="46"/>
      <c r="AM557" s="46"/>
      <c r="AN557" s="46" t="s">
        <v>1023</v>
      </c>
      <c r="AO557" s="46"/>
      <c r="AP557" s="46"/>
      <c r="AQ557" s="46"/>
      <c r="AR557" s="46"/>
      <c r="AS557" s="46"/>
      <c r="AT557" s="46"/>
      <c r="AU557" s="150"/>
      <c r="AV557" s="151"/>
      <c r="AW557" s="151"/>
      <c r="AX557" s="151"/>
      <c r="AY557" s="151"/>
    </row>
    <row r="558" spans="1:51" ht="18.75" customHeight="1">
      <c r="A558" s="149">
        <v>813258</v>
      </c>
      <c r="B558" s="29" t="s">
        <v>852</v>
      </c>
      <c r="C558" s="30"/>
      <c r="D558" s="30"/>
      <c r="E558" s="30"/>
      <c r="F558" s="31" t="s">
        <v>43</v>
      </c>
      <c r="G558" s="33">
        <v>334</v>
      </c>
      <c r="H558" s="33">
        <v>500</v>
      </c>
      <c r="I558" s="34">
        <v>6</v>
      </c>
      <c r="J558" s="562" t="s">
        <v>853</v>
      </c>
      <c r="K558" s="31" t="s">
        <v>231</v>
      </c>
      <c r="L558" s="161" t="s">
        <v>799</v>
      </c>
      <c r="M558" s="30"/>
      <c r="N558" s="30"/>
      <c r="O558" s="30"/>
      <c r="P558" s="30"/>
      <c r="Q558" s="30"/>
      <c r="R558" s="30"/>
      <c r="S558" s="30"/>
      <c r="T558" s="29"/>
      <c r="U558" s="30"/>
      <c r="V558" s="36" t="s">
        <v>865</v>
      </c>
      <c r="W558" s="36" t="s">
        <v>866</v>
      </c>
      <c r="X558" s="36">
        <v>37798</v>
      </c>
      <c r="Y558" s="36" t="s">
        <v>867</v>
      </c>
      <c r="Z558" s="31"/>
      <c r="AA558" s="31"/>
      <c r="AB558" s="31"/>
      <c r="AC558" s="37"/>
      <c r="AD558" s="31"/>
      <c r="AE558" s="36"/>
      <c r="AF558" s="36"/>
      <c r="AG558" s="36"/>
      <c r="AH558" s="36"/>
      <c r="AI558" s="36"/>
      <c r="AJ558" s="36">
        <v>46027</v>
      </c>
      <c r="AK558" s="36">
        <v>46027</v>
      </c>
      <c r="AL558" s="36"/>
      <c r="AM558" s="36"/>
      <c r="AN558" s="36">
        <v>46258</v>
      </c>
      <c r="AO558" s="36"/>
      <c r="AP558" s="36"/>
      <c r="AQ558" s="36"/>
      <c r="AR558" s="36"/>
      <c r="AS558" s="36"/>
      <c r="AT558" s="36"/>
      <c r="AU558" s="150"/>
      <c r="AV558" s="151"/>
      <c r="AW558" s="151"/>
      <c r="AX558" s="151"/>
      <c r="AY558" s="151"/>
    </row>
    <row r="559" spans="1:51" ht="18" customHeight="1">
      <c r="A559" s="40"/>
      <c r="B559" s="41"/>
      <c r="C559" s="42"/>
      <c r="D559" s="42"/>
      <c r="E559" s="42"/>
      <c r="F559" s="43" t="s">
        <v>48</v>
      </c>
      <c r="G559" s="59"/>
      <c r="H559" s="59"/>
      <c r="I559" s="44"/>
      <c r="J559" s="52"/>
      <c r="K559" s="53"/>
      <c r="L559" s="537"/>
      <c r="M559" s="42"/>
      <c r="N559" s="42"/>
      <c r="O559" s="42"/>
      <c r="P559" s="42"/>
      <c r="Q559" s="42"/>
      <c r="R559" s="42"/>
      <c r="S559" s="42"/>
      <c r="T559" s="41"/>
      <c r="U559" s="42"/>
      <c r="V559" s="116">
        <v>46021</v>
      </c>
      <c r="W559" s="116"/>
      <c r="X559" s="116"/>
      <c r="Y559" s="116"/>
      <c r="Z559" s="43"/>
      <c r="AA559" s="43"/>
      <c r="AB559" s="43"/>
      <c r="AC559" s="54"/>
      <c r="AD559" s="43"/>
      <c r="AE559" s="46"/>
      <c r="AF559" s="46"/>
      <c r="AG559" s="46"/>
      <c r="AH559" s="46"/>
      <c r="AI559" s="46"/>
      <c r="AJ559" s="46">
        <v>46028</v>
      </c>
      <c r="AK559" s="46">
        <v>46010</v>
      </c>
      <c r="AL559" s="46"/>
      <c r="AM559" s="46"/>
      <c r="AN559" s="46"/>
      <c r="AO559" s="46"/>
      <c r="AP559" s="46"/>
      <c r="AQ559" s="46"/>
      <c r="AR559" s="46"/>
      <c r="AS559" s="46"/>
      <c r="AT559" s="46"/>
      <c r="AU559" s="150"/>
      <c r="AV559" s="151"/>
      <c r="AW559" s="151"/>
      <c r="AX559" s="151"/>
      <c r="AY559" s="151"/>
    </row>
    <row r="560" spans="1:51" ht="18" customHeight="1">
      <c r="A560" s="591">
        <v>813361</v>
      </c>
      <c r="B560" s="29">
        <v>813361</v>
      </c>
      <c r="C560" s="30" t="s">
        <v>55</v>
      </c>
      <c r="D560" s="30"/>
      <c r="E560" s="30"/>
      <c r="F560" s="31" t="s">
        <v>43</v>
      </c>
      <c r="G560" s="33">
        <v>125</v>
      </c>
      <c r="H560" s="33">
        <v>400</v>
      </c>
      <c r="I560" s="34">
        <v>1</v>
      </c>
      <c r="J560" s="602" t="s">
        <v>895</v>
      </c>
      <c r="K560" s="31" t="s">
        <v>45</v>
      </c>
      <c r="L560" s="161" t="s">
        <v>805</v>
      </c>
      <c r="M560" s="30"/>
      <c r="N560" s="30"/>
      <c r="O560" s="30"/>
      <c r="P560" s="30"/>
      <c r="Q560" s="30"/>
      <c r="R560" s="30"/>
      <c r="S560" s="30"/>
      <c r="T560" s="29"/>
      <c r="U560" s="30"/>
      <c r="V560" s="31"/>
      <c r="W560" s="31"/>
      <c r="X560" s="31"/>
      <c r="Y560" s="31"/>
      <c r="Z560" s="31"/>
      <c r="AA560" s="31"/>
      <c r="AB560" s="31"/>
      <c r="AC560" s="37"/>
      <c r="AD560" s="31"/>
      <c r="AE560" s="36"/>
      <c r="AF560" s="36"/>
      <c r="AG560" s="36"/>
      <c r="AH560" s="36"/>
      <c r="AI560" s="36"/>
      <c r="AJ560" s="36">
        <v>46149</v>
      </c>
      <c r="AK560" s="36">
        <v>46149</v>
      </c>
      <c r="AL560" s="36"/>
      <c r="AM560" s="36"/>
      <c r="AN560" s="36">
        <v>46262</v>
      </c>
      <c r="AO560" s="36"/>
      <c r="AP560" s="36"/>
      <c r="AQ560" s="36"/>
      <c r="AR560" s="36"/>
      <c r="AS560" s="36"/>
      <c r="AT560" s="36"/>
      <c r="AU560" s="150"/>
      <c r="AV560" s="151"/>
      <c r="AW560" s="151"/>
      <c r="AX560" s="151"/>
      <c r="AY560" s="151"/>
    </row>
    <row r="561" spans="1:51" ht="18" customHeight="1">
      <c r="A561" s="592"/>
      <c r="B561" s="41"/>
      <c r="C561" s="42">
        <v>813282</v>
      </c>
      <c r="D561" s="42"/>
      <c r="E561" s="42"/>
      <c r="F561" s="43" t="s">
        <v>48</v>
      </c>
      <c r="G561" s="59"/>
      <c r="H561" s="59"/>
      <c r="I561" s="44"/>
      <c r="J561" s="52"/>
      <c r="K561" s="53"/>
      <c r="L561" s="537"/>
      <c r="M561" s="42"/>
      <c r="N561" s="42"/>
      <c r="O561" s="42"/>
      <c r="P561" s="42"/>
      <c r="Q561" s="42"/>
      <c r="R561" s="42"/>
      <c r="S561" s="42"/>
      <c r="T561" s="41"/>
      <c r="U561" s="42"/>
      <c r="V561" s="43"/>
      <c r="W561" s="43"/>
      <c r="X561" s="43"/>
      <c r="Y561" s="43"/>
      <c r="Z561" s="43"/>
      <c r="AA561" s="43"/>
      <c r="AB561" s="43"/>
      <c r="AC561" s="54"/>
      <c r="AD561" s="43"/>
      <c r="AE561" s="46"/>
      <c r="AF561" s="46"/>
      <c r="AG561" s="46"/>
      <c r="AH561" s="46"/>
      <c r="AI561" s="46"/>
      <c r="AJ561" s="46">
        <v>46149</v>
      </c>
      <c r="AK561" s="46">
        <v>46149</v>
      </c>
      <c r="AL561" s="46"/>
      <c r="AM561" s="46"/>
      <c r="AN561" s="46">
        <v>46262</v>
      </c>
      <c r="AO561" s="46"/>
      <c r="AP561" s="46"/>
      <c r="AQ561" s="46"/>
      <c r="AR561" s="46"/>
      <c r="AS561" s="46"/>
      <c r="AT561" s="46"/>
      <c r="AU561" s="150"/>
      <c r="AV561" s="151"/>
      <c r="AW561" s="151"/>
      <c r="AX561" s="151"/>
      <c r="AY561" s="151"/>
    </row>
    <row r="562" spans="1:51" ht="18.75" customHeight="1">
      <c r="A562" s="591">
        <v>813089</v>
      </c>
      <c r="B562" s="29">
        <v>813089</v>
      </c>
      <c r="C562" s="30" t="s">
        <v>173</v>
      </c>
      <c r="D562" s="153">
        <v>1</v>
      </c>
      <c r="E562" s="153"/>
      <c r="F562" s="31" t="s">
        <v>43</v>
      </c>
      <c r="G562" s="33">
        <v>300</v>
      </c>
      <c r="H562" s="33">
        <v>400</v>
      </c>
      <c r="I562" s="34">
        <v>1</v>
      </c>
      <c r="J562" s="285" t="s">
        <v>655</v>
      </c>
      <c r="K562" s="31" t="s">
        <v>45</v>
      </c>
      <c r="L562" s="161" t="s">
        <v>800</v>
      </c>
      <c r="M562" s="30"/>
      <c r="N562" s="30"/>
      <c r="O562" s="30"/>
      <c r="P562" s="30"/>
      <c r="Q562" s="30"/>
      <c r="R562" s="30"/>
      <c r="S562" s="30"/>
      <c r="T562" s="29"/>
      <c r="U562" s="30"/>
      <c r="V562" s="36">
        <v>45397</v>
      </c>
      <c r="W562" s="36" t="s">
        <v>884</v>
      </c>
      <c r="X562" s="36">
        <v>45768</v>
      </c>
      <c r="Y562" s="36" t="s">
        <v>885</v>
      </c>
      <c r="Z562" s="31" t="s">
        <v>72</v>
      </c>
      <c r="AA562" s="31" t="s">
        <v>72</v>
      </c>
      <c r="AB562" s="31" t="s">
        <v>956</v>
      </c>
      <c r="AC562" s="37"/>
      <c r="AD562" s="31"/>
      <c r="AE562" s="36"/>
      <c r="AF562" s="36"/>
      <c r="AG562" s="36"/>
      <c r="AH562" s="36"/>
      <c r="AI562" s="36"/>
      <c r="AJ562" s="99">
        <v>45939</v>
      </c>
      <c r="AK562" s="99">
        <v>45939</v>
      </c>
      <c r="AL562" s="36"/>
      <c r="AM562" s="36"/>
      <c r="AN562" s="36">
        <v>46265</v>
      </c>
      <c r="AO562" s="36"/>
      <c r="AP562" s="36"/>
      <c r="AQ562" s="36"/>
      <c r="AR562" s="36"/>
      <c r="AS562" s="36"/>
      <c r="AT562" s="36"/>
      <c r="AU562" s="150"/>
      <c r="AV562" s="151"/>
      <c r="AW562" s="151"/>
      <c r="AX562" s="151"/>
      <c r="AY562" s="151"/>
    </row>
    <row r="563" spans="1:51" ht="16.5" customHeight="1">
      <c r="A563" s="592"/>
      <c r="B563" s="41"/>
      <c r="C563" s="42">
        <v>813081</v>
      </c>
      <c r="D563" s="42"/>
      <c r="E563" s="42"/>
      <c r="F563" s="43" t="s">
        <v>48</v>
      </c>
      <c r="G563" s="59"/>
      <c r="H563" s="59"/>
      <c r="I563" s="44"/>
      <c r="J563" s="52"/>
      <c r="K563" s="53"/>
      <c r="L563" s="537"/>
      <c r="M563" s="42"/>
      <c r="N563" s="42"/>
      <c r="O563" s="42"/>
      <c r="P563" s="42"/>
      <c r="Q563" s="42"/>
      <c r="R563" s="42"/>
      <c r="S563" s="42"/>
      <c r="T563" s="41"/>
      <c r="U563" s="42"/>
      <c r="V563" s="116">
        <v>45397</v>
      </c>
      <c r="W563" s="116" t="s">
        <v>884</v>
      </c>
      <c r="X563" s="116">
        <v>45768</v>
      </c>
      <c r="Y563" s="116">
        <v>46028</v>
      </c>
      <c r="Z563" s="43"/>
      <c r="AA563" s="43"/>
      <c r="AB563" s="43"/>
      <c r="AC563" s="54"/>
      <c r="AD563" s="43"/>
      <c r="AE563" s="46"/>
      <c r="AF563" s="46"/>
      <c r="AG563" s="46"/>
      <c r="AH563" s="46"/>
      <c r="AI563" s="46"/>
      <c r="AJ563" s="46" t="s">
        <v>858</v>
      </c>
      <c r="AK563" s="46">
        <v>45939</v>
      </c>
      <c r="AL563" s="46"/>
      <c r="AM563" s="46"/>
      <c r="AN563" s="46"/>
      <c r="AO563" s="46"/>
      <c r="AP563" s="46"/>
      <c r="AQ563" s="46"/>
      <c r="AR563" s="46"/>
      <c r="AS563" s="46"/>
      <c r="AT563" s="46"/>
      <c r="AU563" s="150"/>
      <c r="AV563" s="151"/>
      <c r="AW563" s="151"/>
      <c r="AX563" s="151"/>
      <c r="AY563" s="151"/>
    </row>
    <row r="564" spans="1:51" ht="18.75" customHeight="1">
      <c r="A564" s="294">
        <v>813255</v>
      </c>
      <c r="B564" s="29" t="s">
        <v>843</v>
      </c>
      <c r="C564" s="30" t="s">
        <v>731</v>
      </c>
      <c r="D564" s="30"/>
      <c r="E564" s="30"/>
      <c r="F564" s="31" t="s">
        <v>43</v>
      </c>
      <c r="G564" s="33">
        <v>180</v>
      </c>
      <c r="H564" s="33">
        <v>345</v>
      </c>
      <c r="I564" s="34"/>
      <c r="J564" s="535" t="s">
        <v>844</v>
      </c>
      <c r="K564" s="31" t="s">
        <v>45</v>
      </c>
      <c r="L564" s="161" t="s">
        <v>806</v>
      </c>
      <c r="M564" s="30"/>
      <c r="N564" s="30" t="s">
        <v>336</v>
      </c>
      <c r="O564" s="30"/>
      <c r="P564" s="30" t="s">
        <v>845</v>
      </c>
      <c r="Q564" s="30"/>
      <c r="R564" s="30"/>
      <c r="S564" s="30"/>
      <c r="T564" s="29"/>
      <c r="U564" s="30"/>
      <c r="V564" s="36">
        <v>46086</v>
      </c>
      <c r="W564" s="36">
        <f>V564+15</f>
        <v>46101</v>
      </c>
      <c r="X564" s="36">
        <v>46114</v>
      </c>
      <c r="Y564" s="36">
        <f>X564+15</f>
        <v>46129</v>
      </c>
      <c r="Z564" s="31"/>
      <c r="AA564" s="31"/>
      <c r="AB564" s="31"/>
      <c r="AC564" s="37"/>
      <c r="AD564" s="31" t="s">
        <v>72</v>
      </c>
      <c r="AE564" s="36"/>
      <c r="AF564" s="36"/>
      <c r="AG564" s="36"/>
      <c r="AH564" s="36"/>
      <c r="AI564" s="36"/>
      <c r="AJ564" s="36">
        <v>46113</v>
      </c>
      <c r="AK564" s="36">
        <v>46157</v>
      </c>
      <c r="AL564" s="36"/>
      <c r="AM564" s="36"/>
      <c r="AN564" s="36"/>
      <c r="AO564" s="36"/>
      <c r="AP564" s="36"/>
      <c r="AQ564" s="36"/>
      <c r="AR564" s="36"/>
      <c r="AS564" s="36"/>
      <c r="AT564" s="36"/>
      <c r="AU564" s="150"/>
      <c r="AV564" s="151"/>
      <c r="AW564" s="151"/>
      <c r="AX564" s="151"/>
      <c r="AY564" s="151"/>
    </row>
    <row r="565" spans="1:51" ht="18" customHeight="1">
      <c r="A565" s="40"/>
      <c r="B565" s="41"/>
      <c r="C565" s="42"/>
      <c r="D565" s="42"/>
      <c r="E565" s="42"/>
      <c r="F565" s="43" t="s">
        <v>48</v>
      </c>
      <c r="G565" s="59"/>
      <c r="H565" s="59"/>
      <c r="I565" s="44"/>
      <c r="J565" s="52"/>
      <c r="K565" s="53"/>
      <c r="L565" s="537"/>
      <c r="M565" s="42"/>
      <c r="N565" s="42"/>
      <c r="O565" s="42"/>
      <c r="P565" s="42"/>
      <c r="Q565" s="42"/>
      <c r="R565" s="42"/>
      <c r="S565" s="42"/>
      <c r="T565" s="41"/>
      <c r="U565" s="42"/>
      <c r="V565" s="116"/>
      <c r="W565" s="116"/>
      <c r="X565" s="116"/>
      <c r="Y565" s="116"/>
      <c r="Z565" s="43"/>
      <c r="AA565" s="43"/>
      <c r="AB565" s="43"/>
      <c r="AC565" s="54"/>
      <c r="AD565" s="43"/>
      <c r="AE565" s="46"/>
      <c r="AF565" s="46"/>
      <c r="AG565" s="46"/>
      <c r="AH565" s="46"/>
      <c r="AI565" s="46"/>
      <c r="AJ565" s="46">
        <v>46113</v>
      </c>
      <c r="AK565" s="46">
        <v>46157</v>
      </c>
      <c r="AL565" s="46"/>
      <c r="AM565" s="46"/>
      <c r="AN565" s="46"/>
      <c r="AO565" s="46"/>
      <c r="AP565" s="46"/>
      <c r="AQ565" s="46"/>
      <c r="AR565" s="46"/>
      <c r="AS565" s="46"/>
      <c r="AT565" s="46"/>
      <c r="AU565" s="150"/>
      <c r="AV565" s="151"/>
      <c r="AW565" s="151"/>
      <c r="AX565" s="151"/>
      <c r="AY565" s="151"/>
    </row>
    <row r="566" spans="1:51" ht="21.75" customHeight="1">
      <c r="A566" s="160">
        <v>813399</v>
      </c>
      <c r="B566" s="618" t="s">
        <v>985</v>
      </c>
      <c r="C566" s="30"/>
      <c r="D566" s="30"/>
      <c r="E566" s="30"/>
      <c r="F566" s="31" t="s">
        <v>43</v>
      </c>
      <c r="G566" s="33">
        <v>440</v>
      </c>
      <c r="H566" s="33">
        <v>415</v>
      </c>
      <c r="I566" s="34">
        <v>3</v>
      </c>
      <c r="J566" s="617" t="s">
        <v>986</v>
      </c>
      <c r="K566" s="31" t="s">
        <v>384</v>
      </c>
      <c r="L566" s="161"/>
      <c r="M566" s="30"/>
      <c r="N566" s="30"/>
      <c r="O566" s="30"/>
      <c r="P566" s="30"/>
      <c r="Q566" s="30"/>
      <c r="R566" s="30"/>
      <c r="S566" s="30"/>
      <c r="T566" s="29"/>
      <c r="U566" s="30"/>
      <c r="V566" s="35"/>
      <c r="W566" s="35"/>
      <c r="X566" s="35"/>
      <c r="Y566" s="35"/>
      <c r="Z566" s="532" t="s">
        <v>1008</v>
      </c>
      <c r="AA566" s="31"/>
      <c r="AB566" s="31"/>
      <c r="AC566" s="37" t="s">
        <v>270</v>
      </c>
      <c r="AD566" s="31"/>
      <c r="AE566" s="36"/>
      <c r="AF566" s="36"/>
      <c r="AG566" s="36"/>
      <c r="AH566" s="36"/>
      <c r="AI566" s="36"/>
      <c r="AJ566" s="36" t="s">
        <v>81</v>
      </c>
      <c r="AK566" s="36">
        <v>46226</v>
      </c>
      <c r="AL566" s="36"/>
      <c r="AM566" s="36"/>
      <c r="AN566" s="36"/>
      <c r="AO566" s="36"/>
      <c r="AP566" s="36" t="s">
        <v>930</v>
      </c>
      <c r="AQ566" s="36"/>
      <c r="AR566" s="36"/>
      <c r="AS566" s="36"/>
      <c r="AT566" s="36"/>
      <c r="AU566" s="150"/>
      <c r="AV566" s="151"/>
      <c r="AW566" s="151"/>
      <c r="AX566" s="151"/>
      <c r="AY566" s="151"/>
    </row>
    <row r="567" spans="1:51" ht="18" customHeight="1">
      <c r="A567" s="40"/>
      <c r="B567" s="41"/>
      <c r="C567" s="42"/>
      <c r="D567" s="42"/>
      <c r="E567" s="42"/>
      <c r="F567" s="43" t="s">
        <v>48</v>
      </c>
      <c r="G567" s="59"/>
      <c r="H567" s="59"/>
      <c r="I567" s="44"/>
      <c r="J567" s="52"/>
      <c r="K567" s="53"/>
      <c r="L567" s="537"/>
      <c r="M567" s="42"/>
      <c r="N567" s="42"/>
      <c r="O567" s="42"/>
      <c r="P567" s="42"/>
      <c r="Q567" s="42"/>
      <c r="R567" s="42"/>
      <c r="S567" s="42"/>
      <c r="T567" s="41"/>
      <c r="U567" s="42"/>
      <c r="V567" s="53"/>
      <c r="W567" s="53"/>
      <c r="X567" s="53"/>
      <c r="Y567" s="53"/>
      <c r="Z567" s="43"/>
      <c r="AA567" s="43"/>
      <c r="AB567" s="43"/>
      <c r="AC567" s="54"/>
      <c r="AD567" s="43"/>
      <c r="AE567" s="46"/>
      <c r="AF567" s="46"/>
      <c r="AG567" s="46"/>
      <c r="AH567" s="46"/>
      <c r="AI567" s="46"/>
      <c r="AJ567" s="46" t="s">
        <v>81</v>
      </c>
      <c r="AK567" s="46">
        <v>46225</v>
      </c>
      <c r="AL567" s="46"/>
      <c r="AM567" s="46"/>
      <c r="AN567" s="46"/>
      <c r="AO567" s="46"/>
      <c r="AP567" s="46"/>
      <c r="AQ567" s="46"/>
      <c r="AR567" s="46"/>
      <c r="AS567" s="46"/>
      <c r="AT567" s="46"/>
      <c r="AU567" s="150"/>
      <c r="AV567" s="151"/>
      <c r="AW567" s="151"/>
      <c r="AX567" s="151"/>
      <c r="AY567" s="151"/>
    </row>
    <row r="568" spans="1:51" ht="18.75" customHeight="1">
      <c r="A568" s="591">
        <v>813321</v>
      </c>
      <c r="B568" s="29">
        <v>813321</v>
      </c>
      <c r="C568" s="30"/>
      <c r="D568" s="30"/>
      <c r="E568" s="30"/>
      <c r="F568" s="31" t="s">
        <v>43</v>
      </c>
      <c r="G568" s="33">
        <v>175</v>
      </c>
      <c r="H568" s="33">
        <v>110</v>
      </c>
      <c r="I568" s="34">
        <v>1</v>
      </c>
      <c r="J568" s="585" t="s">
        <v>912</v>
      </c>
      <c r="K568" s="31" t="s">
        <v>77</v>
      </c>
      <c r="L568" s="161" t="s">
        <v>805</v>
      </c>
      <c r="M568" s="30"/>
      <c r="N568" s="30"/>
      <c r="O568" s="30"/>
      <c r="P568" s="30"/>
      <c r="Q568" s="30"/>
      <c r="R568" s="30"/>
      <c r="S568" s="30"/>
      <c r="T568" s="29"/>
      <c r="U568" s="30"/>
      <c r="V568" s="36">
        <v>46142</v>
      </c>
      <c r="W568" s="36">
        <f>V568+15</f>
        <v>46157</v>
      </c>
      <c r="X568" s="36">
        <v>46142</v>
      </c>
      <c r="Y568" s="36">
        <f>X568+15</f>
        <v>46157</v>
      </c>
      <c r="Z568" s="31"/>
      <c r="AA568" s="31"/>
      <c r="AB568" s="31"/>
      <c r="AC568" s="37"/>
      <c r="AD568" s="31"/>
      <c r="AE568" s="36"/>
      <c r="AF568" s="36"/>
      <c r="AG568" s="36"/>
      <c r="AH568" s="36"/>
      <c r="AI568" s="36"/>
      <c r="AJ568" s="36">
        <v>46162</v>
      </c>
      <c r="AK568" s="36">
        <v>46154</v>
      </c>
      <c r="AL568" s="36"/>
      <c r="AM568" s="36"/>
      <c r="AN568" s="36"/>
      <c r="AO568" s="36"/>
      <c r="AP568" s="36"/>
      <c r="AQ568" s="36"/>
      <c r="AR568" s="36"/>
      <c r="AS568" s="36"/>
      <c r="AT568" s="36"/>
      <c r="AU568" s="150"/>
      <c r="AV568" s="151"/>
      <c r="AW568" s="151"/>
      <c r="AX568" s="151"/>
      <c r="AY568" s="151"/>
    </row>
    <row r="569" spans="1:51" ht="18" customHeight="1">
      <c r="A569" s="40"/>
      <c r="B569" s="41"/>
      <c r="C569" s="42"/>
      <c r="D569" s="42"/>
      <c r="E569" s="42"/>
      <c r="F569" s="43" t="s">
        <v>48</v>
      </c>
      <c r="G569" s="59"/>
      <c r="H569" s="59"/>
      <c r="I569" s="44"/>
      <c r="J569" s="52"/>
      <c r="K569" s="53"/>
      <c r="L569" s="537"/>
      <c r="M569" s="42"/>
      <c r="N569" s="42"/>
      <c r="O569" s="42"/>
      <c r="P569" s="42"/>
      <c r="Q569" s="42"/>
      <c r="R569" s="42"/>
      <c r="S569" s="42"/>
      <c r="T569" s="41"/>
      <c r="U569" s="42"/>
      <c r="V569" s="116"/>
      <c r="W569" s="116"/>
      <c r="X569" s="116"/>
      <c r="Y569" s="116"/>
      <c r="Z569" s="43"/>
      <c r="AA569" s="43"/>
      <c r="AB569" s="43"/>
      <c r="AC569" s="54"/>
      <c r="AD569" s="43"/>
      <c r="AE569" s="46"/>
      <c r="AF569" s="46"/>
      <c r="AG569" s="46"/>
      <c r="AH569" s="46"/>
      <c r="AI569" s="46"/>
      <c r="AJ569" s="46">
        <v>46122</v>
      </c>
      <c r="AK569" s="46">
        <v>46091</v>
      </c>
      <c r="AL569" s="46"/>
      <c r="AM569" s="46"/>
      <c r="AN569" s="46"/>
      <c r="AO569" s="46"/>
      <c r="AP569" s="46"/>
      <c r="AQ569" s="46"/>
      <c r="AR569" s="46"/>
      <c r="AS569" s="46"/>
      <c r="AT569" s="46"/>
      <c r="AU569" s="150"/>
      <c r="AV569" s="151"/>
      <c r="AW569" s="151"/>
      <c r="AX569" s="151"/>
      <c r="AY569" s="151"/>
    </row>
    <row r="570" spans="1:51" ht="18.75" customHeight="1">
      <c r="A570" s="149">
        <v>813197</v>
      </c>
      <c r="B570" s="29" t="s">
        <v>770</v>
      </c>
      <c r="C570" s="30" t="s">
        <v>731</v>
      </c>
      <c r="D570" s="30"/>
      <c r="E570" s="30"/>
      <c r="F570" s="31" t="s">
        <v>43</v>
      </c>
      <c r="G570" s="33">
        <v>150</v>
      </c>
      <c r="H570" s="33">
        <v>230</v>
      </c>
      <c r="I570" s="34">
        <v>2</v>
      </c>
      <c r="J570" s="607" t="s">
        <v>771</v>
      </c>
      <c r="K570" s="31" t="s">
        <v>45</v>
      </c>
      <c r="L570" s="161" t="s">
        <v>805</v>
      </c>
      <c r="M570" s="30"/>
      <c r="N570" s="30" t="s">
        <v>336</v>
      </c>
      <c r="O570" s="30"/>
      <c r="P570" s="552" t="s">
        <v>446</v>
      </c>
      <c r="Q570" s="30"/>
      <c r="R570" s="309" t="s">
        <v>511</v>
      </c>
      <c r="S570" s="309"/>
      <c r="T570" s="553"/>
      <c r="U570" s="309" t="s">
        <v>511</v>
      </c>
      <c r="V570" s="36" t="s">
        <v>879</v>
      </c>
      <c r="W570" s="36" t="s">
        <v>881</v>
      </c>
      <c r="X570" s="36" t="s">
        <v>880</v>
      </c>
      <c r="Y570" s="36" t="s">
        <v>881</v>
      </c>
      <c r="Z570" s="31"/>
      <c r="AA570" s="31"/>
      <c r="AB570" s="31"/>
      <c r="AC570" s="37" t="s">
        <v>270</v>
      </c>
      <c r="AD570" s="31"/>
      <c r="AE570" s="36"/>
      <c r="AF570" s="36"/>
      <c r="AG570" s="36"/>
      <c r="AH570" s="36"/>
      <c r="AI570" s="36"/>
      <c r="AJ570" s="36">
        <v>46101</v>
      </c>
      <c r="AK570" s="36">
        <v>46101</v>
      </c>
      <c r="AL570" s="36"/>
      <c r="AM570" s="36"/>
      <c r="AN570" s="36"/>
      <c r="AO570" s="36"/>
      <c r="AP570" s="36"/>
      <c r="AQ570" s="36"/>
      <c r="AR570" s="36"/>
      <c r="AS570" s="36"/>
      <c r="AT570" s="36"/>
      <c r="AU570" s="150"/>
      <c r="AV570" s="151"/>
      <c r="AW570" s="151"/>
      <c r="AX570" s="151"/>
      <c r="AY570" s="151"/>
    </row>
    <row r="571" spans="1:51" ht="18" customHeight="1">
      <c r="A571" s="40"/>
      <c r="B571" s="41"/>
      <c r="C571" s="42"/>
      <c r="D571" s="42"/>
      <c r="E571" s="42"/>
      <c r="F571" s="43" t="s">
        <v>48</v>
      </c>
      <c r="G571" s="59"/>
      <c r="H571" s="59"/>
      <c r="I571" s="44"/>
      <c r="J571" s="52"/>
      <c r="K571" s="53"/>
      <c r="L571" s="537"/>
      <c r="M571" s="42"/>
      <c r="N571" s="42"/>
      <c r="O571" s="42"/>
      <c r="P571" s="42"/>
      <c r="Q571" s="42"/>
      <c r="R571" s="42"/>
      <c r="S571" s="42"/>
      <c r="T571" s="41"/>
      <c r="U571" s="42"/>
      <c r="V571" s="116">
        <v>45996</v>
      </c>
      <c r="W571" s="116"/>
      <c r="X571" s="116">
        <v>45671</v>
      </c>
      <c r="Y571" s="116"/>
      <c r="Z571" s="43"/>
      <c r="AA571" s="43"/>
      <c r="AB571" s="43"/>
      <c r="AC571" s="54" t="s">
        <v>700</v>
      </c>
      <c r="AD571" s="43"/>
      <c r="AE571" s="46"/>
      <c r="AF571" s="46"/>
      <c r="AG571" s="46"/>
      <c r="AH571" s="46"/>
      <c r="AI571" s="46"/>
      <c r="AJ571" s="46" t="s">
        <v>729</v>
      </c>
      <c r="AK571" s="46">
        <v>46101</v>
      </c>
      <c r="AL571" s="46"/>
      <c r="AM571" s="46"/>
      <c r="AN571" s="46"/>
      <c r="AO571" s="46"/>
      <c r="AP571" s="46"/>
      <c r="AQ571" s="46"/>
      <c r="AR571" s="46"/>
      <c r="AS571" s="46"/>
      <c r="AT571" s="46"/>
      <c r="AU571" s="150"/>
      <c r="AV571" s="151"/>
      <c r="AW571" s="151"/>
      <c r="AX571" s="151"/>
      <c r="AY571" s="151"/>
    </row>
    <row r="572" spans="1:51" ht="18.75" customHeight="1">
      <c r="A572" s="591">
        <v>813328</v>
      </c>
      <c r="B572" s="29">
        <v>813328</v>
      </c>
      <c r="C572" s="30"/>
      <c r="D572" s="30"/>
      <c r="E572" s="30"/>
      <c r="F572" s="31" t="s">
        <v>43</v>
      </c>
      <c r="G572" s="33">
        <v>250</v>
      </c>
      <c r="H572" s="33">
        <v>275</v>
      </c>
      <c r="I572" s="34">
        <v>1</v>
      </c>
      <c r="J572" s="612" t="s">
        <v>937</v>
      </c>
      <c r="K572" s="31" t="s">
        <v>327</v>
      </c>
      <c r="L572" s="161"/>
      <c r="M572" s="30"/>
      <c r="N572" s="30"/>
      <c r="O572" s="30"/>
      <c r="P572" s="30"/>
      <c r="Q572" s="30"/>
      <c r="R572" s="30"/>
      <c r="S572" s="30"/>
      <c r="T572" s="29"/>
      <c r="U572" s="30"/>
      <c r="V572" s="35"/>
      <c r="W572" s="35"/>
      <c r="X572" s="35"/>
      <c r="Y572" s="35"/>
      <c r="Z572" s="31"/>
      <c r="AA572" s="31"/>
      <c r="AB572" s="31"/>
      <c r="AC572" s="37"/>
      <c r="AD572" s="31"/>
      <c r="AE572" s="36"/>
      <c r="AF572" s="36"/>
      <c r="AG572" s="36"/>
      <c r="AH572" s="36"/>
      <c r="AI572" s="36"/>
      <c r="AJ572" s="36">
        <v>46178</v>
      </c>
      <c r="AK572" s="36">
        <v>46178</v>
      </c>
      <c r="AL572" s="36"/>
      <c r="AM572" s="36"/>
      <c r="AN572" s="36"/>
      <c r="AO572" s="36"/>
      <c r="AP572" s="36"/>
      <c r="AQ572" s="36"/>
      <c r="AR572" s="36"/>
      <c r="AS572" s="36"/>
      <c r="AT572" s="36"/>
      <c r="AU572" s="150"/>
      <c r="AV572" s="151"/>
      <c r="AW572" s="151"/>
      <c r="AX572" s="151"/>
      <c r="AY572" s="151"/>
    </row>
    <row r="573" spans="1:51" ht="18" customHeight="1">
      <c r="A573" s="40"/>
      <c r="B573" s="41"/>
      <c r="C573" s="42"/>
      <c r="D573" s="42"/>
      <c r="E573" s="42"/>
      <c r="F573" s="43" t="s">
        <v>48</v>
      </c>
      <c r="G573" s="59"/>
      <c r="H573" s="59"/>
      <c r="I573" s="44"/>
      <c r="J573" s="52"/>
      <c r="K573" s="53"/>
      <c r="L573" s="537"/>
      <c r="M573" s="42"/>
      <c r="N573" s="42"/>
      <c r="O573" s="42"/>
      <c r="P573" s="42"/>
      <c r="Q573" s="42"/>
      <c r="R573" s="42"/>
      <c r="S573" s="42"/>
      <c r="T573" s="41"/>
      <c r="U573" s="42"/>
      <c r="V573" s="53"/>
      <c r="W573" s="53"/>
      <c r="X573" s="53"/>
      <c r="Y573" s="53"/>
      <c r="Z573" s="43"/>
      <c r="AA573" s="43"/>
      <c r="AB573" s="43"/>
      <c r="AC573" s="54"/>
      <c r="AD573" s="43"/>
      <c r="AE573" s="46"/>
      <c r="AF573" s="46"/>
      <c r="AG573" s="46"/>
      <c r="AH573" s="46"/>
      <c r="AI573" s="46"/>
      <c r="AJ573" s="46">
        <v>46156</v>
      </c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150"/>
      <c r="AV573" s="151"/>
      <c r="AW573" s="151"/>
      <c r="AX573" s="151"/>
      <c r="AY573" s="151"/>
    </row>
    <row r="574" spans="1:51" ht="18.75" customHeight="1">
      <c r="A574" s="591">
        <v>813322</v>
      </c>
      <c r="B574" s="29">
        <v>813321</v>
      </c>
      <c r="C574" s="30"/>
      <c r="D574" s="30"/>
      <c r="E574" s="30"/>
      <c r="F574" s="31" t="s">
        <v>43</v>
      </c>
      <c r="G574" s="33">
        <v>200</v>
      </c>
      <c r="H574" s="33">
        <v>400</v>
      </c>
      <c r="I574" s="34">
        <v>1</v>
      </c>
      <c r="J574" s="585" t="s">
        <v>912</v>
      </c>
      <c r="K574" s="31" t="s">
        <v>351</v>
      </c>
      <c r="L574" s="161" t="s">
        <v>805</v>
      </c>
      <c r="M574" s="30"/>
      <c r="N574" s="30"/>
      <c r="O574" s="30"/>
      <c r="P574" s="30"/>
      <c r="Q574" s="30"/>
      <c r="R574" s="30"/>
      <c r="S574" s="30"/>
      <c r="T574" s="29"/>
      <c r="U574" s="30"/>
      <c r="V574" s="36">
        <v>46157</v>
      </c>
      <c r="W574" s="36">
        <f>V574+15</f>
        <v>46172</v>
      </c>
      <c r="X574" s="36">
        <v>46157</v>
      </c>
      <c r="Y574" s="36">
        <f>X574+15</f>
        <v>46172</v>
      </c>
      <c r="Z574" s="31"/>
      <c r="AA574" s="31"/>
      <c r="AB574" s="31"/>
      <c r="AC574" s="37"/>
      <c r="AD574" s="31"/>
      <c r="AE574" s="36"/>
      <c r="AF574" s="36"/>
      <c r="AG574" s="36"/>
      <c r="AH574" s="36"/>
      <c r="AI574" s="36"/>
      <c r="AJ574" s="36">
        <v>46174</v>
      </c>
      <c r="AK574" s="36">
        <v>46174</v>
      </c>
      <c r="AL574" s="36"/>
      <c r="AM574" s="36"/>
      <c r="AN574" s="36"/>
      <c r="AO574" s="36"/>
      <c r="AP574" s="36"/>
      <c r="AQ574" s="36"/>
      <c r="AR574" s="36"/>
      <c r="AS574" s="36"/>
      <c r="AT574" s="36"/>
      <c r="AU574" s="150"/>
      <c r="AV574" s="151"/>
      <c r="AW574" s="151"/>
      <c r="AX574" s="151"/>
      <c r="AY574" s="151"/>
    </row>
    <row r="575" spans="1:51" ht="18" customHeight="1">
      <c r="A575" s="592"/>
      <c r="B575" s="41"/>
      <c r="C575" s="42"/>
      <c r="D575" s="42"/>
      <c r="E575" s="42"/>
      <c r="F575" s="43" t="s">
        <v>48</v>
      </c>
      <c r="G575" s="59"/>
      <c r="H575" s="59"/>
      <c r="I575" s="44"/>
      <c r="J575" s="52"/>
      <c r="K575" s="53"/>
      <c r="L575" s="537"/>
      <c r="M575" s="42"/>
      <c r="N575" s="42"/>
      <c r="O575" s="42"/>
      <c r="P575" s="42"/>
      <c r="Q575" s="42"/>
      <c r="R575" s="42"/>
      <c r="S575" s="42"/>
      <c r="T575" s="41"/>
      <c r="U575" s="42"/>
      <c r="V575" s="116"/>
      <c r="W575" s="116"/>
      <c r="X575" s="116"/>
      <c r="Y575" s="116"/>
      <c r="Z575" s="43"/>
      <c r="AA575" s="43"/>
      <c r="AB575" s="43"/>
      <c r="AC575" s="54"/>
      <c r="AD575" s="43"/>
      <c r="AE575" s="46"/>
      <c r="AF575" s="46"/>
      <c r="AG575" s="46"/>
      <c r="AH575" s="46"/>
      <c r="AI575" s="46"/>
      <c r="AJ575" s="46">
        <v>46135</v>
      </c>
      <c r="AK575" s="46">
        <v>46135</v>
      </c>
      <c r="AL575" s="46"/>
      <c r="AM575" s="46"/>
      <c r="AN575" s="46"/>
      <c r="AO575" s="46"/>
      <c r="AP575" s="46"/>
      <c r="AQ575" s="46"/>
      <c r="AR575" s="46"/>
      <c r="AS575" s="46"/>
      <c r="AT575" s="46"/>
      <c r="AU575" s="150"/>
      <c r="AV575" s="151"/>
      <c r="AW575" s="151"/>
      <c r="AX575" s="151"/>
      <c r="AY575" s="151"/>
    </row>
    <row r="576" spans="1:51" ht="18.75" customHeight="1">
      <c r="A576" s="149">
        <v>813140</v>
      </c>
      <c r="B576" s="29">
        <v>813140</v>
      </c>
      <c r="C576" s="30" t="s">
        <v>731</v>
      </c>
      <c r="D576" s="30"/>
      <c r="E576" s="30"/>
      <c r="F576" s="31" t="s">
        <v>43</v>
      </c>
      <c r="G576" s="33">
        <v>50</v>
      </c>
      <c r="H576" s="33">
        <v>230</v>
      </c>
      <c r="I576" s="34">
        <v>1</v>
      </c>
      <c r="J576" s="489" t="s">
        <v>696</v>
      </c>
      <c r="K576" s="31" t="s">
        <v>66</v>
      </c>
      <c r="L576" s="161" t="s">
        <v>800</v>
      </c>
      <c r="M576" s="30"/>
      <c r="N576" s="30" t="s">
        <v>426</v>
      </c>
      <c r="O576" s="30"/>
      <c r="P576" s="30" t="s">
        <v>707</v>
      </c>
      <c r="Q576" s="30"/>
      <c r="R576" s="30" t="s">
        <v>72</v>
      </c>
      <c r="S576" s="30"/>
      <c r="T576" s="29"/>
      <c r="U576" s="30"/>
      <c r="V576" s="36">
        <v>45922</v>
      </c>
      <c r="W576" s="36">
        <f>V576+15</f>
        <v>45937</v>
      </c>
      <c r="X576" s="36">
        <v>45943</v>
      </c>
      <c r="Y576" s="36">
        <f>X576+15</f>
        <v>45958</v>
      </c>
      <c r="Z576" s="31"/>
      <c r="AA576" s="31" t="s">
        <v>72</v>
      </c>
      <c r="AB576" s="31" t="s">
        <v>730</v>
      </c>
      <c r="AC576" s="37"/>
      <c r="AD576" s="31"/>
      <c r="AE576" s="36"/>
      <c r="AF576" s="36"/>
      <c r="AG576" s="36"/>
      <c r="AH576" s="36"/>
      <c r="AI576" s="36"/>
      <c r="AJ576" s="36">
        <v>46140</v>
      </c>
      <c r="AK576" s="36">
        <v>46140</v>
      </c>
      <c r="AL576" s="36"/>
      <c r="AM576" s="36"/>
      <c r="AN576" s="36"/>
      <c r="AO576" s="36"/>
      <c r="AP576" s="36"/>
      <c r="AQ576" s="36"/>
      <c r="AR576" s="36"/>
      <c r="AS576" s="36"/>
      <c r="AT576" s="36"/>
      <c r="AU576" s="150"/>
      <c r="AV576" s="151"/>
      <c r="AW576" s="151"/>
      <c r="AX576" s="151"/>
      <c r="AY576" s="151"/>
    </row>
    <row r="577" spans="1:51" ht="18" customHeight="1">
      <c r="A577" s="40"/>
      <c r="B577" s="41"/>
      <c r="C577" s="42"/>
      <c r="D577" s="42"/>
      <c r="E577" s="42"/>
      <c r="F577" s="43" t="s">
        <v>48</v>
      </c>
      <c r="G577" s="59"/>
      <c r="H577" s="59"/>
      <c r="I577" s="44"/>
      <c r="J577" s="44"/>
      <c r="K577" s="53"/>
      <c r="L577" s="537"/>
      <c r="M577" s="42"/>
      <c r="N577" s="42"/>
      <c r="O577" s="42"/>
      <c r="P577" s="42"/>
      <c r="Q577" s="42"/>
      <c r="R577" s="42"/>
      <c r="S577" s="42"/>
      <c r="T577" s="41"/>
      <c r="U577" s="42"/>
      <c r="V577" s="116"/>
      <c r="W577" s="116"/>
      <c r="X577" s="116"/>
      <c r="Y577" s="116"/>
      <c r="Z577" s="43"/>
      <c r="AA577" s="43"/>
      <c r="AB577" s="43"/>
      <c r="AC577" s="54"/>
      <c r="AD577" s="43"/>
      <c r="AE577" s="46"/>
      <c r="AF577" s="46"/>
      <c r="AG577" s="46"/>
      <c r="AH577" s="46"/>
      <c r="AI577" s="46"/>
      <c r="AJ577" s="46"/>
      <c r="AK577" s="46">
        <v>46182</v>
      </c>
      <c r="AL577" s="46"/>
      <c r="AM577" s="46"/>
      <c r="AN577" s="46"/>
      <c r="AO577" s="46"/>
      <c r="AP577" s="46"/>
      <c r="AQ577" s="46"/>
      <c r="AR577" s="46"/>
      <c r="AS577" s="46"/>
      <c r="AT577" s="46"/>
      <c r="AU577" s="150"/>
      <c r="AV577" s="151"/>
      <c r="AW577" s="151"/>
      <c r="AX577" s="151"/>
      <c r="AY577" s="151"/>
    </row>
    <row r="578" spans="1:51" ht="18.75" customHeight="1">
      <c r="A578" s="149">
        <v>813142</v>
      </c>
      <c r="B578" s="29">
        <v>813142</v>
      </c>
      <c r="C578" s="30" t="s">
        <v>731</v>
      </c>
      <c r="D578" s="30"/>
      <c r="E578" s="30"/>
      <c r="F578" s="31" t="s">
        <v>43</v>
      </c>
      <c r="G578" s="33">
        <v>80</v>
      </c>
      <c r="H578" s="33">
        <v>230</v>
      </c>
      <c r="I578" s="34">
        <v>1</v>
      </c>
      <c r="J578" s="489" t="s">
        <v>696</v>
      </c>
      <c r="K578" s="31" t="s">
        <v>66</v>
      </c>
      <c r="L578" s="161" t="s">
        <v>800</v>
      </c>
      <c r="M578" s="30"/>
      <c r="N578" s="30" t="s">
        <v>426</v>
      </c>
      <c r="O578" s="30"/>
      <c r="P578" s="30" t="s">
        <v>707</v>
      </c>
      <c r="Q578" s="30"/>
      <c r="R578" s="30" t="s">
        <v>72</v>
      </c>
      <c r="S578" s="30"/>
      <c r="T578" s="29"/>
      <c r="U578" s="30"/>
      <c r="V578" s="36">
        <v>45951</v>
      </c>
      <c r="W578" s="36">
        <f>V578+15</f>
        <v>45966</v>
      </c>
      <c r="X578" s="36">
        <v>45981</v>
      </c>
      <c r="Y578" s="36">
        <f>X578+15</f>
        <v>45996</v>
      </c>
      <c r="Z578" s="31"/>
      <c r="AA578" s="31" t="s">
        <v>72</v>
      </c>
      <c r="AB578" s="31" t="s">
        <v>730</v>
      </c>
      <c r="AC578" s="37"/>
      <c r="AD578" s="31"/>
      <c r="AE578" s="36"/>
      <c r="AF578" s="36"/>
      <c r="AG578" s="36"/>
      <c r="AH578" s="36"/>
      <c r="AI578" s="36"/>
      <c r="AJ578" s="36">
        <v>46141</v>
      </c>
      <c r="AK578" s="36">
        <v>46141</v>
      </c>
      <c r="AL578" s="36"/>
      <c r="AM578" s="36"/>
      <c r="AN578" s="36"/>
      <c r="AO578" s="36"/>
      <c r="AP578" s="36"/>
      <c r="AQ578" s="36"/>
      <c r="AR578" s="36"/>
      <c r="AS578" s="36"/>
      <c r="AT578" s="36"/>
      <c r="AU578" s="150"/>
      <c r="AV578" s="151"/>
      <c r="AW578" s="151"/>
      <c r="AX578" s="151"/>
      <c r="AY578" s="151"/>
    </row>
    <row r="579" spans="1:51" ht="13.5" customHeight="1">
      <c r="A579" s="40"/>
      <c r="B579" s="41"/>
      <c r="C579" s="42"/>
      <c r="D579" s="42"/>
      <c r="E579" s="42"/>
      <c r="F579" s="43" t="s">
        <v>48</v>
      </c>
      <c r="G579" s="59"/>
      <c r="H579" s="59"/>
      <c r="I579" s="44"/>
      <c r="J579" s="44"/>
      <c r="K579" s="53"/>
      <c r="L579" s="537"/>
      <c r="M579" s="42"/>
      <c r="N579" s="42"/>
      <c r="O579" s="42"/>
      <c r="P579" s="42"/>
      <c r="Q579" s="42"/>
      <c r="R579" s="42"/>
      <c r="S579" s="42"/>
      <c r="T579" s="41"/>
      <c r="U579" s="42"/>
      <c r="V579" s="116"/>
      <c r="W579" s="116"/>
      <c r="X579" s="116"/>
      <c r="Y579" s="116" t="s">
        <v>700</v>
      </c>
      <c r="Z579" s="43"/>
      <c r="AA579" s="43"/>
      <c r="AB579" s="43"/>
      <c r="AC579" s="54"/>
      <c r="AD579" s="43"/>
      <c r="AE579" s="46"/>
      <c r="AF579" s="46"/>
      <c r="AG579" s="46"/>
      <c r="AH579" s="46"/>
      <c r="AI579" s="46"/>
      <c r="AJ579" s="46"/>
      <c r="AK579" s="46">
        <v>46182</v>
      </c>
      <c r="AL579" s="46"/>
      <c r="AM579" s="46"/>
      <c r="AN579" s="46"/>
      <c r="AO579" s="46"/>
      <c r="AP579" s="46"/>
      <c r="AQ579" s="46"/>
      <c r="AR579" s="46"/>
      <c r="AS579" s="46"/>
      <c r="AT579" s="46"/>
      <c r="AU579" s="150"/>
      <c r="AV579" s="151"/>
      <c r="AW579" s="151"/>
      <c r="AX579" s="151"/>
      <c r="AY579" s="151"/>
    </row>
    <row r="580" spans="1:51" ht="18.75" customHeight="1">
      <c r="A580" s="294">
        <v>813303</v>
      </c>
      <c r="B580" s="29" t="s">
        <v>907</v>
      </c>
      <c r="C580" s="30"/>
      <c r="D580" s="30"/>
      <c r="E580" s="30"/>
      <c r="F580" s="31" t="s">
        <v>43</v>
      </c>
      <c r="G580" s="33">
        <v>200</v>
      </c>
      <c r="H580" s="33">
        <v>400</v>
      </c>
      <c r="I580" s="34">
        <v>15</v>
      </c>
      <c r="J580" s="572" t="s">
        <v>317</v>
      </c>
      <c r="K580" s="31" t="s">
        <v>45</v>
      </c>
      <c r="L580" s="161" t="s">
        <v>799</v>
      </c>
      <c r="M580" s="30"/>
      <c r="N580" s="30"/>
      <c r="O580" s="30"/>
      <c r="P580" s="30"/>
      <c r="Q580" s="30"/>
      <c r="R580" s="30"/>
      <c r="S580" s="30"/>
      <c r="T580" s="29"/>
      <c r="U580" s="30"/>
      <c r="V580" s="36"/>
      <c r="W580" s="36"/>
      <c r="X580" s="36"/>
      <c r="Y580" s="36"/>
      <c r="Z580" s="31"/>
      <c r="AA580" s="31"/>
      <c r="AB580" s="31"/>
      <c r="AC580" s="37"/>
      <c r="AD580" s="31"/>
      <c r="AE580" s="36"/>
      <c r="AF580" s="36"/>
      <c r="AG580" s="36"/>
      <c r="AH580" s="36"/>
      <c r="AI580" s="36"/>
      <c r="AJ580" s="36">
        <v>46030</v>
      </c>
      <c r="AK580" s="36">
        <v>46029</v>
      </c>
      <c r="AL580" s="36"/>
      <c r="AM580" s="36"/>
      <c r="AN580" s="36"/>
      <c r="AO580" s="36"/>
      <c r="AP580" s="36"/>
      <c r="AQ580" s="36"/>
      <c r="AR580" s="36"/>
      <c r="AS580" s="36"/>
      <c r="AT580" s="36"/>
      <c r="AU580" s="150"/>
      <c r="AV580" s="151"/>
      <c r="AW580" s="151"/>
      <c r="AX580" s="151"/>
      <c r="AY580" s="151"/>
    </row>
    <row r="581" spans="1:51" ht="18" customHeight="1">
      <c r="A581" s="227"/>
      <c r="B581" s="41"/>
      <c r="C581" s="42"/>
      <c r="D581" s="42"/>
      <c r="E581" s="42"/>
      <c r="F581" s="43" t="s">
        <v>48</v>
      </c>
      <c r="G581" s="59"/>
      <c r="H581" s="59"/>
      <c r="I581" s="44"/>
      <c r="J581" s="52"/>
      <c r="K581" s="53"/>
      <c r="L581" s="537"/>
      <c r="M581" s="42"/>
      <c r="N581" s="42"/>
      <c r="O581" s="42"/>
      <c r="P581" s="42"/>
      <c r="Q581" s="42"/>
      <c r="R581" s="42"/>
      <c r="S581" s="42"/>
      <c r="T581" s="41"/>
      <c r="U581" s="42"/>
      <c r="V581" s="116"/>
      <c r="W581" s="116"/>
      <c r="X581" s="116"/>
      <c r="Y581" s="116"/>
      <c r="Z581" s="43"/>
      <c r="AA581" s="43"/>
      <c r="AB581" s="43"/>
      <c r="AC581" s="54"/>
      <c r="AD581" s="43"/>
      <c r="AE581" s="46"/>
      <c r="AF581" s="46"/>
      <c r="AG581" s="46"/>
      <c r="AH581" s="46"/>
      <c r="AI581" s="46"/>
      <c r="AJ581" s="46">
        <v>46030</v>
      </c>
      <c r="AK581" s="46" t="s">
        <v>559</v>
      </c>
      <c r="AL581" s="46"/>
      <c r="AM581" s="46"/>
      <c r="AN581" s="46"/>
      <c r="AO581" s="46"/>
      <c r="AP581" s="46"/>
      <c r="AQ581" s="46"/>
      <c r="AR581" s="46"/>
      <c r="AS581" s="46"/>
      <c r="AT581" s="46"/>
      <c r="AU581" s="150"/>
      <c r="AV581" s="151"/>
      <c r="AW581" s="151"/>
      <c r="AX581" s="151"/>
      <c r="AY581" s="151"/>
    </row>
    <row r="582" spans="1:51" ht="18.75" customHeight="1">
      <c r="A582" s="591">
        <v>813345</v>
      </c>
      <c r="B582" s="29" t="s">
        <v>948</v>
      </c>
      <c r="C582" s="30"/>
      <c r="D582" s="30"/>
      <c r="E582" s="30"/>
      <c r="F582" s="31" t="s">
        <v>43</v>
      </c>
      <c r="G582" s="389">
        <v>216</v>
      </c>
      <c r="H582" s="389">
        <v>242</v>
      </c>
      <c r="I582" s="34">
        <v>7</v>
      </c>
      <c r="J582" s="605" t="s">
        <v>949</v>
      </c>
      <c r="K582" s="31" t="s">
        <v>384</v>
      </c>
      <c r="L582" s="161" t="s">
        <v>805</v>
      </c>
      <c r="M582" s="30"/>
      <c r="N582" s="30"/>
      <c r="O582" s="30"/>
      <c r="P582" s="30"/>
      <c r="Q582" s="30"/>
      <c r="R582" s="30"/>
      <c r="S582" s="30"/>
      <c r="T582" s="29"/>
      <c r="U582" s="30"/>
      <c r="V582" s="35"/>
      <c r="W582" s="35"/>
      <c r="X582" s="35"/>
      <c r="Y582" s="35"/>
      <c r="Z582" s="31"/>
      <c r="AA582" s="31" t="s">
        <v>72</v>
      </c>
      <c r="AB582" s="31" t="s">
        <v>730</v>
      </c>
      <c r="AC582" s="37"/>
      <c r="AD582" s="31"/>
      <c r="AE582" s="36"/>
      <c r="AF582" s="36"/>
      <c r="AG582" s="36"/>
      <c r="AH582" s="36"/>
      <c r="AI582" s="36"/>
      <c r="AJ582" s="36">
        <v>46234</v>
      </c>
      <c r="AK582" s="36">
        <v>46234</v>
      </c>
      <c r="AL582" s="36"/>
      <c r="AM582" s="36"/>
      <c r="AN582" s="36"/>
      <c r="AO582" s="36"/>
      <c r="AP582" s="36"/>
      <c r="AQ582" s="36"/>
      <c r="AR582" s="36"/>
      <c r="AS582" s="36"/>
      <c r="AT582" s="36"/>
      <c r="AU582" s="150"/>
      <c r="AV582" s="151"/>
      <c r="AW582" s="151"/>
      <c r="AX582" s="151"/>
      <c r="AY582" s="151"/>
    </row>
    <row r="583" spans="1:51" ht="18" customHeight="1">
      <c r="A583" s="592"/>
      <c r="B583" s="41"/>
      <c r="C583" s="42"/>
      <c r="D583" s="42"/>
      <c r="E583" s="42"/>
      <c r="F583" s="43" t="s">
        <v>48</v>
      </c>
      <c r="G583" s="59"/>
      <c r="H583" s="59"/>
      <c r="I583" s="44"/>
      <c r="J583" s="52"/>
      <c r="K583" s="53"/>
      <c r="L583" s="537"/>
      <c r="M583" s="42"/>
      <c r="N583" s="42"/>
      <c r="O583" s="42"/>
      <c r="P583" s="42"/>
      <c r="Q583" s="42"/>
      <c r="R583" s="42"/>
      <c r="S583" s="42"/>
      <c r="T583" s="41"/>
      <c r="U583" s="42"/>
      <c r="V583" s="53"/>
      <c r="W583" s="53"/>
      <c r="X583" s="53"/>
      <c r="Y583" s="53"/>
      <c r="Z583" s="43"/>
      <c r="AA583" s="43"/>
      <c r="AB583" s="43"/>
      <c r="AC583" s="54"/>
      <c r="AD583" s="43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150"/>
      <c r="AV583" s="151"/>
      <c r="AW583" s="151"/>
      <c r="AX583" s="151"/>
      <c r="AY583" s="151"/>
    </row>
    <row r="584" spans="1:51" ht="26.15" customHeight="1">
      <c r="A584" s="160">
        <v>813410</v>
      </c>
      <c r="B584" s="29" t="s">
        <v>996</v>
      </c>
      <c r="C584" s="30"/>
      <c r="D584" s="30"/>
      <c r="E584" s="30"/>
      <c r="F584" s="31" t="s">
        <v>43</v>
      </c>
      <c r="G584" s="33">
        <v>315</v>
      </c>
      <c r="H584" s="33">
        <v>330</v>
      </c>
      <c r="I584" s="34">
        <v>2</v>
      </c>
      <c r="J584" s="578" t="s">
        <v>997</v>
      </c>
      <c r="K584" s="31" t="s">
        <v>351</v>
      </c>
      <c r="L584" s="161"/>
      <c r="M584" s="30"/>
      <c r="N584" s="30"/>
      <c r="O584" s="30"/>
      <c r="P584" s="30"/>
      <c r="Q584" s="30"/>
      <c r="R584" s="30"/>
      <c r="S584" s="30"/>
      <c r="T584" s="29"/>
      <c r="U584" s="30"/>
      <c r="V584" s="35"/>
      <c r="W584" s="35"/>
      <c r="X584" s="35"/>
      <c r="Y584" s="35"/>
      <c r="Z584" s="31"/>
      <c r="AA584" s="31"/>
      <c r="AB584" s="31"/>
      <c r="AC584" s="37"/>
      <c r="AD584" s="31"/>
      <c r="AE584" s="36"/>
      <c r="AF584" s="36"/>
      <c r="AG584" s="36"/>
      <c r="AH584" s="36"/>
      <c r="AI584" s="36"/>
      <c r="AJ584" s="36">
        <v>46237</v>
      </c>
      <c r="AK584" s="36">
        <v>46237</v>
      </c>
      <c r="AL584" s="36"/>
      <c r="AM584" s="36"/>
      <c r="AN584" s="36"/>
      <c r="AO584" s="36"/>
      <c r="AP584" s="36"/>
      <c r="AQ584" s="36"/>
      <c r="AR584" s="36"/>
      <c r="AS584" s="36"/>
      <c r="AT584" s="36"/>
      <c r="AU584" s="150"/>
      <c r="AV584" s="151"/>
      <c r="AW584" s="151"/>
      <c r="AX584" s="151"/>
      <c r="AY584" s="151"/>
    </row>
    <row r="585" spans="1:51" ht="18" customHeight="1">
      <c r="A585" s="40"/>
      <c r="B585" s="41"/>
      <c r="C585" s="42"/>
      <c r="D585" s="42"/>
      <c r="E585" s="42"/>
      <c r="F585" s="43" t="s">
        <v>48</v>
      </c>
      <c r="G585" s="59"/>
      <c r="H585" s="59"/>
      <c r="I585" s="44"/>
      <c r="J585" s="52"/>
      <c r="K585" s="53"/>
      <c r="L585" s="537"/>
      <c r="M585" s="42"/>
      <c r="N585" s="42"/>
      <c r="O585" s="42"/>
      <c r="P585" s="42"/>
      <c r="Q585" s="42"/>
      <c r="R585" s="42"/>
      <c r="S585" s="42"/>
      <c r="T585" s="41"/>
      <c r="U585" s="42"/>
      <c r="V585" s="53"/>
      <c r="W585" s="53"/>
      <c r="X585" s="53"/>
      <c r="Y585" s="53"/>
      <c r="Z585" s="43"/>
      <c r="AA585" s="43"/>
      <c r="AB585" s="43"/>
      <c r="AC585" s="54"/>
      <c r="AD585" s="43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150"/>
      <c r="AV585" s="151"/>
      <c r="AW585" s="151"/>
      <c r="AX585" s="151"/>
      <c r="AY585" s="151"/>
    </row>
    <row r="586" spans="1:51" ht="20.25" customHeight="1">
      <c r="A586" s="160">
        <v>813423</v>
      </c>
      <c r="B586" s="29">
        <v>813423</v>
      </c>
      <c r="C586" s="30"/>
      <c r="D586" s="30"/>
      <c r="E586" s="30"/>
      <c r="F586" s="31" t="s">
        <v>43</v>
      </c>
      <c r="G586" s="33">
        <v>91</v>
      </c>
      <c r="H586" s="33">
        <v>550</v>
      </c>
      <c r="I586" s="34">
        <v>1</v>
      </c>
      <c r="J586" s="498" t="s">
        <v>1005</v>
      </c>
      <c r="K586" s="31" t="s">
        <v>108</v>
      </c>
      <c r="L586" s="161"/>
      <c r="M586" s="30"/>
      <c r="N586" s="30"/>
      <c r="O586" s="30"/>
      <c r="P586" s="30"/>
      <c r="Q586" s="30"/>
      <c r="R586" s="30"/>
      <c r="S586" s="30"/>
      <c r="T586" s="29"/>
      <c r="U586" s="30"/>
      <c r="V586" s="35"/>
      <c r="W586" s="35"/>
      <c r="X586" s="35"/>
      <c r="Y586" s="35"/>
      <c r="Z586" s="31"/>
      <c r="AA586" s="31"/>
      <c r="AB586" s="31"/>
      <c r="AC586" s="37"/>
      <c r="AD586" s="31"/>
      <c r="AE586" s="36"/>
      <c r="AF586" s="36"/>
      <c r="AG586" s="36"/>
      <c r="AH586" s="36"/>
      <c r="AI586" s="36"/>
      <c r="AJ586" s="36" t="s">
        <v>81</v>
      </c>
      <c r="AK586" s="36">
        <v>46239</v>
      </c>
      <c r="AL586" s="36"/>
      <c r="AM586" s="36"/>
      <c r="AN586" s="36"/>
      <c r="AO586" s="36"/>
      <c r="AP586" s="36"/>
      <c r="AQ586" s="36"/>
      <c r="AR586" s="36"/>
      <c r="AS586" s="36"/>
      <c r="AT586" s="36"/>
      <c r="AU586" s="150"/>
      <c r="AV586" s="151"/>
      <c r="AW586" s="151"/>
      <c r="AX586" s="151"/>
      <c r="AY586" s="151"/>
    </row>
    <row r="587" spans="1:51" ht="18" customHeight="1">
      <c r="A587" s="592"/>
      <c r="B587" s="41"/>
      <c r="C587" s="42"/>
      <c r="D587" s="42"/>
      <c r="E587" s="42"/>
      <c r="F587" s="43" t="s">
        <v>48</v>
      </c>
      <c r="G587" s="59"/>
      <c r="H587" s="59"/>
      <c r="I587" s="44"/>
      <c r="J587" s="52"/>
      <c r="K587" s="53"/>
      <c r="L587" s="537"/>
      <c r="M587" s="42"/>
      <c r="N587" s="42"/>
      <c r="O587" s="42"/>
      <c r="P587" s="42"/>
      <c r="Q587" s="42"/>
      <c r="R587" s="42"/>
      <c r="S587" s="42"/>
      <c r="T587" s="41"/>
      <c r="U587" s="42"/>
      <c r="V587" s="53"/>
      <c r="W587" s="53"/>
      <c r="X587" s="53"/>
      <c r="Y587" s="53"/>
      <c r="Z587" s="43"/>
      <c r="AA587" s="43"/>
      <c r="AB587" s="43"/>
      <c r="AC587" s="54"/>
      <c r="AD587" s="43"/>
      <c r="AE587" s="46"/>
      <c r="AF587" s="46"/>
      <c r="AG587" s="46"/>
      <c r="AH587" s="46"/>
      <c r="AI587" s="46"/>
      <c r="AJ587" s="46" t="s">
        <v>81</v>
      </c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150"/>
      <c r="AV587" s="151"/>
      <c r="AW587" s="151"/>
      <c r="AX587" s="151"/>
      <c r="AY587" s="151"/>
    </row>
    <row r="588" spans="1:51" ht="28.4" customHeight="1">
      <c r="A588" s="591">
        <v>813288</v>
      </c>
      <c r="B588" s="29" t="s">
        <v>908</v>
      </c>
      <c r="C588" s="30" t="s">
        <v>173</v>
      </c>
      <c r="D588" s="30"/>
      <c r="E588" s="30"/>
      <c r="F588" s="31" t="s">
        <v>43</v>
      </c>
      <c r="G588" s="33">
        <v>200</v>
      </c>
      <c r="H588" s="33">
        <v>400</v>
      </c>
      <c r="I588" s="34">
        <v>2</v>
      </c>
      <c r="J588" s="409" t="s">
        <v>909</v>
      </c>
      <c r="K588" s="31" t="s">
        <v>108</v>
      </c>
      <c r="L588" s="161" t="s">
        <v>799</v>
      </c>
      <c r="M588" s="30"/>
      <c r="N588" s="30"/>
      <c r="O588" s="30"/>
      <c r="P588" s="30"/>
      <c r="Q588" s="30"/>
      <c r="R588" s="30"/>
      <c r="S588" s="30"/>
      <c r="T588" s="29"/>
      <c r="U588" s="30"/>
      <c r="V588" s="35"/>
      <c r="W588" s="35"/>
      <c r="X588" s="35"/>
      <c r="Y588" s="35"/>
      <c r="Z588" s="31"/>
      <c r="AA588" s="31"/>
      <c r="AB588" s="31"/>
      <c r="AC588" s="37"/>
      <c r="AD588" s="31"/>
      <c r="AE588" s="36"/>
      <c r="AF588" s="36"/>
      <c r="AG588" s="36"/>
      <c r="AH588" s="36"/>
      <c r="AI588" s="36"/>
      <c r="AJ588" s="36">
        <v>46196</v>
      </c>
      <c r="AK588" s="36" t="s">
        <v>972</v>
      </c>
      <c r="AL588" s="36"/>
      <c r="AM588" s="36"/>
      <c r="AN588" s="36"/>
      <c r="AO588" s="36"/>
      <c r="AP588" s="36"/>
      <c r="AQ588" s="36"/>
      <c r="AR588" s="36"/>
      <c r="AS588" s="36"/>
      <c r="AT588" s="36"/>
      <c r="AU588" s="150"/>
      <c r="AV588" s="151"/>
      <c r="AW588" s="151"/>
      <c r="AX588" s="151"/>
      <c r="AY588" s="151"/>
    </row>
    <row r="589" spans="1:51" ht="18" customHeight="1">
      <c r="A589" s="592"/>
      <c r="B589" s="41"/>
      <c r="C589" s="42">
        <v>813001</v>
      </c>
      <c r="D589" s="42"/>
      <c r="E589" s="42"/>
      <c r="F589" s="43" t="s">
        <v>48</v>
      </c>
      <c r="G589" s="59"/>
      <c r="H589" s="59"/>
      <c r="I589" s="44"/>
      <c r="J589" s="52"/>
      <c r="K589" s="53"/>
      <c r="L589" s="537"/>
      <c r="M589" s="42"/>
      <c r="N589" s="42"/>
      <c r="O589" s="42"/>
      <c r="P589" s="42"/>
      <c r="Q589" s="42"/>
      <c r="R589" s="42"/>
      <c r="S589" s="42"/>
      <c r="T589" s="41"/>
      <c r="U589" s="42"/>
      <c r="V589" s="53"/>
      <c r="W589" s="53"/>
      <c r="X589" s="53"/>
      <c r="Y589" s="53"/>
      <c r="Z589" s="43"/>
      <c r="AA589" s="43"/>
      <c r="AB589" s="43"/>
      <c r="AC589" s="54"/>
      <c r="AD589" s="43"/>
      <c r="AE589" s="46"/>
      <c r="AF589" s="46"/>
      <c r="AG589" s="46"/>
      <c r="AH589" s="46"/>
      <c r="AI589" s="46"/>
      <c r="AJ589" s="46" t="s">
        <v>271</v>
      </c>
      <c r="AK589" s="46">
        <v>46029</v>
      </c>
      <c r="AL589" s="46"/>
      <c r="AM589" s="46"/>
      <c r="AN589" s="46"/>
      <c r="AO589" s="46"/>
      <c r="AP589" s="46"/>
      <c r="AQ589" s="46"/>
      <c r="AR589" s="46"/>
      <c r="AS589" s="46"/>
      <c r="AT589" s="46"/>
      <c r="AU589" s="150"/>
      <c r="AV589" s="151"/>
      <c r="AW589" s="151"/>
      <c r="AX589" s="151"/>
      <c r="AY589" s="151"/>
    </row>
    <row r="590" spans="1:51" ht="18.75" customHeight="1">
      <c r="A590" s="160">
        <v>813357</v>
      </c>
      <c r="B590" s="608" t="s">
        <v>980</v>
      </c>
      <c r="C590" s="30"/>
      <c r="D590" s="30"/>
      <c r="E590" s="30"/>
      <c r="F590" s="31" t="s">
        <v>43</v>
      </c>
      <c r="G590" s="33">
        <v>400</v>
      </c>
      <c r="H590" s="33">
        <v>400</v>
      </c>
      <c r="I590" s="34">
        <v>4</v>
      </c>
      <c r="J590" s="578" t="s">
        <v>947</v>
      </c>
      <c r="K590" s="31" t="s">
        <v>231</v>
      </c>
      <c r="L590" s="161"/>
      <c r="M590" s="30"/>
      <c r="N590" s="30"/>
      <c r="O590" s="30"/>
      <c r="P590" s="30"/>
      <c r="Q590" s="30"/>
      <c r="R590" s="30"/>
      <c r="S590" s="30"/>
      <c r="T590" s="29"/>
      <c r="U590" s="30"/>
      <c r="V590" s="35"/>
      <c r="W590" s="35"/>
      <c r="X590" s="35"/>
      <c r="Y590" s="35"/>
      <c r="Z590" s="31"/>
      <c r="AA590" s="31"/>
      <c r="AB590" s="31"/>
      <c r="AC590" s="37"/>
      <c r="AD590" s="31"/>
      <c r="AE590" s="36"/>
      <c r="AF590" s="36"/>
      <c r="AG590" s="36"/>
      <c r="AH590" s="36"/>
      <c r="AI590" s="36"/>
      <c r="AJ590" s="36">
        <v>46184</v>
      </c>
      <c r="AK590" s="36">
        <v>46184</v>
      </c>
      <c r="AL590" s="36"/>
      <c r="AM590" s="36"/>
      <c r="AN590" s="36"/>
      <c r="AO590" s="36"/>
      <c r="AP590" s="36"/>
      <c r="AQ590" s="36"/>
      <c r="AR590" s="36"/>
      <c r="AS590" s="36"/>
      <c r="AT590" s="36"/>
      <c r="AU590" s="150"/>
      <c r="AV590" s="151"/>
      <c r="AW590" s="151"/>
      <c r="AX590" s="151"/>
      <c r="AY590" s="151"/>
    </row>
    <row r="591" spans="1:51" ht="18" customHeight="1">
      <c r="A591" s="40"/>
      <c r="B591" s="41"/>
      <c r="C591" s="42"/>
      <c r="D591" s="42"/>
      <c r="E591" s="42"/>
      <c r="F591" s="43" t="s">
        <v>48</v>
      </c>
      <c r="G591" s="59"/>
      <c r="H591" s="59"/>
      <c r="I591" s="44"/>
      <c r="J591" s="615" t="s">
        <v>981</v>
      </c>
      <c r="K591" s="53"/>
      <c r="L591" s="537"/>
      <c r="M591" s="42"/>
      <c r="N591" s="42"/>
      <c r="O591" s="42"/>
      <c r="P591" s="42"/>
      <c r="Q591" s="42"/>
      <c r="R591" s="42"/>
      <c r="S591" s="42"/>
      <c r="T591" s="41"/>
      <c r="U591" s="42"/>
      <c r="V591" s="53"/>
      <c r="W591" s="53"/>
      <c r="X591" s="53"/>
      <c r="Y591" s="53"/>
      <c r="Z591" s="43"/>
      <c r="AA591" s="43"/>
      <c r="AB591" s="43"/>
      <c r="AC591" s="54"/>
      <c r="AD591" s="43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150"/>
      <c r="AV591" s="151"/>
      <c r="AW591" s="151"/>
      <c r="AX591" s="151"/>
      <c r="AY591" s="151"/>
    </row>
    <row r="592" spans="1:51" ht="18.75" customHeight="1">
      <c r="A592" s="591">
        <v>813301</v>
      </c>
      <c r="B592" s="29" t="s">
        <v>902</v>
      </c>
      <c r="C592" s="30"/>
      <c r="D592" s="30"/>
      <c r="E592" s="30"/>
      <c r="F592" s="31" t="s">
        <v>43</v>
      </c>
      <c r="G592" s="33">
        <v>240</v>
      </c>
      <c r="H592" s="33">
        <v>220</v>
      </c>
      <c r="I592" s="34">
        <v>2</v>
      </c>
      <c r="J592" s="569" t="s">
        <v>903</v>
      </c>
      <c r="K592" s="31" t="s">
        <v>66</v>
      </c>
      <c r="L592" s="161" t="s">
        <v>802</v>
      </c>
      <c r="M592" s="30"/>
      <c r="N592" s="30"/>
      <c r="O592" s="30"/>
      <c r="P592" s="30"/>
      <c r="Q592" s="30"/>
      <c r="R592" s="30"/>
      <c r="S592" s="30"/>
      <c r="T592" s="29"/>
      <c r="U592" s="30"/>
      <c r="V592" s="35">
        <v>46067</v>
      </c>
      <c r="W592" s="35">
        <f>V592+15</f>
        <v>46082</v>
      </c>
      <c r="X592" s="35">
        <v>46067</v>
      </c>
      <c r="Y592" s="35">
        <f>X592+15</f>
        <v>46082</v>
      </c>
      <c r="Z592" s="31"/>
      <c r="AA592" s="31"/>
      <c r="AB592" s="31"/>
      <c r="AC592" s="37"/>
      <c r="AD592" s="31"/>
      <c r="AE592" s="36"/>
      <c r="AF592" s="36"/>
      <c r="AG592" s="36"/>
      <c r="AH592" s="36"/>
      <c r="AI592" s="36"/>
      <c r="AJ592" s="36">
        <v>46077</v>
      </c>
      <c r="AK592" s="36">
        <v>46077</v>
      </c>
      <c r="AL592" s="36"/>
      <c r="AM592" s="36"/>
      <c r="AN592" s="36">
        <v>46162</v>
      </c>
      <c r="AO592" s="36" t="s">
        <v>81</v>
      </c>
      <c r="AP592" s="36"/>
      <c r="AQ592" s="36"/>
      <c r="AR592" s="36"/>
      <c r="AS592" s="36"/>
      <c r="AT592" s="36"/>
      <c r="AU592" s="150"/>
      <c r="AV592" s="151"/>
      <c r="AW592" s="151"/>
      <c r="AX592" s="151"/>
      <c r="AY592" s="151"/>
    </row>
    <row r="593" spans="1:51" ht="20.25" customHeight="1">
      <c r="A593" s="592"/>
      <c r="B593" s="41"/>
      <c r="C593" s="42"/>
      <c r="D593" s="42"/>
      <c r="E593" s="42"/>
      <c r="F593" s="43" t="s">
        <v>48</v>
      </c>
      <c r="G593" s="59"/>
      <c r="H593" s="59"/>
      <c r="I593" s="44"/>
      <c r="J593" s="52"/>
      <c r="K593" s="53"/>
      <c r="L593" s="537"/>
      <c r="M593" s="42"/>
      <c r="N593" s="42"/>
      <c r="O593" s="42"/>
      <c r="P593" s="42"/>
      <c r="Q593" s="42"/>
      <c r="R593" s="42"/>
      <c r="S593" s="42"/>
      <c r="T593" s="41"/>
      <c r="U593" s="42"/>
      <c r="V593" s="53">
        <v>46067</v>
      </c>
      <c r="W593" s="53"/>
      <c r="X593" s="53">
        <v>46067</v>
      </c>
      <c r="Y593" s="53"/>
      <c r="Z593" s="43"/>
      <c r="AA593" s="43"/>
      <c r="AB593" s="43"/>
      <c r="AC593" s="54"/>
      <c r="AD593" s="43"/>
      <c r="AE593" s="46"/>
      <c r="AF593" s="46"/>
      <c r="AG593" s="46"/>
      <c r="AH593" s="46"/>
      <c r="AI593" s="46"/>
      <c r="AJ593" s="46">
        <v>46077</v>
      </c>
      <c r="AK593" s="46">
        <v>46077</v>
      </c>
      <c r="AL593" s="46"/>
      <c r="AM593" s="46"/>
      <c r="AN593" s="46" t="s">
        <v>1026</v>
      </c>
      <c r="AO593" s="46"/>
      <c r="AP593" s="46" t="s">
        <v>924</v>
      </c>
      <c r="AQ593" s="46"/>
      <c r="AR593" s="46"/>
      <c r="AS593" s="46"/>
      <c r="AT593" s="46"/>
      <c r="AU593" s="150"/>
      <c r="AV593" s="151"/>
      <c r="AW593" s="151"/>
      <c r="AX593" s="151"/>
      <c r="AY593" s="151"/>
    </row>
    <row r="594" spans="1:51" ht="21" customHeight="1">
      <c r="A594" s="603">
        <v>813340</v>
      </c>
      <c r="B594" s="608" t="s">
        <v>971</v>
      </c>
      <c r="C594" s="30"/>
      <c r="D594" s="30"/>
      <c r="E594" s="30"/>
      <c r="F594" s="31" t="s">
        <v>43</v>
      </c>
      <c r="G594" s="606">
        <v>200</v>
      </c>
      <c r="H594" s="33">
        <v>420</v>
      </c>
      <c r="I594" s="34">
        <v>4</v>
      </c>
      <c r="J594" s="582" t="s">
        <v>931</v>
      </c>
      <c r="K594" s="31" t="s">
        <v>108</v>
      </c>
      <c r="L594" s="161"/>
      <c r="M594" s="30"/>
      <c r="N594" s="30"/>
      <c r="O594" s="30"/>
      <c r="P594" s="30"/>
      <c r="Q594" s="30"/>
      <c r="R594" s="30"/>
      <c r="S594" s="30"/>
      <c r="T594" s="29"/>
      <c r="U594" s="30"/>
      <c r="V594" s="35"/>
      <c r="W594" s="35"/>
      <c r="X594" s="35"/>
      <c r="Y594" s="35"/>
      <c r="Z594" s="31"/>
      <c r="AA594" s="31"/>
      <c r="AB594" s="31"/>
      <c r="AC594" s="37"/>
      <c r="AD594" s="31"/>
      <c r="AE594" s="36"/>
      <c r="AF594" s="36"/>
      <c r="AG594" s="36"/>
      <c r="AH594" s="36"/>
      <c r="AI594" s="36"/>
      <c r="AJ594" s="36">
        <v>46183</v>
      </c>
      <c r="AK594" s="36">
        <v>46183</v>
      </c>
      <c r="AL594" s="36"/>
      <c r="AM594" s="36"/>
      <c r="AN594" s="36"/>
      <c r="AO594" s="36"/>
      <c r="AP594" s="36"/>
      <c r="AQ594" s="36"/>
      <c r="AR594" s="36"/>
      <c r="AS594" s="36"/>
      <c r="AT594" s="36"/>
      <c r="AU594" s="150"/>
      <c r="AV594" s="151"/>
      <c r="AW594" s="151"/>
      <c r="AX594" s="151"/>
      <c r="AY594" s="151"/>
    </row>
    <row r="595" spans="1:51" ht="22.5" customHeight="1">
      <c r="A595" s="592"/>
      <c r="B595" s="41"/>
      <c r="C595" s="42"/>
      <c r="D595" s="72"/>
      <c r="E595" s="42"/>
      <c r="F595" s="43" t="s">
        <v>48</v>
      </c>
      <c r="G595" s="59"/>
      <c r="H595" s="59"/>
      <c r="I595" s="44"/>
      <c r="J595" s="71" t="s">
        <v>982</v>
      </c>
      <c r="K595" s="53"/>
      <c r="L595" s="537"/>
      <c r="M595" s="42"/>
      <c r="N595" s="42"/>
      <c r="O595" s="42"/>
      <c r="P595" s="42"/>
      <c r="Q595" s="42"/>
      <c r="R595" s="42"/>
      <c r="S595" s="42"/>
      <c r="T595" s="41"/>
      <c r="U595" s="42"/>
      <c r="V595" s="53"/>
      <c r="W595" s="53"/>
      <c r="X595" s="53"/>
      <c r="Y595" s="53"/>
      <c r="Z595" s="43"/>
      <c r="AA595" s="43"/>
      <c r="AB595" s="43"/>
      <c r="AC595" s="54"/>
      <c r="AD595" s="43"/>
      <c r="AE595" s="46"/>
      <c r="AF595" s="46"/>
      <c r="AG595" s="46"/>
      <c r="AH595" s="46"/>
      <c r="AI595" s="46"/>
      <c r="AJ595" s="46">
        <v>46107</v>
      </c>
      <c r="AK595" s="46">
        <v>46107</v>
      </c>
      <c r="AL595" s="46"/>
      <c r="AM595" s="46"/>
      <c r="AN595" s="46"/>
      <c r="AO595" s="46"/>
      <c r="AP595" s="46"/>
      <c r="AQ595" s="46"/>
      <c r="AR595" s="46"/>
      <c r="AS595" s="46"/>
      <c r="AT595" s="46"/>
      <c r="AU595" s="150"/>
      <c r="AV595" s="151"/>
      <c r="AW595" s="151"/>
      <c r="AX595" s="151"/>
      <c r="AY595" s="151"/>
    </row>
    <row r="596" spans="1:51" ht="18.75" customHeight="1">
      <c r="A596" s="591">
        <v>813381</v>
      </c>
      <c r="B596" s="29" t="s">
        <v>965</v>
      </c>
      <c r="C596" s="30"/>
      <c r="D596" s="30"/>
      <c r="E596" s="30"/>
      <c r="F596" s="31" t="s">
        <v>43</v>
      </c>
      <c r="G596" s="33">
        <v>400</v>
      </c>
      <c r="H596" s="33">
        <v>500</v>
      </c>
      <c r="I596" s="34">
        <v>3</v>
      </c>
      <c r="J596" s="599" t="s">
        <v>960</v>
      </c>
      <c r="K596" s="31" t="s">
        <v>231</v>
      </c>
      <c r="L596" s="161"/>
      <c r="M596" s="30"/>
      <c r="N596" s="30"/>
      <c r="O596" s="30"/>
      <c r="P596" s="30"/>
      <c r="Q596" s="30"/>
      <c r="R596" s="30"/>
      <c r="S596" s="30"/>
      <c r="T596" s="29"/>
      <c r="U596" s="30"/>
      <c r="V596" s="35"/>
      <c r="W596" s="35"/>
      <c r="X596" s="35"/>
      <c r="Y596" s="35"/>
      <c r="Z596" s="31"/>
      <c r="AA596" s="31"/>
      <c r="AB596" s="31"/>
      <c r="AC596" s="37"/>
      <c r="AD596" s="31"/>
      <c r="AE596" s="36"/>
      <c r="AF596" s="36"/>
      <c r="AG596" s="36"/>
      <c r="AH596" s="36"/>
      <c r="AI596" s="36"/>
      <c r="AJ596" s="36">
        <v>46185</v>
      </c>
      <c r="AK596" s="36">
        <v>46185</v>
      </c>
      <c r="AL596" s="36"/>
      <c r="AM596" s="36"/>
      <c r="AN596" s="36"/>
      <c r="AO596" s="36"/>
      <c r="AP596" s="36"/>
      <c r="AQ596" s="36"/>
      <c r="AR596" s="36"/>
      <c r="AS596" s="36"/>
      <c r="AT596" s="36"/>
      <c r="AU596" s="150"/>
      <c r="AV596" s="151"/>
      <c r="AW596" s="151"/>
      <c r="AX596" s="151"/>
      <c r="AY596" s="151"/>
    </row>
    <row r="597" spans="1:51" ht="18" customHeight="1">
      <c r="A597" s="40"/>
      <c r="B597" s="41"/>
      <c r="C597" s="42"/>
      <c r="D597" s="42"/>
      <c r="E597" s="42"/>
      <c r="F597" s="43" t="s">
        <v>48</v>
      </c>
      <c r="G597" s="59"/>
      <c r="H597" s="59"/>
      <c r="I597" s="44"/>
      <c r="J597" s="52"/>
      <c r="K597" s="53"/>
      <c r="L597" s="537"/>
      <c r="M597" s="42"/>
      <c r="N597" s="42"/>
      <c r="O597" s="42"/>
      <c r="P597" s="42"/>
      <c r="Q597" s="42"/>
      <c r="R597" s="42"/>
      <c r="S597" s="42"/>
      <c r="T597" s="41"/>
      <c r="U597" s="42"/>
      <c r="V597" s="53"/>
      <c r="W597" s="53"/>
      <c r="X597" s="53"/>
      <c r="Y597" s="53"/>
      <c r="Z597" s="43"/>
      <c r="AA597" s="43"/>
      <c r="AB597" s="43"/>
      <c r="AC597" s="54"/>
      <c r="AD597" s="43"/>
      <c r="AE597" s="46"/>
      <c r="AF597" s="46"/>
      <c r="AG597" s="46"/>
      <c r="AH597" s="46"/>
      <c r="AI597" s="46"/>
      <c r="AJ597" s="46"/>
      <c r="AK597" s="46">
        <v>46185</v>
      </c>
      <c r="AL597" s="46"/>
      <c r="AM597" s="46"/>
      <c r="AN597" s="46"/>
      <c r="AO597" s="46"/>
      <c r="AP597" s="46"/>
      <c r="AQ597" s="46"/>
      <c r="AR597" s="46"/>
      <c r="AS597" s="46"/>
      <c r="AT597" s="46"/>
      <c r="AU597" s="150"/>
      <c r="AV597" s="151"/>
      <c r="AW597" s="151"/>
      <c r="AX597" s="151"/>
      <c r="AY597" s="151"/>
    </row>
    <row r="598" spans="1:51" ht="21.75" customHeight="1">
      <c r="A598" s="591">
        <v>813202</v>
      </c>
      <c r="B598" s="29">
        <v>813202</v>
      </c>
      <c r="C598" s="30" t="s">
        <v>731</v>
      </c>
      <c r="D598" s="30"/>
      <c r="E598" s="30"/>
      <c r="F598" s="31" t="s">
        <v>43</v>
      </c>
      <c r="G598" s="33">
        <v>175</v>
      </c>
      <c r="H598" s="33">
        <v>138</v>
      </c>
      <c r="I598" s="34">
        <v>1</v>
      </c>
      <c r="J598" s="535" t="s">
        <v>798</v>
      </c>
      <c r="K598" s="31" t="s">
        <v>45</v>
      </c>
      <c r="L598" s="161" t="s">
        <v>806</v>
      </c>
      <c r="M598" s="30"/>
      <c r="N598" s="30" t="s">
        <v>815</v>
      </c>
      <c r="O598" s="30"/>
      <c r="P598" s="30" t="s">
        <v>816</v>
      </c>
      <c r="Q598" s="30"/>
      <c r="R598" s="30" t="s">
        <v>406</v>
      </c>
      <c r="S598" s="30"/>
      <c r="T598" s="29"/>
      <c r="U598" s="30" t="s">
        <v>354</v>
      </c>
      <c r="V598" s="35">
        <v>46006</v>
      </c>
      <c r="W598" s="35">
        <f>V598+30</f>
        <v>46036</v>
      </c>
      <c r="X598" s="35">
        <v>46006</v>
      </c>
      <c r="Y598" s="35">
        <f>X598+30</f>
        <v>46036</v>
      </c>
      <c r="Z598" s="31"/>
      <c r="AA598" s="31"/>
      <c r="AB598" s="31"/>
      <c r="AC598" s="37"/>
      <c r="AD598" s="31" t="s">
        <v>72</v>
      </c>
      <c r="AE598" s="36"/>
      <c r="AF598" s="36"/>
      <c r="AG598" s="36"/>
      <c r="AH598" s="36"/>
      <c r="AI598" s="36"/>
      <c r="AJ598" s="36">
        <v>46189</v>
      </c>
      <c r="AK598" s="36">
        <v>46189</v>
      </c>
      <c r="AL598" s="36"/>
      <c r="AM598" s="36"/>
      <c r="AN598" s="36"/>
      <c r="AO598" s="36"/>
      <c r="AP598" s="36"/>
      <c r="AQ598" s="36"/>
      <c r="AR598" s="36"/>
      <c r="AS598" s="36"/>
      <c r="AT598" s="36"/>
      <c r="AU598" s="150"/>
      <c r="AV598" s="151"/>
      <c r="AW598" s="151"/>
      <c r="AX598" s="151"/>
      <c r="AY598" s="151"/>
    </row>
    <row r="599" spans="1:51" ht="18" customHeight="1">
      <c r="A599" s="40"/>
      <c r="B599" s="41"/>
      <c r="C599" s="42"/>
      <c r="D599" s="42"/>
      <c r="E599" s="42"/>
      <c r="F599" s="43" t="s">
        <v>48</v>
      </c>
      <c r="G599" s="59"/>
      <c r="H599" s="59"/>
      <c r="I599" s="44"/>
      <c r="J599" s="52"/>
      <c r="K599" s="53"/>
      <c r="L599" s="537"/>
      <c r="M599" s="42"/>
      <c r="N599" s="42"/>
      <c r="O599" s="42"/>
      <c r="P599" s="42"/>
      <c r="Q599" s="42"/>
      <c r="R599" s="42"/>
      <c r="S599" s="42"/>
      <c r="T599" s="41"/>
      <c r="U599" s="42"/>
      <c r="V599" s="53">
        <v>46000</v>
      </c>
      <c r="W599" s="53">
        <v>46059</v>
      </c>
      <c r="X599" s="53">
        <v>45663</v>
      </c>
      <c r="Y599" s="53"/>
      <c r="Z599" s="43"/>
      <c r="AA599" s="43"/>
      <c r="AB599" s="43"/>
      <c r="AC599" s="54"/>
      <c r="AD599" s="43"/>
      <c r="AE599" s="46"/>
      <c r="AF599" s="46"/>
      <c r="AG599" s="46"/>
      <c r="AH599" s="46"/>
      <c r="AI599" s="46"/>
      <c r="AJ599" s="46">
        <v>46057</v>
      </c>
      <c r="AK599" s="46">
        <v>46057</v>
      </c>
      <c r="AL599" s="46"/>
      <c r="AM599" s="46"/>
      <c r="AN599" s="46"/>
      <c r="AO599" s="46"/>
      <c r="AP599" s="46"/>
      <c r="AQ599" s="46"/>
      <c r="AR599" s="46"/>
      <c r="AS599" s="46"/>
      <c r="AT599" s="46"/>
      <c r="AU599" s="150"/>
      <c r="AV599" s="151"/>
      <c r="AW599" s="151"/>
      <c r="AX599" s="151"/>
      <c r="AY599" s="151"/>
    </row>
    <row r="600" spans="1:51" ht="18.75" customHeight="1">
      <c r="A600" s="591">
        <v>813323</v>
      </c>
      <c r="B600" s="29">
        <v>813321</v>
      </c>
      <c r="C600" s="30" t="s">
        <v>731</v>
      </c>
      <c r="D600" s="30"/>
      <c r="E600" s="30"/>
      <c r="F600" s="31" t="s">
        <v>43</v>
      </c>
      <c r="G600" s="33">
        <v>300</v>
      </c>
      <c r="H600" s="33">
        <v>400</v>
      </c>
      <c r="I600" s="34">
        <v>1</v>
      </c>
      <c r="J600" s="573" t="s">
        <v>912</v>
      </c>
      <c r="K600" s="31" t="s">
        <v>351</v>
      </c>
      <c r="L600" s="161" t="s">
        <v>805</v>
      </c>
      <c r="M600" s="30"/>
      <c r="N600" s="30"/>
      <c r="O600" s="30"/>
      <c r="P600" s="30"/>
      <c r="Q600" s="30"/>
      <c r="R600" s="30"/>
      <c r="S600" s="30"/>
      <c r="T600" s="29"/>
      <c r="U600" s="30"/>
      <c r="V600" s="35">
        <v>46188</v>
      </c>
      <c r="W600" s="35">
        <f>V600+15</f>
        <v>46203</v>
      </c>
      <c r="X600" s="35">
        <v>46188</v>
      </c>
      <c r="Y600" s="35">
        <f>X600+15</f>
        <v>46203</v>
      </c>
      <c r="Z600" s="31"/>
      <c r="AA600" s="31"/>
      <c r="AB600" s="31"/>
      <c r="AC600" s="37"/>
      <c r="AD600" s="31"/>
      <c r="AE600" s="36"/>
      <c r="AF600" s="36"/>
      <c r="AG600" s="36"/>
      <c r="AH600" s="36"/>
      <c r="AI600" s="36"/>
      <c r="AJ600" s="36">
        <v>46191</v>
      </c>
      <c r="AK600" s="36">
        <v>46191</v>
      </c>
      <c r="AL600" s="36"/>
      <c r="AM600" s="36"/>
      <c r="AN600" s="36"/>
      <c r="AO600" s="36"/>
      <c r="AP600" s="36"/>
      <c r="AQ600" s="36"/>
      <c r="AR600" s="36"/>
      <c r="AS600" s="36"/>
      <c r="AT600" s="36"/>
      <c r="AU600" s="150"/>
      <c r="AV600" s="151"/>
      <c r="AW600" s="151"/>
      <c r="AX600" s="151"/>
      <c r="AY600" s="151"/>
    </row>
    <row r="601" spans="1:51" ht="18" customHeight="1">
      <c r="A601" s="592"/>
      <c r="B601" s="41"/>
      <c r="C601" s="42"/>
      <c r="D601" s="42"/>
      <c r="E601" s="42"/>
      <c r="F601" s="43" t="s">
        <v>48</v>
      </c>
      <c r="G601" s="59"/>
      <c r="H601" s="59"/>
      <c r="I601" s="44"/>
      <c r="J601" s="52"/>
      <c r="K601" s="53"/>
      <c r="L601" s="537"/>
      <c r="M601" s="42"/>
      <c r="N601" s="42"/>
      <c r="O601" s="42"/>
      <c r="P601" s="42"/>
      <c r="Q601" s="42"/>
      <c r="R601" s="42"/>
      <c r="S601" s="42"/>
      <c r="T601" s="41"/>
      <c r="U601" s="42"/>
      <c r="V601" s="53"/>
      <c r="W601" s="53"/>
      <c r="X601" s="53"/>
      <c r="Y601" s="53"/>
      <c r="Z601" s="43"/>
      <c r="AA601" s="43"/>
      <c r="AB601" s="43"/>
      <c r="AC601" s="54"/>
      <c r="AD601" s="43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150"/>
      <c r="AV601" s="151"/>
      <c r="AW601" s="151"/>
      <c r="AX601" s="151"/>
      <c r="AY601" s="151"/>
    </row>
    <row r="602" spans="1:51" ht="18.75" customHeight="1">
      <c r="A602" s="591">
        <v>813325</v>
      </c>
      <c r="B602" s="29">
        <v>813325</v>
      </c>
      <c r="C602" s="30"/>
      <c r="D602" s="30"/>
      <c r="E602" s="30"/>
      <c r="F602" s="31" t="s">
        <v>43</v>
      </c>
      <c r="G602" s="33">
        <v>320</v>
      </c>
      <c r="H602" s="33">
        <v>275</v>
      </c>
      <c r="I602" s="34">
        <v>1</v>
      </c>
      <c r="J602" s="578" t="s">
        <v>927</v>
      </c>
      <c r="K602" s="31" t="s">
        <v>77</v>
      </c>
      <c r="L602" s="161" t="s">
        <v>803</v>
      </c>
      <c r="M602" s="30"/>
      <c r="N602" s="30"/>
      <c r="O602" s="30"/>
      <c r="P602" s="30"/>
      <c r="Q602" s="30"/>
      <c r="R602" s="30"/>
      <c r="S602" s="30"/>
      <c r="T602" s="29"/>
      <c r="U602" s="30"/>
      <c r="V602" s="35">
        <v>46203</v>
      </c>
      <c r="W602" s="35">
        <f>V602+15</f>
        <v>46218</v>
      </c>
      <c r="X602" s="35">
        <v>46203</v>
      </c>
      <c r="Y602" s="35">
        <f>X602+15</f>
        <v>46218</v>
      </c>
      <c r="Z602" s="31"/>
      <c r="AA602" s="31"/>
      <c r="AB602" s="31"/>
      <c r="AC602" s="37"/>
      <c r="AD602" s="31"/>
      <c r="AE602" s="36"/>
      <c r="AF602" s="36"/>
      <c r="AG602" s="36"/>
      <c r="AH602" s="36"/>
      <c r="AI602" s="36"/>
      <c r="AJ602" s="36">
        <v>46198</v>
      </c>
      <c r="AK602" s="36">
        <v>46198</v>
      </c>
      <c r="AL602" s="36"/>
      <c r="AM602" s="36"/>
      <c r="AN602" s="36"/>
      <c r="AO602" s="36"/>
      <c r="AP602" s="36"/>
      <c r="AQ602" s="36"/>
      <c r="AR602" s="36"/>
      <c r="AS602" s="36"/>
      <c r="AT602" s="36"/>
      <c r="AU602" s="150"/>
      <c r="AV602" s="151"/>
      <c r="AW602" s="151"/>
      <c r="AX602" s="151"/>
      <c r="AY602" s="151"/>
    </row>
    <row r="603" spans="1:51" ht="18" customHeight="1">
      <c r="A603" s="592"/>
      <c r="B603" s="41"/>
      <c r="C603" s="42"/>
      <c r="D603" s="42"/>
      <c r="E603" s="42"/>
      <c r="F603" s="43" t="s">
        <v>48</v>
      </c>
      <c r="G603" s="59"/>
      <c r="H603" s="59"/>
      <c r="I603" s="44"/>
      <c r="J603" s="52"/>
      <c r="K603" s="53"/>
      <c r="L603" s="537"/>
      <c r="M603" s="42"/>
      <c r="N603" s="42"/>
      <c r="O603" s="42"/>
      <c r="P603" s="42"/>
      <c r="Q603" s="42"/>
      <c r="R603" s="42"/>
      <c r="S603" s="42"/>
      <c r="T603" s="41"/>
      <c r="U603" s="42"/>
      <c r="V603" s="53"/>
      <c r="W603" s="53"/>
      <c r="X603" s="53"/>
      <c r="Y603" s="53"/>
      <c r="Z603" s="43"/>
      <c r="AA603" s="43"/>
      <c r="AB603" s="43"/>
      <c r="AC603" s="54"/>
      <c r="AD603" s="43"/>
      <c r="AE603" s="46"/>
      <c r="AF603" s="46"/>
      <c r="AG603" s="46"/>
      <c r="AH603" s="46"/>
      <c r="AI603" s="46"/>
      <c r="AJ603" s="46">
        <v>46196</v>
      </c>
      <c r="AK603" s="46">
        <v>46195</v>
      </c>
      <c r="AL603" s="46"/>
      <c r="AM603" s="46"/>
      <c r="AN603" s="46"/>
      <c r="AO603" s="46"/>
      <c r="AP603" s="46"/>
      <c r="AQ603" s="46"/>
      <c r="AR603" s="46"/>
      <c r="AS603" s="46"/>
      <c r="AT603" s="46"/>
      <c r="AU603" s="150"/>
      <c r="AV603" s="151"/>
      <c r="AW603" s="151"/>
      <c r="AX603" s="151"/>
      <c r="AY603" s="151"/>
    </row>
    <row r="604" spans="1:51" ht="18.75" customHeight="1">
      <c r="A604" s="160">
        <v>813393</v>
      </c>
      <c r="B604" s="29">
        <v>813393</v>
      </c>
      <c r="C604" s="30" t="s">
        <v>173</v>
      </c>
      <c r="D604" s="30"/>
      <c r="E604" s="30"/>
      <c r="F604" s="31" t="s">
        <v>43</v>
      </c>
      <c r="G604" s="33">
        <v>350</v>
      </c>
      <c r="H604" s="33">
        <v>220</v>
      </c>
      <c r="I604" s="34">
        <v>1</v>
      </c>
      <c r="J604" s="578" t="s">
        <v>407</v>
      </c>
      <c r="K604" s="31" t="s">
        <v>384</v>
      </c>
      <c r="L604" s="161"/>
      <c r="M604" s="30"/>
      <c r="N604" s="30"/>
      <c r="O604" s="30"/>
      <c r="P604" s="30"/>
      <c r="Q604" s="30"/>
      <c r="R604" s="30"/>
      <c r="S604" s="30"/>
      <c r="T604" s="29"/>
      <c r="U604" s="30"/>
      <c r="V604" s="35"/>
      <c r="W604" s="35"/>
      <c r="X604" s="35"/>
      <c r="Y604" s="35"/>
      <c r="Z604" s="31" t="s">
        <v>481</v>
      </c>
      <c r="AA604" s="31"/>
      <c r="AB604" s="31"/>
      <c r="AC604" s="37"/>
      <c r="AD604" s="31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150"/>
      <c r="AV604" s="151"/>
      <c r="AW604" s="151"/>
      <c r="AX604" s="151"/>
      <c r="AY604" s="151"/>
    </row>
    <row r="605" spans="1:51" ht="18" customHeight="1">
      <c r="A605" s="40"/>
      <c r="B605" s="41"/>
      <c r="C605" s="42">
        <v>813275</v>
      </c>
      <c r="D605" s="42"/>
      <c r="E605" s="42"/>
      <c r="F605" s="43" t="s">
        <v>48</v>
      </c>
      <c r="G605" s="59"/>
      <c r="H605" s="59"/>
      <c r="I605" s="44"/>
      <c r="J605" s="52"/>
      <c r="K605" s="53"/>
      <c r="L605" s="537"/>
      <c r="M605" s="42"/>
      <c r="N605" s="42"/>
      <c r="O605" s="42"/>
      <c r="P605" s="42"/>
      <c r="Q605" s="42"/>
      <c r="R605" s="42"/>
      <c r="S605" s="42"/>
      <c r="T605" s="41"/>
      <c r="U605" s="42"/>
      <c r="V605" s="53"/>
      <c r="W605" s="53"/>
      <c r="X605" s="53"/>
      <c r="Y605" s="53"/>
      <c r="Z605" s="43"/>
      <c r="AA605" s="43"/>
      <c r="AB605" s="43"/>
      <c r="AC605" s="54"/>
      <c r="AD605" s="43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150"/>
      <c r="AV605" s="151"/>
      <c r="AW605" s="151"/>
      <c r="AX605" s="151"/>
      <c r="AY605" s="151"/>
    </row>
    <row r="606" spans="1:51" ht="18.75" customHeight="1">
      <c r="A606" s="591">
        <v>813283</v>
      </c>
      <c r="B606" s="29" t="s">
        <v>942</v>
      </c>
      <c r="C606" s="30"/>
      <c r="D606" s="30"/>
      <c r="E606" s="30"/>
      <c r="F606" s="31" t="s">
        <v>43</v>
      </c>
      <c r="G606" s="33">
        <v>250</v>
      </c>
      <c r="H606" s="33">
        <v>500</v>
      </c>
      <c r="I606" s="34">
        <v>4</v>
      </c>
      <c r="J606" s="577" t="s">
        <v>926</v>
      </c>
      <c r="K606" s="31" t="s">
        <v>66</v>
      </c>
      <c r="L606" s="161" t="s">
        <v>803</v>
      </c>
      <c r="M606" s="30"/>
      <c r="N606" s="30"/>
      <c r="O606" s="30"/>
      <c r="P606" s="30"/>
      <c r="Q606" s="30"/>
      <c r="R606" s="30"/>
      <c r="S606" s="30"/>
      <c r="T606" s="29"/>
      <c r="U606" s="30"/>
      <c r="V606" s="35">
        <v>46142</v>
      </c>
      <c r="W606" s="35">
        <f>V606+15</f>
        <v>46157</v>
      </c>
      <c r="X606" s="35">
        <v>46142</v>
      </c>
      <c r="Y606" s="35">
        <f>X606+15</f>
        <v>46157</v>
      </c>
      <c r="Z606" s="31"/>
      <c r="AA606" s="31"/>
      <c r="AB606" s="31"/>
      <c r="AC606" s="37"/>
      <c r="AD606" s="31"/>
      <c r="AE606" s="36"/>
      <c r="AF606" s="36"/>
      <c r="AG606" s="36"/>
      <c r="AH606" s="36"/>
      <c r="AI606" s="36"/>
      <c r="AJ606" s="36">
        <v>46202</v>
      </c>
      <c r="AK606" s="36">
        <v>46202</v>
      </c>
      <c r="AL606" s="36"/>
      <c r="AM606" s="36"/>
      <c r="AN606" s="36"/>
      <c r="AO606" s="36"/>
      <c r="AP606" s="36"/>
      <c r="AQ606" s="36"/>
      <c r="AR606" s="36"/>
      <c r="AS606" s="36"/>
      <c r="AT606" s="36"/>
      <c r="AU606" s="150"/>
      <c r="AV606" s="151"/>
      <c r="AW606" s="151"/>
      <c r="AX606" s="151"/>
      <c r="AY606" s="151"/>
    </row>
    <row r="607" spans="1:51" ht="18" customHeight="1">
      <c r="A607" s="592"/>
      <c r="B607" s="41"/>
      <c r="C607" s="42"/>
      <c r="D607" s="42"/>
      <c r="E607" s="42"/>
      <c r="F607" s="43" t="s">
        <v>48</v>
      </c>
      <c r="G607" s="59"/>
      <c r="H607" s="59"/>
      <c r="I607" s="44"/>
      <c r="J607" s="52"/>
      <c r="K607" s="53"/>
      <c r="L607" s="537"/>
      <c r="M607" s="42"/>
      <c r="N607" s="42"/>
      <c r="O607" s="42"/>
      <c r="P607" s="42"/>
      <c r="Q607" s="42"/>
      <c r="R607" s="42"/>
      <c r="S607" s="42"/>
      <c r="T607" s="41"/>
      <c r="U607" s="42"/>
      <c r="V607" s="53"/>
      <c r="W607" s="53"/>
      <c r="X607" s="53"/>
      <c r="Y607" s="53"/>
      <c r="Z607" s="43"/>
      <c r="AA607" s="43"/>
      <c r="AB607" s="43"/>
      <c r="AC607" s="54"/>
      <c r="AD607" s="43"/>
      <c r="AE607" s="46"/>
      <c r="AF607" s="46"/>
      <c r="AG607" s="46"/>
      <c r="AH607" s="46"/>
      <c r="AI607" s="46"/>
      <c r="AJ607" s="46"/>
      <c r="AK607" s="46">
        <v>46084</v>
      </c>
      <c r="AL607" s="46"/>
      <c r="AM607" s="46"/>
      <c r="AN607" s="46"/>
      <c r="AO607" s="46"/>
      <c r="AP607" s="46"/>
      <c r="AQ607" s="46"/>
      <c r="AR607" s="46"/>
      <c r="AS607" s="46"/>
      <c r="AT607" s="46"/>
      <c r="AU607" s="150"/>
      <c r="AV607" s="151"/>
      <c r="AW607" s="151"/>
      <c r="AX607" s="151"/>
      <c r="AY607" s="151"/>
    </row>
    <row r="608" spans="1:51" ht="18.75" customHeight="1">
      <c r="A608" s="160">
        <v>813390</v>
      </c>
      <c r="B608" s="29">
        <v>813390</v>
      </c>
      <c r="C608" s="30" t="s">
        <v>173</v>
      </c>
      <c r="D608" s="30"/>
      <c r="E608" s="30"/>
      <c r="F608" s="31" t="s">
        <v>43</v>
      </c>
      <c r="G608" s="389">
        <v>400</v>
      </c>
      <c r="H608" s="389">
        <v>400</v>
      </c>
      <c r="I608" s="34">
        <v>1</v>
      </c>
      <c r="J608" s="577" t="s">
        <v>970</v>
      </c>
      <c r="K608" s="31" t="s">
        <v>108</v>
      </c>
      <c r="L608" s="161"/>
      <c r="M608" s="30"/>
      <c r="N608" s="30"/>
      <c r="O608" s="30"/>
      <c r="P608" s="30"/>
      <c r="Q608" s="30"/>
      <c r="R608" s="30"/>
      <c r="S608" s="30"/>
      <c r="T608" s="29"/>
      <c r="U608" s="30"/>
      <c r="V608" s="35"/>
      <c r="W608" s="35"/>
      <c r="X608" s="35"/>
      <c r="Y608" s="35"/>
      <c r="Z608" s="31"/>
      <c r="AA608" s="31"/>
      <c r="AB608" s="31"/>
      <c r="AC608" s="37"/>
      <c r="AD608" s="31"/>
      <c r="AE608" s="36"/>
      <c r="AF608" s="36"/>
      <c r="AG608" s="36"/>
      <c r="AH608" s="36"/>
      <c r="AI608" s="36"/>
      <c r="AJ608" s="36">
        <v>46203</v>
      </c>
      <c r="AK608" s="36">
        <v>46203</v>
      </c>
      <c r="AL608" s="36"/>
      <c r="AM608" s="36"/>
      <c r="AN608" s="36"/>
      <c r="AO608" s="36"/>
      <c r="AP608" s="36"/>
      <c r="AQ608" s="36"/>
      <c r="AR608" s="36"/>
      <c r="AS608" s="36"/>
      <c r="AT608" s="36"/>
      <c r="AU608" s="150"/>
      <c r="AV608" s="151"/>
      <c r="AW608" s="151"/>
      <c r="AX608" s="151"/>
      <c r="AY608" s="151"/>
    </row>
    <row r="609" spans="1:51" ht="18" customHeight="1">
      <c r="A609" s="40"/>
      <c r="B609" s="41"/>
      <c r="C609" s="42">
        <v>812698</v>
      </c>
      <c r="D609" s="42"/>
      <c r="E609" s="42"/>
      <c r="F609" s="43" t="s">
        <v>48</v>
      </c>
      <c r="G609" s="59"/>
      <c r="H609" s="59"/>
      <c r="I609" s="44"/>
      <c r="J609" s="52"/>
      <c r="K609" s="53"/>
      <c r="L609" s="537"/>
      <c r="M609" s="42"/>
      <c r="N609" s="42"/>
      <c r="O609" s="42"/>
      <c r="P609" s="42"/>
      <c r="Q609" s="42"/>
      <c r="R609" s="42"/>
      <c r="S609" s="42"/>
      <c r="T609" s="41"/>
      <c r="U609" s="42"/>
      <c r="V609" s="53"/>
      <c r="W609" s="53"/>
      <c r="X609" s="53"/>
      <c r="Y609" s="53"/>
      <c r="Z609" s="43"/>
      <c r="AA609" s="43"/>
      <c r="AB609" s="43"/>
      <c r="AC609" s="54"/>
      <c r="AD609" s="43"/>
      <c r="AE609" s="46"/>
      <c r="AF609" s="46"/>
      <c r="AG609" s="46"/>
      <c r="AH609" s="46"/>
      <c r="AI609" s="46"/>
      <c r="AJ609" s="46">
        <v>46184</v>
      </c>
      <c r="AK609" s="46">
        <v>46184</v>
      </c>
      <c r="AL609" s="46"/>
      <c r="AM609" s="46"/>
      <c r="AN609" s="46"/>
      <c r="AO609" s="46"/>
      <c r="AP609" s="46"/>
      <c r="AQ609" s="46"/>
      <c r="AR609" s="46"/>
      <c r="AS609" s="46"/>
      <c r="AT609" s="46"/>
      <c r="AU609" s="150"/>
      <c r="AV609" s="151"/>
      <c r="AW609" s="151"/>
      <c r="AX609" s="151"/>
      <c r="AY609" s="151"/>
    </row>
    <row r="610" spans="1:51" ht="23.25" customHeight="1">
      <c r="A610" s="591">
        <v>813183</v>
      </c>
      <c r="B610" s="29">
        <v>813183</v>
      </c>
      <c r="C610" s="30">
        <v>812870</v>
      </c>
      <c r="D610" s="30"/>
      <c r="E610" s="30"/>
      <c r="F610" s="31" t="s">
        <v>43</v>
      </c>
      <c r="G610" s="33">
        <v>250</v>
      </c>
      <c r="H610" s="33">
        <v>220</v>
      </c>
      <c r="I610" s="34">
        <v>1</v>
      </c>
      <c r="J610" s="493" t="s">
        <v>407</v>
      </c>
      <c r="K610" s="31" t="s">
        <v>66</v>
      </c>
      <c r="L610" s="161" t="s">
        <v>803</v>
      </c>
      <c r="M610" s="30"/>
      <c r="N610" s="30"/>
      <c r="O610" s="30"/>
      <c r="P610" s="30"/>
      <c r="Q610" s="30"/>
      <c r="R610" s="30"/>
      <c r="S610" s="30"/>
      <c r="T610" s="29"/>
      <c r="U610" s="30"/>
      <c r="V610" s="35">
        <v>46353</v>
      </c>
      <c r="W610" s="35">
        <f>V610+15</f>
        <v>46368</v>
      </c>
      <c r="X610" s="35">
        <v>46353</v>
      </c>
      <c r="Y610" s="35">
        <f>W610+15</f>
        <v>46383</v>
      </c>
      <c r="Z610" s="31"/>
      <c r="AA610" s="31"/>
      <c r="AB610" s="31"/>
      <c r="AC610" s="37"/>
      <c r="AD610" s="31"/>
      <c r="AE610" s="36"/>
      <c r="AF610" s="36"/>
      <c r="AG610" s="36"/>
      <c r="AH610" s="36"/>
      <c r="AI610" s="36"/>
      <c r="AJ610" s="36">
        <v>46142</v>
      </c>
      <c r="AK610" s="38" t="s">
        <v>957</v>
      </c>
      <c r="AL610" s="36"/>
      <c r="AM610" s="36"/>
      <c r="AN610" s="36"/>
      <c r="AO610" s="36"/>
      <c r="AP610" s="36"/>
      <c r="AQ610" s="36"/>
      <c r="AR610" s="36"/>
      <c r="AS610" s="36"/>
      <c r="AT610" s="36"/>
      <c r="AU610" s="150"/>
      <c r="AV610" s="151"/>
      <c r="AW610" s="151"/>
      <c r="AX610" s="151"/>
      <c r="AY610" s="151"/>
    </row>
    <row r="611" spans="1:51" ht="18" customHeight="1">
      <c r="A611" s="592"/>
      <c r="B611" s="41"/>
      <c r="C611" s="42" t="s">
        <v>173</v>
      </c>
      <c r="D611" s="42"/>
      <c r="E611" s="42"/>
      <c r="F611" s="43" t="s">
        <v>48</v>
      </c>
      <c r="G611" s="59"/>
      <c r="H611" s="59"/>
      <c r="I611" s="44"/>
      <c r="J611" s="52"/>
      <c r="K611" s="53"/>
      <c r="L611" s="537"/>
      <c r="M611" s="42"/>
      <c r="N611" s="42"/>
      <c r="O611" s="42"/>
      <c r="P611" s="42"/>
      <c r="Q611" s="42"/>
      <c r="R611" s="42"/>
      <c r="S611" s="42"/>
      <c r="T611" s="41"/>
      <c r="U611" s="42"/>
      <c r="V611" s="53">
        <v>45988</v>
      </c>
      <c r="W611" s="53"/>
      <c r="X611" s="53">
        <v>45988</v>
      </c>
      <c r="Y611" s="53"/>
      <c r="Z611" s="43"/>
      <c r="AA611" s="43"/>
      <c r="AB611" s="43"/>
      <c r="AC611" s="54"/>
      <c r="AD611" s="43"/>
      <c r="AE611" s="46"/>
      <c r="AF611" s="46"/>
      <c r="AG611" s="46"/>
      <c r="AH611" s="46"/>
      <c r="AI611" s="46"/>
      <c r="AJ611" s="53">
        <v>45777</v>
      </c>
      <c r="AK611" s="53">
        <v>45877</v>
      </c>
      <c r="AL611" s="46"/>
      <c r="AM611" s="46"/>
      <c r="AN611" s="46"/>
      <c r="AO611" s="46"/>
      <c r="AP611" s="46"/>
      <c r="AQ611" s="46"/>
      <c r="AR611" s="46"/>
      <c r="AS611" s="46"/>
      <c r="AT611" s="46"/>
      <c r="AU611" s="150"/>
      <c r="AV611" s="151"/>
      <c r="AW611" s="151"/>
      <c r="AX611" s="151"/>
      <c r="AY611" s="151"/>
    </row>
    <row r="612" spans="1:51" ht="18.75" customHeight="1">
      <c r="A612" s="591">
        <v>813337</v>
      </c>
      <c r="B612" s="29" t="s">
        <v>945</v>
      </c>
      <c r="C612" s="30"/>
      <c r="D612" s="30"/>
      <c r="E612" s="30"/>
      <c r="F612" s="31" t="s">
        <v>43</v>
      </c>
      <c r="G612" s="33">
        <v>170</v>
      </c>
      <c r="H612" s="33">
        <v>275</v>
      </c>
      <c r="I612" s="34">
        <v>2</v>
      </c>
      <c r="J612" s="590" t="s">
        <v>946</v>
      </c>
      <c r="K612" s="31" t="s">
        <v>66</v>
      </c>
      <c r="L612" s="161"/>
      <c r="M612" s="30"/>
      <c r="N612" s="30"/>
      <c r="O612" s="30"/>
      <c r="P612" s="30"/>
      <c r="Q612" s="30"/>
      <c r="R612" s="30"/>
      <c r="S612" s="30"/>
      <c r="T612" s="29"/>
      <c r="U612" s="30"/>
      <c r="V612" s="35"/>
      <c r="W612" s="35"/>
      <c r="X612" s="35"/>
      <c r="Y612" s="35"/>
      <c r="Z612" s="31"/>
      <c r="AA612" s="31"/>
      <c r="AB612" s="31"/>
      <c r="AC612" s="37"/>
      <c r="AD612" s="31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150"/>
      <c r="AV612" s="151"/>
      <c r="AW612" s="151"/>
      <c r="AX612" s="151"/>
      <c r="AY612" s="151"/>
    </row>
    <row r="613" spans="1:51" ht="18" customHeight="1">
      <c r="A613" s="592"/>
      <c r="B613" s="41"/>
      <c r="C613" s="42"/>
      <c r="D613" s="42"/>
      <c r="E613" s="42"/>
      <c r="F613" s="43" t="s">
        <v>48</v>
      </c>
      <c r="G613" s="59"/>
      <c r="H613" s="59"/>
      <c r="I613" s="44"/>
      <c r="J613" s="52"/>
      <c r="K613" s="53"/>
      <c r="L613" s="537"/>
      <c r="M613" s="42"/>
      <c r="N613" s="42"/>
      <c r="O613" s="42"/>
      <c r="P613" s="42"/>
      <c r="Q613" s="42"/>
      <c r="R613" s="42"/>
      <c r="S613" s="42"/>
      <c r="T613" s="41"/>
      <c r="U613" s="42"/>
      <c r="V613" s="53"/>
      <c r="W613" s="53"/>
      <c r="X613" s="53"/>
      <c r="Y613" s="53"/>
      <c r="Z613" s="43"/>
      <c r="AA613" s="43"/>
      <c r="AB613" s="43"/>
      <c r="AC613" s="54"/>
      <c r="AD613" s="43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150"/>
      <c r="AV613" s="151"/>
      <c r="AW613" s="151"/>
      <c r="AX613" s="151"/>
      <c r="AY613" s="151"/>
    </row>
    <row r="614" spans="1:51" ht="35.9" customHeight="1">
      <c r="A614" s="591">
        <v>813290</v>
      </c>
      <c r="B614" s="29" t="s">
        <v>910</v>
      </c>
      <c r="C614" s="30" t="s">
        <v>42</v>
      </c>
      <c r="D614" s="30"/>
      <c r="E614" s="30"/>
      <c r="F614" s="31" t="s">
        <v>43</v>
      </c>
      <c r="G614" s="33">
        <v>100</v>
      </c>
      <c r="H614" s="33">
        <v>220</v>
      </c>
      <c r="I614" s="34">
        <v>2</v>
      </c>
      <c r="J614" s="409" t="s">
        <v>911</v>
      </c>
      <c r="K614" s="31" t="s">
        <v>108</v>
      </c>
      <c r="L614" s="161" t="s">
        <v>799</v>
      </c>
      <c r="M614" s="30"/>
      <c r="N614" s="30"/>
      <c r="O614" s="30"/>
      <c r="P614" s="30"/>
      <c r="Q614" s="30"/>
      <c r="R614" s="30"/>
      <c r="S614" s="30"/>
      <c r="T614" s="29"/>
      <c r="U614" s="30"/>
      <c r="V614" s="35"/>
      <c r="W614" s="35"/>
      <c r="X614" s="35"/>
      <c r="Y614" s="35"/>
      <c r="Z614" s="31"/>
      <c r="AA614" s="31"/>
      <c r="AB614" s="31"/>
      <c r="AC614" s="37"/>
      <c r="AD614" s="31"/>
      <c r="AE614" s="36"/>
      <c r="AF614" s="36"/>
      <c r="AG614" s="36"/>
      <c r="AH614" s="36"/>
      <c r="AI614" s="36"/>
      <c r="AJ614" s="36"/>
      <c r="AK614" s="38" t="s">
        <v>973</v>
      </c>
      <c r="AL614" s="36"/>
      <c r="AM614" s="36"/>
      <c r="AN614" s="36"/>
      <c r="AO614" s="36"/>
      <c r="AP614" s="36"/>
      <c r="AQ614" s="36"/>
      <c r="AR614" s="36"/>
      <c r="AS614" s="36"/>
      <c r="AT614" s="36"/>
      <c r="AU614" s="150"/>
      <c r="AV614" s="151"/>
      <c r="AW614" s="151"/>
      <c r="AX614" s="151"/>
      <c r="AY614" s="151"/>
    </row>
    <row r="615" spans="1:51" ht="18" customHeight="1">
      <c r="A615" s="592"/>
      <c r="B615" s="41"/>
      <c r="C615" s="42"/>
      <c r="D615" s="42"/>
      <c r="E615" s="42"/>
      <c r="F615" s="43" t="s">
        <v>48</v>
      </c>
      <c r="G615" s="59"/>
      <c r="H615" s="59"/>
      <c r="I615" s="44"/>
      <c r="J615" s="52"/>
      <c r="K615" s="53"/>
      <c r="L615" s="537"/>
      <c r="M615" s="42"/>
      <c r="N615" s="42"/>
      <c r="O615" s="42"/>
      <c r="P615" s="42"/>
      <c r="Q615" s="42"/>
      <c r="R615" s="42"/>
      <c r="S615" s="42"/>
      <c r="T615" s="41"/>
      <c r="U615" s="42"/>
      <c r="V615" s="53"/>
      <c r="W615" s="53"/>
      <c r="X615" s="53"/>
      <c r="Y615" s="53"/>
      <c r="Z615" s="43"/>
      <c r="AA615" s="43"/>
      <c r="AB615" s="43"/>
      <c r="AC615" s="54"/>
      <c r="AD615" s="43"/>
      <c r="AE615" s="46"/>
      <c r="AF615" s="46"/>
      <c r="AG615" s="46"/>
      <c r="AH615" s="46"/>
      <c r="AI615" s="46"/>
      <c r="AJ615" s="46" t="s">
        <v>270</v>
      </c>
      <c r="AK615" s="46">
        <v>46035</v>
      </c>
      <c r="AL615" s="46"/>
      <c r="AM615" s="46"/>
      <c r="AN615" s="46"/>
      <c r="AO615" s="46"/>
      <c r="AP615" s="46"/>
      <c r="AQ615" s="46"/>
      <c r="AR615" s="46"/>
      <c r="AS615" s="46"/>
      <c r="AT615" s="46"/>
      <c r="AU615" s="150"/>
      <c r="AV615" s="151"/>
      <c r="AW615" s="151"/>
      <c r="AX615" s="151"/>
      <c r="AY615" s="151"/>
    </row>
    <row r="616" spans="1:51" ht="18.75" customHeight="1">
      <c r="A616" s="591">
        <v>813326</v>
      </c>
      <c r="B616" s="29" t="s">
        <v>934</v>
      </c>
      <c r="C616" s="30"/>
      <c r="D616" s="30"/>
      <c r="E616" s="30"/>
      <c r="F616" s="31" t="s">
        <v>43</v>
      </c>
      <c r="G616" s="33">
        <v>120</v>
      </c>
      <c r="H616" s="33">
        <v>275</v>
      </c>
      <c r="I616" s="34">
        <v>2</v>
      </c>
      <c r="J616" s="584" t="s">
        <v>935</v>
      </c>
      <c r="K616" s="31" t="s">
        <v>45</v>
      </c>
      <c r="L616" s="161" t="s">
        <v>804</v>
      </c>
      <c r="M616" s="30"/>
      <c r="N616" s="30"/>
      <c r="O616" s="30"/>
      <c r="P616" s="30"/>
      <c r="Q616" s="30"/>
      <c r="R616" s="30"/>
      <c r="S616" s="30"/>
      <c r="T616" s="29"/>
      <c r="U616" s="30"/>
      <c r="V616" s="35">
        <v>46172</v>
      </c>
      <c r="W616" s="35">
        <v>46203</v>
      </c>
      <c r="X616" s="35">
        <v>46172</v>
      </c>
      <c r="Y616" s="35">
        <v>46203</v>
      </c>
      <c r="Z616" s="31"/>
      <c r="AA616" s="31"/>
      <c r="AB616" s="31"/>
      <c r="AC616" s="31" t="s">
        <v>700</v>
      </c>
      <c r="AD616" s="31" t="s">
        <v>72</v>
      </c>
      <c r="AE616" s="36"/>
      <c r="AF616" s="36"/>
      <c r="AG616" s="36"/>
      <c r="AH616" s="36"/>
      <c r="AI616" s="36"/>
      <c r="AJ616" s="36">
        <v>46142</v>
      </c>
      <c r="AK616" s="36">
        <v>46142</v>
      </c>
      <c r="AL616" s="36"/>
      <c r="AM616" s="36"/>
      <c r="AN616" s="36"/>
      <c r="AO616" s="36"/>
      <c r="AP616" s="36"/>
      <c r="AQ616" s="36"/>
      <c r="AR616" s="36"/>
      <c r="AS616" s="36"/>
      <c r="AT616" s="36"/>
      <c r="AU616" s="150"/>
      <c r="AV616" s="151"/>
      <c r="AW616" s="151"/>
      <c r="AX616" s="151"/>
      <c r="AY616" s="151"/>
    </row>
    <row r="617" spans="1:51" ht="18" customHeight="1">
      <c r="A617" s="40"/>
      <c r="B617" s="41"/>
      <c r="C617" s="42"/>
      <c r="D617" s="42"/>
      <c r="E617" s="42"/>
      <c r="F617" s="43" t="s">
        <v>48</v>
      </c>
      <c r="G617" s="59"/>
      <c r="H617" s="59"/>
      <c r="I617" s="44"/>
      <c r="J617" s="52"/>
      <c r="K617" s="53"/>
      <c r="L617" s="537"/>
      <c r="M617" s="42"/>
      <c r="N617" s="42"/>
      <c r="O617" s="42"/>
      <c r="P617" s="42"/>
      <c r="Q617" s="42"/>
      <c r="R617" s="42"/>
      <c r="S617" s="42"/>
      <c r="T617" s="41"/>
      <c r="U617" s="42"/>
      <c r="V617" s="53"/>
      <c r="W617" s="53"/>
      <c r="X617" s="53"/>
      <c r="Y617" s="53"/>
      <c r="Z617" s="43"/>
      <c r="AA617" s="43"/>
      <c r="AB617" s="43"/>
      <c r="AC617" s="54"/>
      <c r="AD617" s="43"/>
      <c r="AE617" s="46"/>
      <c r="AF617" s="46"/>
      <c r="AG617" s="46"/>
      <c r="AH617" s="46"/>
      <c r="AI617" s="46"/>
      <c r="AJ617" s="46">
        <v>46156</v>
      </c>
      <c r="AK617" s="46">
        <v>46142</v>
      </c>
      <c r="AL617" s="46"/>
      <c r="AM617" s="46"/>
      <c r="AN617" s="46"/>
      <c r="AO617" s="46"/>
      <c r="AP617" s="46"/>
      <c r="AQ617" s="46"/>
      <c r="AR617" s="46"/>
      <c r="AS617" s="46"/>
      <c r="AT617" s="46"/>
      <c r="AU617" s="150"/>
      <c r="AV617" s="151"/>
      <c r="AW617" s="151"/>
      <c r="AX617" s="151"/>
      <c r="AY617" s="151"/>
    </row>
    <row r="618" spans="1:51" ht="18.75" customHeight="1">
      <c r="A618" s="598">
        <v>813368</v>
      </c>
      <c r="B618" s="29" t="s">
        <v>958</v>
      </c>
      <c r="C618" s="30" t="s">
        <v>42</v>
      </c>
      <c r="D618" s="30"/>
      <c r="E618" s="30"/>
      <c r="F618" s="31" t="s">
        <v>43</v>
      </c>
      <c r="G618" s="33">
        <v>286</v>
      </c>
      <c r="H618" s="33">
        <v>410</v>
      </c>
      <c r="I618" s="34">
        <v>4</v>
      </c>
      <c r="J618" s="597" t="s">
        <v>954</v>
      </c>
      <c r="K618" s="31" t="s">
        <v>77</v>
      </c>
      <c r="L618" s="161"/>
      <c r="M618" s="30"/>
      <c r="N618" s="30"/>
      <c r="O618" s="30"/>
      <c r="P618" s="30"/>
      <c r="Q618" s="30"/>
      <c r="R618" s="30"/>
      <c r="S618" s="30"/>
      <c r="T618" s="29"/>
      <c r="U618" s="30"/>
      <c r="V618" s="35"/>
      <c r="W618" s="35"/>
      <c r="X618" s="35"/>
      <c r="Y618" s="35"/>
      <c r="Z618" s="31"/>
      <c r="AA618" s="31"/>
      <c r="AB618" s="31"/>
      <c r="AC618" s="37"/>
      <c r="AD618" s="31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8" t="s">
        <v>955</v>
      </c>
      <c r="AP618" s="36"/>
      <c r="AQ618" s="36"/>
      <c r="AR618" s="36"/>
      <c r="AS618" s="36"/>
      <c r="AT618" s="36"/>
      <c r="AU618" s="150"/>
      <c r="AV618" s="151"/>
      <c r="AW618" s="151"/>
      <c r="AX618" s="151"/>
      <c r="AY618" s="151"/>
    </row>
    <row r="619" spans="1:51" ht="18" customHeight="1">
      <c r="A619" s="40"/>
      <c r="B619" s="41"/>
      <c r="C619" s="42"/>
      <c r="D619" s="42"/>
      <c r="E619" s="42"/>
      <c r="F619" s="43" t="s">
        <v>48</v>
      </c>
      <c r="G619" s="59"/>
      <c r="H619" s="59"/>
      <c r="I619" s="44"/>
      <c r="J619" s="52"/>
      <c r="K619" s="53"/>
      <c r="L619" s="537"/>
      <c r="M619" s="42"/>
      <c r="N619" s="42"/>
      <c r="O619" s="42"/>
      <c r="P619" s="42"/>
      <c r="Q619" s="42"/>
      <c r="R619" s="42"/>
      <c r="S619" s="42"/>
      <c r="T619" s="41"/>
      <c r="U619" s="42"/>
      <c r="V619" s="53"/>
      <c r="W619" s="53"/>
      <c r="X619" s="53"/>
      <c r="Y619" s="53"/>
      <c r="Z619" s="43"/>
      <c r="AA619" s="43"/>
      <c r="AB619" s="43"/>
      <c r="AC619" s="54"/>
      <c r="AD619" s="43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150"/>
      <c r="AV619" s="151"/>
      <c r="AW619" s="151"/>
      <c r="AX619" s="151"/>
      <c r="AY619" s="151"/>
    </row>
    <row r="620" spans="1:51" ht="18.75" customHeight="1">
      <c r="A620" s="160">
        <v>813385</v>
      </c>
      <c r="B620" s="29" t="s">
        <v>962</v>
      </c>
      <c r="C620" s="30"/>
      <c r="D620" s="30"/>
      <c r="E620" s="30"/>
      <c r="F620" s="31" t="s">
        <v>43</v>
      </c>
      <c r="G620" s="33">
        <v>240</v>
      </c>
      <c r="H620" s="33">
        <v>410</v>
      </c>
      <c r="I620" s="34">
        <v>2</v>
      </c>
      <c r="J620" s="601" t="s">
        <v>963</v>
      </c>
      <c r="K620" s="31" t="s">
        <v>108</v>
      </c>
      <c r="L620" s="161"/>
      <c r="M620" s="30"/>
      <c r="N620" s="30"/>
      <c r="O620" s="30"/>
      <c r="P620" s="30"/>
      <c r="Q620" s="30"/>
      <c r="R620" s="30"/>
      <c r="S620" s="30"/>
      <c r="T620" s="29"/>
      <c r="U620" s="30"/>
      <c r="V620" s="35"/>
      <c r="W620" s="35"/>
      <c r="X620" s="35"/>
      <c r="Y620" s="35"/>
      <c r="Z620" s="31"/>
      <c r="AA620" s="31"/>
      <c r="AB620" s="31"/>
      <c r="AC620" s="37"/>
      <c r="AD620" s="31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8" t="s">
        <v>955</v>
      </c>
      <c r="AR620" s="36"/>
      <c r="AS620" s="36"/>
      <c r="AT620" s="36"/>
      <c r="AU620" s="150"/>
      <c r="AV620" s="151"/>
      <c r="AW620" s="151"/>
      <c r="AX620" s="151"/>
      <c r="AY620" s="151"/>
    </row>
    <row r="621" spans="1:51" ht="18" customHeight="1">
      <c r="A621" s="40"/>
      <c r="B621" s="41"/>
      <c r="C621" s="42"/>
      <c r="D621" s="42"/>
      <c r="E621" s="42"/>
      <c r="F621" s="43" t="s">
        <v>48</v>
      </c>
      <c r="G621" s="59"/>
      <c r="H621" s="59"/>
      <c r="I621" s="44"/>
      <c r="J621" s="52"/>
      <c r="K621" s="53"/>
      <c r="L621" s="537"/>
      <c r="M621" s="42"/>
      <c r="N621" s="42"/>
      <c r="O621" s="42"/>
      <c r="P621" s="42"/>
      <c r="Q621" s="42"/>
      <c r="R621" s="42"/>
      <c r="S621" s="42"/>
      <c r="T621" s="41"/>
      <c r="U621" s="42"/>
      <c r="V621" s="53"/>
      <c r="W621" s="53"/>
      <c r="X621" s="53"/>
      <c r="Y621" s="53"/>
      <c r="Z621" s="43"/>
      <c r="AA621" s="43"/>
      <c r="AB621" s="43"/>
      <c r="AC621" s="54"/>
      <c r="AD621" s="43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150"/>
      <c r="AV621" s="151"/>
      <c r="AW621" s="151"/>
      <c r="AX621" s="151"/>
      <c r="AY621" s="151"/>
    </row>
    <row r="622" spans="1:51" ht="18.75" customHeight="1">
      <c r="A622" s="294">
        <v>813292</v>
      </c>
      <c r="B622" s="29" t="s">
        <v>890</v>
      </c>
      <c r="C622" s="30" t="s">
        <v>173</v>
      </c>
      <c r="D622" s="30"/>
      <c r="E622" s="30"/>
      <c r="F622" s="31" t="s">
        <v>43</v>
      </c>
      <c r="G622" s="33">
        <v>300</v>
      </c>
      <c r="H622" s="33">
        <v>275</v>
      </c>
      <c r="I622" s="34">
        <v>2</v>
      </c>
      <c r="J622" s="621" t="s">
        <v>891</v>
      </c>
      <c r="K622" s="31" t="s">
        <v>66</v>
      </c>
      <c r="L622" s="161" t="s">
        <v>800</v>
      </c>
      <c r="M622" s="30"/>
      <c r="N622" s="30"/>
      <c r="O622" s="30"/>
      <c r="P622" s="30"/>
      <c r="Q622" s="30"/>
      <c r="R622" s="30"/>
      <c r="S622" s="30"/>
      <c r="T622" s="29"/>
      <c r="U622" s="30"/>
      <c r="V622" s="35"/>
      <c r="W622" s="35"/>
      <c r="X622" s="35"/>
      <c r="Y622" s="35"/>
      <c r="Z622" s="31"/>
      <c r="AA622" s="31"/>
      <c r="AB622" s="31"/>
      <c r="AC622" s="37"/>
      <c r="AD622" s="31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150"/>
      <c r="AV622" s="151"/>
      <c r="AW622" s="151"/>
      <c r="AX622" s="151"/>
      <c r="AY622" s="151"/>
    </row>
    <row r="623" spans="1:51" ht="18" customHeight="1">
      <c r="A623" s="227"/>
      <c r="B623" s="41"/>
      <c r="C623" s="42">
        <v>822807</v>
      </c>
      <c r="D623" s="42"/>
      <c r="E623" s="42"/>
      <c r="F623" s="43" t="s">
        <v>48</v>
      </c>
      <c r="G623" s="59"/>
      <c r="H623" s="59"/>
      <c r="I623" s="44"/>
      <c r="J623" s="52"/>
      <c r="K623" s="53"/>
      <c r="L623" s="537"/>
      <c r="M623" s="42"/>
      <c r="N623" s="42"/>
      <c r="O623" s="42"/>
      <c r="P623" s="42"/>
      <c r="Q623" s="42"/>
      <c r="R623" s="42"/>
      <c r="S623" s="42"/>
      <c r="T623" s="41"/>
      <c r="U623" s="42"/>
      <c r="V623" s="53"/>
      <c r="W623" s="53"/>
      <c r="X623" s="53"/>
      <c r="Y623" s="53"/>
      <c r="Z623" s="43"/>
      <c r="AA623" s="43"/>
      <c r="AB623" s="43"/>
      <c r="AC623" s="54"/>
      <c r="AD623" s="43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150"/>
      <c r="AV623" s="151"/>
      <c r="AW623" s="151"/>
      <c r="AX623" s="151"/>
      <c r="AY623" s="151"/>
    </row>
    <row r="624" spans="1:51" ht="18.75" customHeight="1">
      <c r="A624" s="160">
        <v>813395</v>
      </c>
      <c r="B624" s="29" t="s">
        <v>989</v>
      </c>
      <c r="C624" s="30" t="s">
        <v>173</v>
      </c>
      <c r="D624" s="30"/>
      <c r="E624" s="30"/>
      <c r="F624" s="31" t="s">
        <v>43</v>
      </c>
      <c r="G624" s="33">
        <v>280</v>
      </c>
      <c r="H624" s="33">
        <v>400</v>
      </c>
      <c r="I624" s="34">
        <v>4</v>
      </c>
      <c r="J624" s="620" t="s">
        <v>990</v>
      </c>
      <c r="K624" s="31" t="s">
        <v>45</v>
      </c>
      <c r="L624" s="161" t="s">
        <v>803</v>
      </c>
      <c r="M624" s="30"/>
      <c r="N624" s="30"/>
      <c r="O624" s="30"/>
      <c r="P624" s="30"/>
      <c r="Q624" s="30"/>
      <c r="R624" s="30"/>
      <c r="S624" s="30"/>
      <c r="T624" s="29"/>
      <c r="U624" s="30"/>
      <c r="V624" s="35"/>
      <c r="W624" s="35"/>
      <c r="X624" s="35"/>
      <c r="Y624" s="35"/>
      <c r="Z624" s="31"/>
      <c r="AA624" s="31"/>
      <c r="AB624" s="31"/>
      <c r="AC624" s="37"/>
      <c r="AD624" s="31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150"/>
      <c r="AV624" s="151"/>
      <c r="AW624" s="151"/>
      <c r="AX624" s="151"/>
      <c r="AY624" s="151"/>
    </row>
    <row r="625" spans="1:51" ht="18" customHeight="1">
      <c r="A625" s="40"/>
      <c r="B625" s="41"/>
      <c r="C625" s="42">
        <v>813160</v>
      </c>
      <c r="D625" s="42"/>
      <c r="E625" s="42"/>
      <c r="F625" s="43" t="s">
        <v>48</v>
      </c>
      <c r="G625" s="59"/>
      <c r="H625" s="59"/>
      <c r="I625" s="44"/>
      <c r="J625" s="52"/>
      <c r="K625" s="53"/>
      <c r="L625" s="537"/>
      <c r="M625" s="42"/>
      <c r="N625" s="42"/>
      <c r="O625" s="42"/>
      <c r="P625" s="42"/>
      <c r="Q625" s="42"/>
      <c r="R625" s="42"/>
      <c r="S625" s="42"/>
      <c r="T625" s="41"/>
      <c r="U625" s="42"/>
      <c r="V625" s="53"/>
      <c r="W625" s="53"/>
      <c r="X625" s="53"/>
      <c r="Y625" s="53"/>
      <c r="Z625" s="43"/>
      <c r="AA625" s="43"/>
      <c r="AB625" s="43"/>
      <c r="AC625" s="54"/>
      <c r="AD625" s="43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150"/>
      <c r="AV625" s="151"/>
      <c r="AW625" s="151"/>
      <c r="AX625" s="151"/>
      <c r="AY625" s="151"/>
    </row>
    <row r="626" spans="1:51" ht="18.75" customHeight="1">
      <c r="A626" s="160">
        <v>813362</v>
      </c>
      <c r="B626" s="29" t="s">
        <v>1001</v>
      </c>
      <c r="C626" s="30"/>
      <c r="D626" s="30"/>
      <c r="E626" s="30"/>
      <c r="F626" s="31" t="s">
        <v>43</v>
      </c>
      <c r="G626" s="33">
        <v>180</v>
      </c>
      <c r="H626" s="33">
        <v>400</v>
      </c>
      <c r="I626" s="34">
        <v>2</v>
      </c>
      <c r="J626" s="621" t="s">
        <v>1002</v>
      </c>
      <c r="K626" s="31" t="s">
        <v>45</v>
      </c>
      <c r="L626" s="161" t="s">
        <v>1007</v>
      </c>
      <c r="M626" s="30"/>
      <c r="N626" s="30"/>
      <c r="O626" s="30"/>
      <c r="P626" s="30"/>
      <c r="Q626" s="30"/>
      <c r="R626" s="30"/>
      <c r="S626" s="30"/>
      <c r="T626" s="29"/>
      <c r="U626" s="30"/>
      <c r="V626" s="35"/>
      <c r="W626" s="35"/>
      <c r="X626" s="35"/>
      <c r="Y626" s="35"/>
      <c r="Z626" s="31"/>
      <c r="AA626" s="31"/>
      <c r="AB626" s="31"/>
      <c r="AC626" s="37"/>
      <c r="AD626" s="31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150"/>
      <c r="AV626" s="151"/>
      <c r="AW626" s="151"/>
      <c r="AX626" s="151"/>
      <c r="AY626" s="151"/>
    </row>
    <row r="627" spans="1:51" ht="18" customHeight="1" thickBot="1">
      <c r="A627" s="40"/>
      <c r="B627" s="41"/>
      <c r="C627" s="42"/>
      <c r="D627" s="42"/>
      <c r="E627" s="42"/>
      <c r="F627" s="43" t="s">
        <v>48</v>
      </c>
      <c r="G627" s="59"/>
      <c r="H627" s="59"/>
      <c r="I627" s="44"/>
      <c r="J627" s="52"/>
      <c r="K627" s="53"/>
      <c r="L627" s="537"/>
      <c r="M627" s="42"/>
      <c r="N627" s="42"/>
      <c r="O627" s="42"/>
      <c r="P627" s="42"/>
      <c r="Q627" s="42"/>
      <c r="R627" s="42"/>
      <c r="S627" s="42"/>
      <c r="T627" s="41"/>
      <c r="U627" s="42"/>
      <c r="V627" s="53"/>
      <c r="W627" s="53"/>
      <c r="X627" s="53"/>
      <c r="Y627" s="53"/>
      <c r="Z627" s="43"/>
      <c r="AA627" s="43"/>
      <c r="AB627" s="43"/>
      <c r="AC627" s="54"/>
      <c r="AD627" s="43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150"/>
      <c r="AV627" s="151"/>
      <c r="AW627" s="151"/>
      <c r="AX627" s="151"/>
      <c r="AY627" s="151"/>
    </row>
    <row r="628" spans="1:51" ht="18.75" customHeight="1" thickBot="1">
      <c r="A628" s="338"/>
      <c r="B628" s="22"/>
      <c r="C628" s="22"/>
      <c r="D628" s="22"/>
      <c r="E628" s="22"/>
      <c r="F628" s="23"/>
      <c r="G628" s="22"/>
      <c r="H628" s="22"/>
      <c r="I628" s="22"/>
      <c r="J628" s="414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3"/>
      <c r="W628" s="23"/>
      <c r="X628" s="23"/>
      <c r="Y628" s="23"/>
      <c r="Z628" s="22"/>
      <c r="AA628" s="22"/>
      <c r="AB628" s="22"/>
      <c r="AC628" s="22"/>
      <c r="AD628" s="25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339"/>
      <c r="AV628" s="27"/>
      <c r="AW628" s="27"/>
      <c r="AX628" s="27"/>
      <c r="AY628" s="27"/>
    </row>
    <row r="629" spans="1:51" ht="18.75" customHeight="1">
      <c r="A629" s="579">
        <v>813220</v>
      </c>
      <c r="B629" s="553" t="s">
        <v>846</v>
      </c>
      <c r="C629" s="309"/>
      <c r="D629" s="309"/>
      <c r="E629" s="309"/>
      <c r="F629" s="508" t="s">
        <v>43</v>
      </c>
      <c r="G629" s="580">
        <v>250</v>
      </c>
      <c r="H629" s="580">
        <v>330</v>
      </c>
      <c r="I629" s="554">
        <v>2</v>
      </c>
      <c r="J629" s="581" t="s">
        <v>847</v>
      </c>
      <c r="K629" s="31" t="s">
        <v>77</v>
      </c>
      <c r="L629" s="161" t="s">
        <v>799</v>
      </c>
      <c r="M629" s="30"/>
      <c r="N629" s="30"/>
      <c r="O629" s="30"/>
      <c r="P629" s="30"/>
      <c r="Q629" s="30"/>
      <c r="R629" s="30"/>
      <c r="S629" s="30"/>
      <c r="T629" s="29"/>
      <c r="U629" s="30"/>
      <c r="V629" s="35" t="s">
        <v>869</v>
      </c>
      <c r="W629" s="35" t="s">
        <v>870</v>
      </c>
      <c r="X629" s="35" t="s">
        <v>869</v>
      </c>
      <c r="Y629" s="35" t="s">
        <v>870</v>
      </c>
      <c r="Z629" s="31"/>
      <c r="AA629" s="31"/>
      <c r="AB629" s="31"/>
      <c r="AC629" s="37"/>
      <c r="AD629" s="31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150"/>
      <c r="AV629" s="151"/>
      <c r="AW629" s="151"/>
      <c r="AX629" s="151"/>
      <c r="AY629" s="151"/>
    </row>
    <row r="630" spans="1:51" ht="18" customHeight="1">
      <c r="A630" s="609" t="s">
        <v>928</v>
      </c>
      <c r="B630" s="41"/>
      <c r="C630" s="42"/>
      <c r="D630" s="42"/>
      <c r="E630" s="42"/>
      <c r="F630" s="43" t="s">
        <v>48</v>
      </c>
      <c r="G630" s="59"/>
      <c r="H630" s="59"/>
      <c r="I630" s="44"/>
      <c r="J630" s="52"/>
      <c r="K630" s="53"/>
      <c r="L630" s="537"/>
      <c r="M630" s="42"/>
      <c r="N630" s="42"/>
      <c r="O630" s="42"/>
      <c r="P630" s="42"/>
      <c r="Q630" s="42"/>
      <c r="R630" s="42"/>
      <c r="S630" s="42"/>
      <c r="T630" s="41"/>
      <c r="U630" s="42"/>
      <c r="V630" s="53"/>
      <c r="W630" s="53"/>
      <c r="X630" s="53"/>
      <c r="Y630" s="53"/>
      <c r="Z630" s="43"/>
      <c r="AA630" s="43"/>
      <c r="AB630" s="43"/>
      <c r="AC630" s="54"/>
      <c r="AD630" s="43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150"/>
      <c r="AV630" s="151"/>
      <c r="AW630" s="151"/>
      <c r="AX630" s="151"/>
      <c r="AY630" s="151"/>
    </row>
    <row r="631" spans="1:51" ht="23.25" customHeight="1">
      <c r="A631" s="579">
        <v>813231</v>
      </c>
      <c r="B631" s="553">
        <v>813231</v>
      </c>
      <c r="C631" s="309"/>
      <c r="D631" s="309"/>
      <c r="E631" s="309"/>
      <c r="F631" s="508" t="s">
        <v>43</v>
      </c>
      <c r="G631" s="580">
        <v>300</v>
      </c>
      <c r="H631" s="580">
        <v>230</v>
      </c>
      <c r="I631" s="554">
        <v>2</v>
      </c>
      <c r="J631" s="628" t="s">
        <v>825</v>
      </c>
      <c r="K631" s="31" t="s">
        <v>108</v>
      </c>
      <c r="L631" s="161" t="s">
        <v>804</v>
      </c>
      <c r="M631" s="30"/>
      <c r="N631" s="30"/>
      <c r="O631" s="30"/>
      <c r="P631" s="30"/>
      <c r="Q631" s="30"/>
      <c r="R631" s="30"/>
      <c r="S631" s="30"/>
      <c r="T631" s="29"/>
      <c r="U631" s="30"/>
      <c r="V631" s="35">
        <v>46081</v>
      </c>
      <c r="W631" s="35">
        <f>V631+15</f>
        <v>46096</v>
      </c>
      <c r="X631" s="35">
        <v>46081</v>
      </c>
      <c r="Y631" s="35">
        <f>X631+15</f>
        <v>46096</v>
      </c>
      <c r="Z631" s="31" t="s">
        <v>72</v>
      </c>
      <c r="AA631" s="31" t="s">
        <v>72</v>
      </c>
      <c r="AB631" s="532" t="s">
        <v>838</v>
      </c>
      <c r="AC631" s="37"/>
      <c r="AD631" s="31"/>
      <c r="AE631" s="36"/>
      <c r="AF631" s="36"/>
      <c r="AG631" s="36"/>
      <c r="AH631" s="36"/>
      <c r="AI631" s="36"/>
      <c r="AJ631" s="36">
        <v>46104</v>
      </c>
      <c r="AK631" s="36">
        <v>46104</v>
      </c>
      <c r="AL631" s="36"/>
      <c r="AM631" s="36"/>
      <c r="AN631" s="36"/>
      <c r="AO631" s="36"/>
      <c r="AP631" s="36"/>
      <c r="AQ631" s="36"/>
      <c r="AR631" s="36"/>
      <c r="AS631" s="36"/>
      <c r="AT631" s="36"/>
      <c r="AU631" s="150"/>
      <c r="AV631" s="151"/>
      <c r="AW631" s="151"/>
      <c r="AX631" s="151"/>
      <c r="AY631" s="151"/>
    </row>
    <row r="632" spans="1:51" ht="18" customHeight="1">
      <c r="A632" s="40" t="s">
        <v>995</v>
      </c>
      <c r="B632" s="41"/>
      <c r="C632" s="42"/>
      <c r="D632" s="42"/>
      <c r="E632" s="42"/>
      <c r="F632" s="43" t="s">
        <v>48</v>
      </c>
      <c r="G632" s="59"/>
      <c r="H632" s="59"/>
      <c r="I632" s="44"/>
      <c r="J632" s="52"/>
      <c r="K632" s="53"/>
      <c r="L632" s="537"/>
      <c r="M632" s="42"/>
      <c r="N632" s="42"/>
      <c r="O632" s="42"/>
      <c r="P632" s="42"/>
      <c r="Q632" s="42"/>
      <c r="R632" s="42"/>
      <c r="S632" s="42"/>
      <c r="T632" s="41"/>
      <c r="U632" s="42"/>
      <c r="V632" s="53"/>
      <c r="W632" s="53"/>
      <c r="X632" s="53"/>
      <c r="Y632" s="53"/>
      <c r="Z632" s="43"/>
      <c r="AA632" s="43"/>
      <c r="AB632" s="43"/>
      <c r="AC632" s="54"/>
      <c r="AD632" s="43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150"/>
      <c r="AV632" s="151"/>
      <c r="AW632" s="151"/>
      <c r="AX632" s="151"/>
      <c r="AY632" s="151"/>
    </row>
    <row r="633" spans="1:51" ht="20.25" customHeight="1">
      <c r="A633" s="627">
        <v>813233</v>
      </c>
      <c r="B633" s="553">
        <v>813233</v>
      </c>
      <c r="C633" s="309"/>
      <c r="D633" s="309"/>
      <c r="E633" s="309"/>
      <c r="F633" s="508" t="s">
        <v>43</v>
      </c>
      <c r="G633" s="580">
        <v>180</v>
      </c>
      <c r="H633" s="580">
        <v>230</v>
      </c>
      <c r="I633" s="554">
        <v>2</v>
      </c>
      <c r="J633" s="629" t="s">
        <v>825</v>
      </c>
      <c r="K633" s="31" t="s">
        <v>108</v>
      </c>
      <c r="L633" s="161" t="s">
        <v>804</v>
      </c>
      <c r="M633" s="30"/>
      <c r="N633" s="30"/>
      <c r="O633" s="30"/>
      <c r="P633" s="30"/>
      <c r="Q633" s="30"/>
      <c r="R633" s="30"/>
      <c r="S633" s="30"/>
      <c r="T633" s="29"/>
      <c r="U633" s="30"/>
      <c r="V633" s="35">
        <v>46127</v>
      </c>
      <c r="W633" s="35">
        <f>V633+15</f>
        <v>46142</v>
      </c>
      <c r="X633" s="35">
        <v>46127</v>
      </c>
      <c r="Y633" s="35">
        <f>X633+15</f>
        <v>46142</v>
      </c>
      <c r="Z633" s="31" t="s">
        <v>72</v>
      </c>
      <c r="AA633" s="31" t="s">
        <v>72</v>
      </c>
      <c r="AB633" s="532" t="s">
        <v>838</v>
      </c>
      <c r="AC633" s="37"/>
      <c r="AD633" s="31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150"/>
      <c r="AV633" s="151"/>
      <c r="AW633" s="151"/>
      <c r="AX633" s="151"/>
      <c r="AY633" s="151"/>
    </row>
    <row r="634" spans="1:51" ht="18" customHeight="1">
      <c r="A634" s="40" t="s">
        <v>995</v>
      </c>
      <c r="B634" s="41"/>
      <c r="C634" s="42"/>
      <c r="D634" s="42"/>
      <c r="E634" s="42"/>
      <c r="F634" s="43" t="s">
        <v>48</v>
      </c>
      <c r="G634" s="59"/>
      <c r="H634" s="59"/>
      <c r="I634" s="44"/>
      <c r="J634" s="52"/>
      <c r="K634" s="53"/>
      <c r="L634" s="537"/>
      <c r="M634" s="42"/>
      <c r="N634" s="42"/>
      <c r="O634" s="42"/>
      <c r="P634" s="42"/>
      <c r="Q634" s="42"/>
      <c r="R634" s="42"/>
      <c r="S634" s="42"/>
      <c r="T634" s="41"/>
      <c r="U634" s="42"/>
      <c r="V634" s="53"/>
      <c r="W634" s="53"/>
      <c r="X634" s="53"/>
      <c r="Y634" s="53"/>
      <c r="Z634" s="43"/>
      <c r="AA634" s="43"/>
      <c r="AB634" s="43"/>
      <c r="AC634" s="54"/>
      <c r="AD634" s="43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150"/>
      <c r="AV634" s="151"/>
      <c r="AW634" s="151"/>
      <c r="AX634" s="151"/>
      <c r="AY634" s="151"/>
    </row>
    <row r="635" spans="1:51" ht="23.9" customHeight="1">
      <c r="A635" s="627">
        <v>813236</v>
      </c>
      <c r="B635" s="553" t="s">
        <v>953</v>
      </c>
      <c r="C635" s="309"/>
      <c r="D635" s="309"/>
      <c r="E635" s="309"/>
      <c r="F635" s="508" t="s">
        <v>43</v>
      </c>
      <c r="G635" s="580">
        <v>100</v>
      </c>
      <c r="H635" s="580">
        <v>230</v>
      </c>
      <c r="I635" s="554">
        <v>2</v>
      </c>
      <c r="J635" s="628" t="s">
        <v>826</v>
      </c>
      <c r="K635" s="31" t="s">
        <v>351</v>
      </c>
      <c r="L635" s="161" t="s">
        <v>804</v>
      </c>
      <c r="M635" s="30"/>
      <c r="N635" s="30"/>
      <c r="O635" s="30"/>
      <c r="P635" s="30"/>
      <c r="Q635" s="30"/>
      <c r="R635" s="30"/>
      <c r="S635" s="30"/>
      <c r="T635" s="29"/>
      <c r="U635" s="30"/>
      <c r="V635" s="35">
        <v>46053</v>
      </c>
      <c r="W635" s="35">
        <f>V635+15</f>
        <v>46068</v>
      </c>
      <c r="X635" s="35">
        <v>46053</v>
      </c>
      <c r="Y635" s="35">
        <f>X635+15</f>
        <v>46068</v>
      </c>
      <c r="Z635" s="31" t="s">
        <v>72</v>
      </c>
      <c r="AA635" s="31" t="s">
        <v>72</v>
      </c>
      <c r="AB635" s="31" t="s">
        <v>730</v>
      </c>
      <c r="AC635" s="37">
        <v>0</v>
      </c>
      <c r="AD635" s="31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150"/>
      <c r="AV635" s="151"/>
      <c r="AW635" s="151"/>
      <c r="AX635" s="151"/>
      <c r="AY635" s="151"/>
    </row>
    <row r="636" spans="1:51" ht="18" customHeight="1">
      <c r="A636" s="40" t="s">
        <v>995</v>
      </c>
      <c r="B636" s="41"/>
      <c r="C636" s="42"/>
      <c r="D636" s="42"/>
      <c r="E636" s="42"/>
      <c r="F636" s="43" t="s">
        <v>48</v>
      </c>
      <c r="G636" s="59"/>
      <c r="H636" s="59"/>
      <c r="I636" s="44"/>
      <c r="J636" s="52"/>
      <c r="K636" s="53"/>
      <c r="L636" s="537"/>
      <c r="M636" s="42"/>
      <c r="N636" s="42"/>
      <c r="O636" s="42"/>
      <c r="P636" s="42"/>
      <c r="Q636" s="42"/>
      <c r="R636" s="42"/>
      <c r="S636" s="42"/>
      <c r="T636" s="41"/>
      <c r="U636" s="42"/>
      <c r="V636" s="53">
        <v>46080</v>
      </c>
      <c r="W636" s="53"/>
      <c r="X636" s="53"/>
      <c r="Y636" s="53"/>
      <c r="Z636" s="43"/>
      <c r="AA636" s="43"/>
      <c r="AB636" s="43"/>
      <c r="AC636" s="54"/>
      <c r="AD636" s="43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150"/>
      <c r="AV636" s="151"/>
      <c r="AW636" s="151"/>
      <c r="AX636" s="151"/>
      <c r="AY636" s="151"/>
    </row>
    <row r="637" spans="1:51" ht="18.75" customHeight="1">
      <c r="A637" s="627">
        <v>813238</v>
      </c>
      <c r="B637" s="553" t="s">
        <v>848</v>
      </c>
      <c r="C637" s="309"/>
      <c r="D637" s="309"/>
      <c r="E637" s="309"/>
      <c r="F637" s="508" t="s">
        <v>43</v>
      </c>
      <c r="G637" s="580">
        <v>80</v>
      </c>
      <c r="H637" s="580">
        <v>230</v>
      </c>
      <c r="I637" s="554">
        <v>2</v>
      </c>
      <c r="J637" s="581" t="s">
        <v>826</v>
      </c>
      <c r="K637" s="31" t="s">
        <v>351</v>
      </c>
      <c r="L637" s="161" t="s">
        <v>804</v>
      </c>
      <c r="M637" s="30"/>
      <c r="N637" s="30"/>
      <c r="O637" s="30"/>
      <c r="P637" s="30"/>
      <c r="Q637" s="30"/>
      <c r="R637" s="30"/>
      <c r="S637" s="30"/>
      <c r="T637" s="29"/>
      <c r="U637" s="30"/>
      <c r="V637" s="36">
        <v>46157</v>
      </c>
      <c r="W637" s="36">
        <f>V637+15</f>
        <v>46172</v>
      </c>
      <c r="X637" s="36">
        <v>46157</v>
      </c>
      <c r="Y637" s="36">
        <f>X637+15</f>
        <v>46172</v>
      </c>
      <c r="Z637" s="31" t="s">
        <v>72</v>
      </c>
      <c r="AA637" s="31" t="s">
        <v>72</v>
      </c>
      <c r="AB637" s="31" t="s">
        <v>730</v>
      </c>
      <c r="AC637" s="37">
        <v>0</v>
      </c>
      <c r="AD637" s="31"/>
      <c r="AE637" s="36"/>
      <c r="AF637" s="36"/>
      <c r="AG637" s="36"/>
      <c r="AH637" s="36"/>
      <c r="AI637" s="36"/>
      <c r="AJ637" s="36">
        <v>46029</v>
      </c>
      <c r="AK637" s="36">
        <v>46029</v>
      </c>
      <c r="AL637" s="36"/>
      <c r="AM637" s="36"/>
      <c r="AN637" s="36"/>
      <c r="AO637" s="36"/>
      <c r="AP637" s="36"/>
      <c r="AQ637" s="36"/>
      <c r="AR637" s="36"/>
      <c r="AS637" s="36"/>
      <c r="AT637" s="36"/>
      <c r="AU637" s="150"/>
      <c r="AV637" s="151"/>
      <c r="AW637" s="151"/>
      <c r="AX637" s="151"/>
      <c r="AY637" s="151"/>
    </row>
    <row r="638" spans="1:51" ht="18" customHeight="1">
      <c r="A638" s="571" t="s">
        <v>995</v>
      </c>
      <c r="B638" s="41"/>
      <c r="C638" s="42"/>
      <c r="D638" s="42"/>
      <c r="E638" s="42"/>
      <c r="F638" s="43" t="s">
        <v>48</v>
      </c>
      <c r="G638" s="59"/>
      <c r="H638" s="59"/>
      <c r="I638" s="44"/>
      <c r="J638" s="52"/>
      <c r="K638" s="53"/>
      <c r="L638" s="537"/>
      <c r="M638" s="42"/>
      <c r="N638" s="42"/>
      <c r="O638" s="42"/>
      <c r="P638" s="42"/>
      <c r="Q638" s="42"/>
      <c r="R638" s="42"/>
      <c r="S638" s="42"/>
      <c r="T638" s="41"/>
      <c r="U638" s="42"/>
      <c r="V638" s="116"/>
      <c r="W638" s="116"/>
      <c r="X638" s="116"/>
      <c r="Y638" s="116"/>
      <c r="Z638" s="43"/>
      <c r="AA638" s="43"/>
      <c r="AB638" s="43"/>
      <c r="AC638" s="54"/>
      <c r="AD638" s="43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150"/>
      <c r="AV638" s="151"/>
      <c r="AW638" s="151"/>
      <c r="AX638" s="151"/>
      <c r="AY638" s="151"/>
    </row>
    <row r="639" spans="1:51" ht="18.75" customHeight="1">
      <c r="A639" s="149"/>
      <c r="B639" s="29"/>
      <c r="C639" s="30"/>
      <c r="D639" s="30"/>
      <c r="E639" s="30"/>
      <c r="F639" s="31" t="s">
        <v>43</v>
      </c>
      <c r="G639" s="33"/>
      <c r="H639" s="33"/>
      <c r="I639" s="34"/>
      <c r="J639" s="497"/>
      <c r="K639" s="31"/>
      <c r="L639" s="161"/>
      <c r="M639" s="30"/>
      <c r="N639" s="30"/>
      <c r="O639" s="30"/>
      <c r="P639" s="30"/>
      <c r="Q639" s="30"/>
      <c r="R639" s="30"/>
      <c r="S639" s="30"/>
      <c r="T639" s="29"/>
      <c r="U639" s="30"/>
      <c r="V639" s="35"/>
      <c r="W639" s="35"/>
      <c r="X639" s="35"/>
      <c r="Y639" s="35"/>
      <c r="Z639" s="31"/>
      <c r="AA639" s="31"/>
      <c r="AB639" s="31"/>
      <c r="AC639" s="37"/>
      <c r="AD639" s="31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150"/>
      <c r="AV639" s="151"/>
      <c r="AW639" s="151"/>
      <c r="AX639" s="151"/>
      <c r="AY639" s="151"/>
    </row>
    <row r="640" spans="1:51" ht="18" customHeight="1">
      <c r="A640" s="40"/>
      <c r="B640" s="41"/>
      <c r="C640" s="42"/>
      <c r="D640" s="42"/>
      <c r="E640" s="42"/>
      <c r="F640" s="43" t="s">
        <v>48</v>
      </c>
      <c r="G640" s="59"/>
      <c r="H640" s="59"/>
      <c r="I640" s="44"/>
      <c r="J640" s="52"/>
      <c r="K640" s="53"/>
      <c r="L640" s="537"/>
      <c r="M640" s="42"/>
      <c r="N640" s="42"/>
      <c r="O640" s="42"/>
      <c r="P640" s="42"/>
      <c r="Q640" s="42"/>
      <c r="R640" s="42"/>
      <c r="S640" s="42"/>
      <c r="T640" s="41"/>
      <c r="U640" s="42"/>
      <c r="V640" s="53"/>
      <c r="W640" s="53"/>
      <c r="X640" s="53"/>
      <c r="Y640" s="53"/>
      <c r="Z640" s="43"/>
      <c r="AA640" s="43"/>
      <c r="AB640" s="43"/>
      <c r="AC640" s="54"/>
      <c r="AD640" s="43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150"/>
      <c r="AV640" s="151"/>
      <c r="AW640" s="151"/>
      <c r="AX640" s="151"/>
      <c r="AY640" s="151"/>
    </row>
  </sheetData>
  <autoFilter ref="A1:A638" xr:uid="{5F0DD7CE-6F3B-4085-91A1-6C84F6018567}"/>
  <mergeCells count="17">
    <mergeCell ref="AR540:AS540"/>
    <mergeCell ref="AU290:AU299"/>
    <mergeCell ref="AU5:AU12"/>
    <mergeCell ref="AU14:AU23"/>
    <mergeCell ref="AU25:AU34"/>
    <mergeCell ref="AU36:AU41"/>
    <mergeCell ref="AU43:AU54"/>
    <mergeCell ref="AU248:AU257"/>
    <mergeCell ref="AU142:AU151"/>
    <mergeCell ref="AU152:AU160"/>
    <mergeCell ref="AU162:AU169"/>
    <mergeCell ref="AU120:AU129"/>
    <mergeCell ref="C526:E526"/>
    <mergeCell ref="AU436:AU449"/>
    <mergeCell ref="AU369:AU380"/>
    <mergeCell ref="AU345:AU354"/>
    <mergeCell ref="AU301:AU308"/>
  </mergeCells>
  <phoneticPr fontId="60" type="noConversion"/>
  <conditionalFormatting sqref="V208 AE294:AT294 AG314:AT314 AN316:AT316 AE318:AT318 AI334:AT334 AI336:AT336 AE349:AT349 AE351:AT351 AE353:AT353 AE356:AT356 AE358:AT358 AE360:AT360 AE362:AT362 AE416:AT416 AE421:AT421 AO440:AT440 AE442:AT442 AJ448:AT448 AO453:AT453 AO455:AT455 AE457:AT457 AE462:AT462 AE464:AT464 AJ468:AK468 AL481:AO481 AR481:AT481 AS423:AT423 AE204:AT204 AE206:AT206 AE208:AT208 AE210:AT210 AE213:AT213 AE215:AT215 AE217:AT217 AE221:AT221 AE224:AT224 AE228:AT228 AE230:AT230 AE232:AT232 AE234:AT234 AE287:AT287 AE290:AT290 AE292:AT292 AE301:AT301 AE303:AT303 AE305:AT305 AE307:AT307 AE310:AT310 AE312:AT312 AE323:AT323 AE325:AT325 AE327:AT327 AE329:AT329 AE332:AT332 AL340:AT340 AE342:AT342 AE345:AT345 AG347:AT347 AE364:AT364 AE366:AT366 AE369:AT369 AE371:AT371 AE373:AT373 AE375:AT375 AE377:AT377 AE379:AT379 AE382:AT382 AJ384:AT384 AE386:AT386 AO388:AT388 AE390:AT390 AE392:AT392 AE395:AT395 AE397:AT397 AE399:AT399 AE401:AT401 AE403:AT403 AE406:AT406 AE408:AT408 AE410:AT410 AE414:AT414 AL425:AT425 AE427:AT427 AE429:AT429 AE431:AT431 AE433:AT433 AE436:AT436 AE438:AT438 AE451:AT451 AE459:AO459 AT459 AE483:AT483 AE492:AT492 AE494:AT494 AE496:AH496 AJ496:AT496 AE498:AH498 AJ498:AT498 AE500:AT500 AE502:AT502 AE550:AT550 AE558:AT558 AE562:AT562 AE564:AT564 AE568:AT568 AE570:AT570 AE574:AT574 AE576:AT576 AE578:AT578 AE580:AT580 AE586:AT586 AE592:AN592 AQ592:AT592 AE598:AT598 AE600:AT600 AE602:AT602 AE606:AT606 AE610:AT610 AE614:AT614 AE622:AT622 AE629:AT629 AE631:AT631 AE633:AT633 AE635:AT635 AE637:AT637 AE541:AI541 AO338:AT338 AJ485:AT485 AE481:AI481 AE487:AT487 AE489:AT489 AE552:AL552 AN552:AO552 AR552:AT552 AL446:AQ446 AE639:AT639 AE594:AT594 AT477">
    <cfRule type="expression" dxfId="1398" priority="5903">
      <formula>V205&gt;0</formula>
    </cfRule>
  </conditionalFormatting>
  <conditionalFormatting sqref="V210 AE268:AK268 AE270 AJ270:AK270 AE276:AK276 AT412 AI541">
    <cfRule type="expression" dxfId="1397" priority="5910">
      <formula>AND(V211="",V210&lt;TODAY())</formula>
    </cfRule>
  </conditionalFormatting>
  <conditionalFormatting sqref="V210 AE268:AK268 AE270 AJ270:AK270 AE276:AK276 AT412">
    <cfRule type="expression" dxfId="1396" priority="5909">
      <formula>V211&gt;0</formula>
    </cfRule>
  </conditionalFormatting>
  <conditionalFormatting sqref="V204:X204 AE296:AT296 AE537 AG537:AT537">
    <cfRule type="expression" dxfId="1395" priority="5994">
      <formula>AND(V205="",V204&lt;TODAY())</formula>
    </cfRule>
    <cfRule type="expression" dxfId="1394" priority="5993">
      <formula>V205&gt;0</formula>
    </cfRule>
  </conditionalFormatting>
  <conditionalFormatting sqref="V228:X228 AN423:AQ423 AE541:AI541 AE481:AI481 AL481:AM481 AO481 AE483:AT483 AJ485:AT485 AE487:AT487 AE489:AT489 AE459:AO459 AT459 AE552:AL552 AN552:AO552 AR552:AT552 AE576:AT576">
    <cfRule type="expression" dxfId="1393" priority="5967">
      <formula>AND(V229="",V228&lt;TODAY())</formula>
    </cfRule>
  </conditionalFormatting>
  <conditionalFormatting sqref="V228:X228 AN423:AQ423">
    <cfRule type="expression" dxfId="1392" priority="5966">
      <formula>V229&gt;0</formula>
    </cfRule>
  </conditionalFormatting>
  <conditionalFormatting sqref="V213:Y213 V215:Y215 V217:Y217 V219:Y219 V221:Y221 AE259:AQ259 AE261:AQ261 AE263:AQ263 AE265:AQ265 AE298:AT298 AE321:AT321 AO418:AT418 AO423:AS423 AO448:AT448">
    <cfRule type="expression" dxfId="1391" priority="5820">
      <formula>AND(V214="",V213&lt;TODAY())</formula>
    </cfRule>
  </conditionalFormatting>
  <conditionalFormatting sqref="V213:Y213 V215:Y215 V217:Y217 V219:Y219 V221:Y221 AE259:AQ259 AE261:AQ261 AE263:AQ263 AE265:AQ265 AE298:AT298 AE321:AT321 AO418:AT418 AO448:AT448 AO423:AS423">
    <cfRule type="expression" dxfId="1390" priority="5819">
      <formula>V214&gt;0</formula>
    </cfRule>
  </conditionalFormatting>
  <conditionalFormatting sqref="V226:Y226 AE541 AJ541:AT541 AE543:AT543 AE545 AJ545:AT545 AE547:AT547 AE554:AT554">
    <cfRule type="expression" dxfId="1389" priority="5817">
      <formula>AND(V227="",V226&lt;TODAY())</formula>
    </cfRule>
  </conditionalFormatting>
  <conditionalFormatting sqref="V226:Y226 AE545 AJ545:AT545 AE547:AT547 AE554:AT554 AE541 AJ541:AT541 AE543:AT543">
    <cfRule type="expression" dxfId="1388" priority="5816">
      <formula>V227&gt;0</formula>
    </cfRule>
  </conditionalFormatting>
  <conditionalFormatting sqref="V226:Y226 AE545:AT545 AE547:AT547 AE554:AT554">
    <cfRule type="expression" dxfId="1387" priority="5815">
      <formula>ISBLANK(V226)</formula>
    </cfRule>
  </conditionalFormatting>
  <conditionalFormatting sqref="V230:Y232">
    <cfRule type="expression" dxfId="1386" priority="5847">
      <formula>AND(V231="",V230&lt;TODAY())</formula>
    </cfRule>
    <cfRule type="expression" dxfId="1385" priority="5846">
      <formula>V231&gt;0</formula>
    </cfRule>
    <cfRule type="expression" dxfId="1384" priority="5845">
      <formula>ISBLANK(V230)</formula>
    </cfRule>
  </conditionalFormatting>
  <conditionalFormatting sqref="V234:Y235">
    <cfRule type="expression" dxfId="1383" priority="5624">
      <formula>AND(V235="",V234&lt;TODAY())</formula>
    </cfRule>
    <cfRule type="expression" dxfId="1382" priority="5622">
      <formula>ISBLANK(V234)</formula>
    </cfRule>
    <cfRule type="expression" dxfId="1381" priority="5623">
      <formula>V235&gt;0</formula>
    </cfRule>
  </conditionalFormatting>
  <conditionalFormatting sqref="V237:Y237">
    <cfRule type="expression" dxfId="1380" priority="5771">
      <formula>V238&gt;0</formula>
    </cfRule>
    <cfRule type="expression" dxfId="1379" priority="5770">
      <formula>ISBLANK(V237)</formula>
    </cfRule>
    <cfRule type="expression" dxfId="1378" priority="5772">
      <formula>AND(V238="",V237&lt;TODAY())</formula>
    </cfRule>
  </conditionalFormatting>
  <conditionalFormatting sqref="V239:Y239 V241:Y241 V243:Y243 V248:X248 V250:Y250 V252:Y252 V261:Y261 V263:Y263 V265:Y265 V268:Y268 V270:Y270 V272:Y272 V274:Y274 V276:Y276 V345:Y345 V347:Y347 V351:Y351 V353:Y353 V356:Y356 V360:Y360 V362:Y362 V364:Y364 V366:Y366 V395:Y395 V397:Y397 V399:Y399 V401:Y401 V403:Y403 V406:Y406 V412:AA412 V414:Y414">
    <cfRule type="expression" dxfId="1377" priority="6012">
      <formula>AND(V240="",V239&lt;TODAY())</formula>
    </cfRule>
    <cfRule type="expression" dxfId="1376" priority="6011">
      <formula>V240&gt;0</formula>
    </cfRule>
    <cfRule type="expression" dxfId="1375" priority="6010">
      <formula>ISBLANK(V239)</formula>
    </cfRule>
  </conditionalFormatting>
  <conditionalFormatting sqref="V245:Y245">
    <cfRule type="expression" dxfId="1374" priority="5301">
      <formula>ISBLANK(V245)</formula>
    </cfRule>
    <cfRule type="expression" dxfId="1373" priority="5303">
      <formula>AND(V246="",V245&lt;TODAY())</formula>
    </cfRule>
    <cfRule type="expression" dxfId="1372" priority="5302">
      <formula>V246&gt;0</formula>
    </cfRule>
  </conditionalFormatting>
  <conditionalFormatting sqref="V254:Y254 V256:Y256">
    <cfRule type="expression" dxfId="1371" priority="5305">
      <formula>V255&gt;0</formula>
    </cfRule>
    <cfRule type="expression" dxfId="1370" priority="5304">
      <formula>ISBLANK(V254)</formula>
    </cfRule>
    <cfRule type="expression" dxfId="1369" priority="5306">
      <formula>AND(V255="",V254&lt;TODAY())</formula>
    </cfRule>
  </conditionalFormatting>
  <conditionalFormatting sqref="V259:Y259">
    <cfRule type="expression" dxfId="1368" priority="5546">
      <formula>AND(V260="",V259&lt;TODAY())</formula>
    </cfRule>
    <cfRule type="expression" dxfId="1367" priority="5544">
      <formula>ISBLANK(V259)</formula>
    </cfRule>
    <cfRule type="expression" dxfId="1366" priority="5545">
      <formula>V260&gt;0</formula>
    </cfRule>
  </conditionalFormatting>
  <conditionalFormatting sqref="V279:Y279 V281:Y281 V283:Y283 V285:Y285 V287:Y287">
    <cfRule type="expression" dxfId="1365" priority="4820">
      <formula>ISBLANK(V279)</formula>
    </cfRule>
    <cfRule type="expression" dxfId="1364" priority="4821">
      <formula>V280&gt;0</formula>
    </cfRule>
    <cfRule type="expression" dxfId="1363" priority="4822">
      <formula>AND(V280="",V279&lt;TODAY())</formula>
    </cfRule>
  </conditionalFormatting>
  <conditionalFormatting sqref="V292:Y292 V294:Y294 V296:Y296 V298:Y298">
    <cfRule type="expression" dxfId="1362" priority="4823">
      <formula>ISBLANK(V292)</formula>
    </cfRule>
    <cfRule type="expression" dxfId="1361" priority="4824">
      <formula>V293&gt;0</formula>
    </cfRule>
    <cfRule type="expression" dxfId="1360" priority="4825">
      <formula>AND(V293="",V292&lt;TODAY())</formula>
    </cfRule>
  </conditionalFormatting>
  <conditionalFormatting sqref="V310:Y310 V312:Y312 V314:Y314 V316:Y316 V318:Y318 V321:Y321">
    <cfRule type="expression" dxfId="1359" priority="4827">
      <formula>V311&gt;0</formula>
    </cfRule>
    <cfRule type="expression" dxfId="1358" priority="4828">
      <formula>AND(V311="",V310&lt;TODAY())</formula>
    </cfRule>
    <cfRule type="expression" dxfId="1357" priority="4826">
      <formula>ISBLANK(V310)</formula>
    </cfRule>
  </conditionalFormatting>
  <conditionalFormatting sqref="V323:Y323 V325:Y325 V327:Y327 V329:Y329 V332:Y332">
    <cfRule type="expression" dxfId="1356" priority="4831">
      <formula>AND(V324="",V323&lt;TODAY())</formula>
    </cfRule>
    <cfRule type="expression" dxfId="1355" priority="4830">
      <formula>V324&gt;0</formula>
    </cfRule>
    <cfRule type="expression" dxfId="1354" priority="4829">
      <formula>ISBLANK(V323)</formula>
    </cfRule>
  </conditionalFormatting>
  <conditionalFormatting sqref="V334:Y334 V336:Y336">
    <cfRule type="expression" dxfId="1353" priority="4834">
      <formula>AND(V335="",V334&lt;TODAY())</formula>
    </cfRule>
    <cfRule type="expression" dxfId="1352" priority="4833">
      <formula>V335&gt;0</formula>
    </cfRule>
    <cfRule type="expression" dxfId="1351" priority="4832">
      <formula>ISBLANK(V334)</formula>
    </cfRule>
  </conditionalFormatting>
  <conditionalFormatting sqref="V340:Y340 V342:Y342">
    <cfRule type="expression" dxfId="1350" priority="4835">
      <formula>ISBLANK(V340)</formula>
    </cfRule>
    <cfRule type="expression" dxfId="1349" priority="4836">
      <formula>V341&gt;0</formula>
    </cfRule>
    <cfRule type="expression" dxfId="1348" priority="4837">
      <formula>AND(V341="",V340&lt;TODAY())</formula>
    </cfRule>
  </conditionalFormatting>
  <conditionalFormatting sqref="V349:Y349">
    <cfRule type="expression" dxfId="1347" priority="4271">
      <formula>V350&gt;0</formula>
    </cfRule>
    <cfRule type="expression" dxfId="1346" priority="4270">
      <formula>ISBLANK(V349)</formula>
    </cfRule>
    <cfRule type="expression" dxfId="1345" priority="4272">
      <formula>AND(V350="",V349&lt;TODAY())</formula>
    </cfRule>
  </conditionalFormatting>
  <conditionalFormatting sqref="V369:Y369">
    <cfRule type="expression" dxfId="1344" priority="3140">
      <formula>ISBLANK(V369)</formula>
    </cfRule>
    <cfRule type="expression" dxfId="1343" priority="3141">
      <formula>V370&gt;0</formula>
    </cfRule>
    <cfRule type="expression" dxfId="1342" priority="3142">
      <formula>AND(V370="",V369&lt;TODAY())</formula>
    </cfRule>
  </conditionalFormatting>
  <conditionalFormatting sqref="V371:Y371 V373:Y373">
    <cfRule type="expression" dxfId="1341" priority="3149">
      <formula>ISBLANK(V371)</formula>
    </cfRule>
    <cfRule type="expression" dxfId="1340" priority="3150">
      <formula>V372&gt;0</formula>
    </cfRule>
    <cfRule type="expression" dxfId="1339" priority="3151">
      <formula>AND(V372="",V371&lt;TODAY())</formula>
    </cfRule>
  </conditionalFormatting>
  <conditionalFormatting sqref="V423:Y423 V425:Y425 V427:Y427 V429:Y429 V431:Y431 V433:Y433">
    <cfRule type="expression" dxfId="1338" priority="1074">
      <formula>ISBLANK(V423)</formula>
    </cfRule>
    <cfRule type="expression" dxfId="1337" priority="1075">
      <formula>V424&gt;0</formula>
    </cfRule>
    <cfRule type="expression" dxfId="1336" priority="1076">
      <formula>AND(V424="",V423&lt;TODAY())</formula>
    </cfRule>
  </conditionalFormatting>
  <conditionalFormatting sqref="V440:Y440 V442:Y442 V444:Y444 V446:Y446 V448:Y448">
    <cfRule type="expression" dxfId="1335" priority="1077">
      <formula>ISBLANK(V440)</formula>
    </cfRule>
    <cfRule type="expression" dxfId="1334" priority="1078">
      <formula>V441&gt;0</formula>
    </cfRule>
    <cfRule type="expression" dxfId="1333" priority="1079">
      <formula>AND(V441="",V440&lt;TODAY())</formula>
    </cfRule>
  </conditionalFormatting>
  <conditionalFormatting sqref="V451:Y451 V453:Y453 V455:Y455">
    <cfRule type="expression" dxfId="1332" priority="1081">
      <formula>V452&gt;0</formula>
    </cfRule>
    <cfRule type="expression" dxfId="1331" priority="1082">
      <formula>AND(V452="",V451&lt;TODAY())</formula>
    </cfRule>
    <cfRule type="expression" dxfId="1330" priority="1080">
      <formula>ISBLANK(V451)</formula>
    </cfRule>
  </conditionalFormatting>
  <conditionalFormatting sqref="V457:Y457 V459:Y459">
    <cfRule type="expression" dxfId="1329" priority="1396">
      <formula>AND(V458="",V457&lt;TODAY())</formula>
    </cfRule>
    <cfRule type="expression" dxfId="1328" priority="1395">
      <formula>V458&gt;0</formula>
    </cfRule>
    <cfRule type="expression" dxfId="1327" priority="1394">
      <formula>ISBLANK(V457)</formula>
    </cfRule>
  </conditionalFormatting>
  <conditionalFormatting sqref="V462:Y462 V464:Y464 V466:Y466 V470:Y470 V472:Y472 V474:Y474">
    <cfRule type="expression" dxfId="1326" priority="1181">
      <formula>ISBLANK(V462)</formula>
    </cfRule>
    <cfRule type="expression" dxfId="1325" priority="1183">
      <formula>AND(V463="",V462&lt;TODAY())</formula>
    </cfRule>
    <cfRule type="expression" dxfId="1324" priority="1182">
      <formula>V463&gt;0</formula>
    </cfRule>
  </conditionalFormatting>
  <conditionalFormatting sqref="V477:Y477">
    <cfRule type="expression" dxfId="1323" priority="1157">
      <formula>ISBLANK(V477)</formula>
    </cfRule>
    <cfRule type="expression" dxfId="1322" priority="1159">
      <formula>AND(V478="",V477&lt;TODAY())</formula>
    </cfRule>
    <cfRule type="expression" dxfId="1321" priority="1158">
      <formula>V478&gt;0</formula>
    </cfRule>
  </conditionalFormatting>
  <conditionalFormatting sqref="V481:Y481 V483:Y483 V485:Y485 V487:Y487 V489:Y489 V492:Y492 V494:Y494 V496:Y496 V498:Y498 V500:Y500 V517:Y517">
    <cfRule type="expression" dxfId="1320" priority="1178">
      <formula>ISBLANK(V481)</formula>
    </cfRule>
    <cfRule type="expression" dxfId="1319" priority="1179">
      <formula>V482&gt;0</formula>
    </cfRule>
    <cfRule type="expression" dxfId="1318" priority="1180">
      <formula>AND(V482="",V481&lt;TODAY())</formula>
    </cfRule>
  </conditionalFormatting>
  <conditionalFormatting sqref="V509:Y509 V511:Y511 V515:Y515 V530:Y530 V532:Y532 V552:Y552 V558:Y558 V562:Y562 V564:Y564 V568:Y568 V570:Y570 V574:Y574 V576:Y576 V578:Y578 V580:Y580 V637:Y637">
    <cfRule type="expression" dxfId="1317" priority="1177">
      <formula>AND(V510="",V509&lt;TODAY())</formula>
    </cfRule>
    <cfRule type="expression" dxfId="1316" priority="1176">
      <formula>V510&gt;0</formula>
    </cfRule>
    <cfRule type="expression" dxfId="1315" priority="1175">
      <formula>ISBLANK(V509)</formula>
    </cfRule>
  </conditionalFormatting>
  <conditionalFormatting sqref="V541:Y541">
    <cfRule type="expression" dxfId="1314" priority="524">
      <formula>ISBLANK(V541)</formula>
    </cfRule>
    <cfRule type="expression" dxfId="1313" priority="525">
      <formula>V542&gt;0</formula>
    </cfRule>
    <cfRule type="expression" dxfId="1312" priority="526">
      <formula>AND(V542="",V541&lt;TODAY())</formula>
    </cfRule>
  </conditionalFormatting>
  <conditionalFormatting sqref="V379:AA379">
    <cfRule type="expression" dxfId="1311" priority="3048">
      <formula>AND(V380="",V379&lt;TODAY())</formula>
    </cfRule>
    <cfRule type="expression" dxfId="1310" priority="3047">
      <formula>V380&gt;0</formula>
    </cfRule>
    <cfRule type="expression" dxfId="1309" priority="3046">
      <formula>ISBLANK(V379)</formula>
    </cfRule>
  </conditionalFormatting>
  <conditionalFormatting sqref="V384:AA384 V388:Y388 V390:Y390">
    <cfRule type="expression" dxfId="1308" priority="3036">
      <formula>AND(V385="",V384&lt;TODAY())</formula>
    </cfRule>
    <cfRule type="expression" dxfId="1307" priority="3035">
      <formula>V385&gt;0</formula>
    </cfRule>
    <cfRule type="expression" dxfId="1306" priority="3034">
      <formula>ISBLANK(V384)</formula>
    </cfRule>
  </conditionalFormatting>
  <conditionalFormatting sqref="X208">
    <cfRule type="expression" dxfId="1305" priority="5900">
      <formula>X209&gt;0</formula>
    </cfRule>
    <cfRule type="expression" dxfId="1304" priority="5899">
      <formula>ISBLANK(X208)</formula>
    </cfRule>
    <cfRule type="expression" dxfId="1303" priority="5901">
      <formula>AND(X209="",X208&lt;TODAY())</formula>
    </cfRule>
  </conditionalFormatting>
  <conditionalFormatting sqref="X210">
    <cfRule type="expression" dxfId="1302" priority="5907">
      <formula>AND(X211="",X210&lt;TODAY())</formula>
    </cfRule>
    <cfRule type="expression" dxfId="1301" priority="5906">
      <formula>X211&gt;0</formula>
    </cfRule>
    <cfRule type="expression" dxfId="1300" priority="5905">
      <formula>ISBLANK(X210)</formula>
    </cfRule>
  </conditionalFormatting>
  <conditionalFormatting sqref="AD536 AF536:AT536">
    <cfRule type="expression" dxfId="1299" priority="178">
      <formula>AD535&gt;AD536</formula>
    </cfRule>
    <cfRule type="expression" priority="176">
      <formula>AD535</formula>
    </cfRule>
    <cfRule type="expression" dxfId="1298" priority="177">
      <formula>AD535&lt;AD536</formula>
    </cfRule>
  </conditionalFormatting>
  <conditionalFormatting sqref="AD536">
    <cfRule type="expression" priority="1">
      <formula>#REF!</formula>
    </cfRule>
    <cfRule type="expression" dxfId="1297" priority="2">
      <formula>#REF!&gt;AD536</formula>
    </cfRule>
    <cfRule type="expression" dxfId="1296" priority="3">
      <formula>#REF!&lt;AD536</formula>
    </cfRule>
  </conditionalFormatting>
  <conditionalFormatting sqref="AE246 AH246:AK246 AG540:AR540 AT540 AF542:AT542 AE553:AO553 AR553:AT553 AE555:AT555 AE561:AT561 AE571:AT571 AE634:AT634">
    <cfRule type="expression" priority="5776">
      <formula>AE245</formula>
    </cfRule>
  </conditionalFormatting>
  <conditionalFormatting sqref="AE246 AH246:AK246 AL544:AM544 AO544:AT544 AG540:AR540 AT540 AE561:AT561 AE571:AT571 AE634:AT634">
    <cfRule type="expression" dxfId="1295" priority="5778">
      <formula>AE245&gt;AE246</formula>
    </cfRule>
  </conditionalFormatting>
  <conditionalFormatting sqref="AE325">
    <cfRule type="expression" dxfId="1294" priority="8028">
      <formula>AND(AE335="",AE325&lt;TODAY())</formula>
    </cfRule>
    <cfRule type="expression" dxfId="1293" priority="8027">
      <formula>AE335&gt;0</formula>
    </cfRule>
    <cfRule type="expression" dxfId="1292" priority="8026">
      <formula>ISBLANK(AE325)</formula>
    </cfRule>
  </conditionalFormatting>
  <conditionalFormatting sqref="AE335 AO542:AT542">
    <cfRule type="expression" dxfId="1291" priority="3956">
      <formula>AE334&gt;AE335</formula>
    </cfRule>
  </conditionalFormatting>
  <conditionalFormatting sqref="AE335">
    <cfRule type="expression" priority="3954">
      <formula>AE334</formula>
    </cfRule>
  </conditionalFormatting>
  <conditionalFormatting sqref="AE337 AE460:AO460 AE465:AI465 AT460 AJ486:AK486 AN486 AP486 AE499:AT499 AE559:AT559 AE591:AT591 AE593:AT593">
    <cfRule type="expression" dxfId="1290" priority="3950">
      <formula>AE336&gt;AE337</formula>
    </cfRule>
  </conditionalFormatting>
  <conditionalFormatting sqref="AE337 AT426 AE447:AT447 AE458:AT458 AE460:AO460 AT460 AJ486:AK486 AN486 AP486 AE559:AT559 AE591:AT591 AE593:AT593">
    <cfRule type="expression" priority="3948">
      <formula>AE336</formula>
    </cfRule>
  </conditionalFormatting>
  <conditionalFormatting sqref="AE339 AE557:AI557 AL557:AM557 AO557:AT557 AE577:AT577">
    <cfRule type="expression" dxfId="1289" priority="3941">
      <formula>AE338&gt;AE339</formula>
    </cfRule>
  </conditionalFormatting>
  <conditionalFormatting sqref="AE339 AE577:AT577">
    <cfRule type="expression" priority="3939">
      <formula>AE338</formula>
    </cfRule>
  </conditionalFormatting>
  <conditionalFormatting sqref="AE372">
    <cfRule type="expression" dxfId="1288" priority="8813">
      <formula>AE412&gt;AE372</formula>
    </cfRule>
    <cfRule type="expression" dxfId="1287" priority="8812">
      <formula>AE412&lt;AE372</formula>
    </cfRule>
    <cfRule type="expression" priority="8811">
      <formula>AE412</formula>
    </cfRule>
  </conditionalFormatting>
  <conditionalFormatting sqref="AE374 AE537:AI537 AO537:AT539 AL537:AM548 AO307:AT307 AO429:AS429 AO451:AT459 AR481:AT481 AP483:AT483 AP485:AT485 AE492:AI495 AL492:AM503 AO492:AT503 AE496:AH496 AG498:AH498 AE500:AI503 AE541:AI541 AF541:AI545 AO550:AT551 AE550:AI563 AL550:AM563 AO552:AO553 AR552:AT553 AO554:AT563 AO592:AT592 AE592:AI593 AL592:AM593 AO541:AO544 AQ541:AS546 AO542:AT548 AE543:AE545 AE547:AI548 AH538:AI540 AG540:AI540 AO540:AR540 AT540 AR484:AT484 AE497:AI497 AN299:AT299 AO460 AQ460:AT460 AP486 AG499:AI499 AQ593:AT593 AQ479:AT479 AE539:AI539 AG546:AI546 AE328:AT328">
    <cfRule type="expression" dxfId="1286" priority="10526">
      <formula>#REF!&lt;AE299</formula>
    </cfRule>
  </conditionalFormatting>
  <conditionalFormatting sqref="AE410">
    <cfRule type="expression" dxfId="1285" priority="2101">
      <formula>ISBLANK(AE410)</formula>
    </cfRule>
    <cfRule type="expression" dxfId="1284" priority="2103">
      <formula>AND(AE417="",AE410&lt;TODAY())</formula>
    </cfRule>
    <cfRule type="expression" dxfId="1283" priority="2102">
      <formula>AE417&gt;0</formula>
    </cfRule>
  </conditionalFormatting>
  <conditionalFormatting sqref="AE410:AE411 AE413:AF413 AI413 AO451:AT459 AE451:AI451 AL451:AM451 AL459:AM460 AO460 AQ460:AT460 AP486 AL492:AM503 AO492:AT503 AG499:AI499 AL537:AM548 AH538:AI540 AG540:AI540 AO540:AR540 AT540 AE550:AI563 AL550:AM563 AO554:AT563 AE592:AI593 AL592:AM593 AQ593:AT593 AF468:AI473 AE474:AI475 AE462:AI465 AE479:AI479 AQ479:AT479 AO537:AT539 AE539:AI539 AR484:AT484 AE487:AT487 AE489:AT489 AE500:AI503 AE537:AI537 AO552:AO553 AR552:AT553 AO541:AO544 AQ541:AS546 AE541:AI541 AF541:AI545 AO550:AT551 AG546:AI546 AE547:AI548 AE543:AE545 AE481:AI481 AE483:AI483 AE485:AI485 AE492:AI495 AE496:AH496 AE497:AI497 AG498:AH498 AO592:AT592">
    <cfRule type="expression" dxfId="1282" priority="2094">
      <formula>#REF!&gt;AE410</formula>
    </cfRule>
  </conditionalFormatting>
  <conditionalFormatting sqref="AE411 AF419">
    <cfRule type="expression" dxfId="1281" priority="2098">
      <formula>#REF!&lt;AE411</formula>
    </cfRule>
  </conditionalFormatting>
  <conditionalFormatting sqref="AE421">
    <cfRule type="expression" dxfId="1280" priority="1980">
      <formula>ISBLANK(AE421)</formula>
    </cfRule>
    <cfRule type="expression" dxfId="1279" priority="1982">
      <formula>AND(AE363="",AE421&lt;TODAY())</formula>
    </cfRule>
    <cfRule type="expression" dxfId="1278" priority="1981">
      <formula>AE363&gt;0</formula>
    </cfRule>
  </conditionalFormatting>
  <conditionalFormatting sqref="AE428">
    <cfRule type="expression" dxfId="1277" priority="1839">
      <formula>#REF!&gt;AE428</formula>
    </cfRule>
  </conditionalFormatting>
  <conditionalFormatting sqref="AE441 AG441:AI441">
    <cfRule type="expression" dxfId="1276" priority="1607">
      <formula>#REF!&gt;AE441</formula>
    </cfRule>
  </conditionalFormatting>
  <conditionalFormatting sqref="AE444 AE449:AI449 AO451:AT459 AO460 AQ460:AT460 AE479:AI479 AE481:AI481 AE483:AI483 AE485:AI485 AE492:AI495 AL492:AM503 AO492:AT503 AE496:AH496 AE497:AI497 AG498:AH498 AG499:AI499 AE500:AI503 AO535:AT539 AH538:AI540 AE539:AI539 AG540:AI540 AO540:AR540 AT540 AE541:AI541 AF541:AI545 AO541:AT548 AE543:AE545 AG546:AI546 AE547:AI548 AO550:AT551 AE550:AI563 AL550:AM563 AO552:AO553 AR552:AT553 AO554:AT563 AO592:AT592 AE592:AI593 AL592:AM593">
    <cfRule type="expression" priority="1568">
      <formula>#REF!</formula>
    </cfRule>
  </conditionalFormatting>
  <conditionalFormatting sqref="AE444 AI444:AK444 AM444:AN444 AJ446:AM446">
    <cfRule type="expression" dxfId="1275" priority="1609">
      <formula>AE445&gt;0</formula>
    </cfRule>
    <cfRule type="expression" dxfId="1274" priority="1610">
      <formula>AND(AE445="",AE444&lt;TODAY())</formula>
    </cfRule>
  </conditionalFormatting>
  <conditionalFormatting sqref="AE444 AM444">
    <cfRule type="expression" dxfId="1273" priority="1616">
      <formula>#REF!&gt;AE444</formula>
    </cfRule>
    <cfRule type="expression" dxfId="1272" priority="1617">
      <formula>#REF!&lt;AE444</formula>
    </cfRule>
  </conditionalFormatting>
  <conditionalFormatting sqref="AE447 AE460:AO460 AE499:AT499 AT460 AJ486:AK486 AN486 AP486 AG540:AR540 AT540 AE559:AT559 AE561:AT561 AE571:AT571 AE591:AT591 AE593:AT593 AE634:AT634">
    <cfRule type="expression" dxfId="1271" priority="1318">
      <formula>AE446&lt;AE447</formula>
    </cfRule>
  </conditionalFormatting>
  <conditionalFormatting sqref="AE456">
    <cfRule type="expression" dxfId="1270" priority="1270">
      <formula>AE455&lt;AE456</formula>
    </cfRule>
    <cfRule type="expression" dxfId="1269" priority="1272">
      <formula>AE455&lt;AE456</formula>
    </cfRule>
    <cfRule type="expression" dxfId="1268" priority="1271">
      <formula>AE455&gt;AE456</formula>
    </cfRule>
  </conditionalFormatting>
  <conditionalFormatting sqref="AE470:AE473">
    <cfRule type="expression" dxfId="1267" priority="1094">
      <formula>#REF!&lt;AE470</formula>
    </cfRule>
    <cfRule type="expression" dxfId="1266" priority="1093">
      <formula>#REF!&gt;AE470</formula>
    </cfRule>
    <cfRule type="expression" priority="1092">
      <formula>#REF!</formula>
    </cfRule>
  </conditionalFormatting>
  <conditionalFormatting sqref="AE508 AE553:AO553 AR553:AT553">
    <cfRule type="expression" dxfId="1265" priority="661">
      <formula>AE507&lt;AE508</formula>
    </cfRule>
    <cfRule type="expression" dxfId="1264" priority="662">
      <formula>AE507&gt;AE508</formula>
    </cfRule>
  </conditionalFormatting>
  <conditionalFormatting sqref="AE510">
    <cfRule type="expression" dxfId="1263" priority="659">
      <formula>AE509&lt;AE510</formula>
    </cfRule>
    <cfRule type="expression" dxfId="1262" priority="660">
      <formula>AE509&gt;AE510</formula>
    </cfRule>
  </conditionalFormatting>
  <conditionalFormatting sqref="AE512">
    <cfRule type="expression" dxfId="1261" priority="652">
      <formula>AE511&lt;AE512</formula>
    </cfRule>
    <cfRule type="expression" dxfId="1260" priority="653">
      <formula>AE511&gt;AE512</formula>
    </cfRule>
  </conditionalFormatting>
  <conditionalFormatting sqref="AE514">
    <cfRule type="expression" dxfId="1259" priority="645">
      <formula>AE513&lt;AE514</formula>
    </cfRule>
    <cfRule type="expression" dxfId="1258" priority="646">
      <formula>AE513&gt;AE514</formula>
    </cfRule>
  </conditionalFormatting>
  <conditionalFormatting sqref="AE518">
    <cfRule type="expression" dxfId="1257" priority="408">
      <formula>AE517&gt;AE518</formula>
    </cfRule>
    <cfRule type="expression" dxfId="1256" priority="407">
      <formula>AE517&lt;AE518</formula>
    </cfRule>
  </conditionalFormatting>
  <conditionalFormatting sqref="AE523">
    <cfRule type="expression" dxfId="1255" priority="388">
      <formula>#REF!&lt;AE523</formula>
    </cfRule>
    <cfRule type="expression" priority="389">
      <formula>#REF!</formula>
    </cfRule>
    <cfRule type="expression" dxfId="1254" priority="390">
      <formula>#REF!&gt;AE523</formula>
    </cfRule>
  </conditionalFormatting>
  <conditionalFormatting sqref="AE525">
    <cfRule type="expression" dxfId="1253" priority="265">
      <formula>#REF!&gt;AE525</formula>
    </cfRule>
    <cfRule type="expression" dxfId="1252" priority="264">
      <formula>#REF!&lt;AE525</formula>
    </cfRule>
  </conditionalFormatting>
  <conditionalFormatting sqref="AE527">
    <cfRule type="expression" dxfId="1251" priority="96">
      <formula>#REF!&lt;AE527</formula>
    </cfRule>
    <cfRule type="expression" dxfId="1250" priority="97">
      <formula>#REF!&gt;AE527</formula>
    </cfRule>
  </conditionalFormatting>
  <conditionalFormatting sqref="AE529">
    <cfRule type="expression" dxfId="1249" priority="253">
      <formula>#REF!&gt;AE529</formula>
    </cfRule>
    <cfRule type="expression" dxfId="1248" priority="255">
      <formula>#REF!&lt;AE529</formula>
    </cfRule>
  </conditionalFormatting>
  <conditionalFormatting sqref="AE530">
    <cfRule type="expression" dxfId="1247" priority="356">
      <formula>AND(AE531="",AE530&lt;TODAY())</formula>
    </cfRule>
    <cfRule type="expression" dxfId="1246" priority="354">
      <formula>ISBLANK(AE530)</formula>
    </cfRule>
    <cfRule type="expression" dxfId="1245" priority="355">
      <formula>AE531&gt;0</formula>
    </cfRule>
  </conditionalFormatting>
  <conditionalFormatting sqref="AE531">
    <cfRule type="expression" dxfId="1244" priority="241">
      <formula>#REF!&gt;AE531</formula>
    </cfRule>
  </conditionalFormatting>
  <conditionalFormatting sqref="AE532">
    <cfRule type="expression" dxfId="1243" priority="282">
      <formula>AND(AE533="",AE532&lt;TODAY())</formula>
    </cfRule>
    <cfRule type="expression" dxfId="1242" priority="278">
      <formula>AE533&gt;0</formula>
    </cfRule>
    <cfRule type="expression" dxfId="1241" priority="279">
      <formula>AND(AE533="",AE532&lt;TODAY())</formula>
    </cfRule>
    <cfRule type="expression" dxfId="1240" priority="280">
      <formula>ISBLANK(AE532)</formula>
    </cfRule>
    <cfRule type="expression" dxfId="1239" priority="281">
      <formula>AE533&gt;0</formula>
    </cfRule>
    <cfRule type="expression" dxfId="1238" priority="277">
      <formula>ISBLANK(AE532)</formula>
    </cfRule>
  </conditionalFormatting>
  <conditionalFormatting sqref="AE533">
    <cfRule type="expression" dxfId="1237" priority="224">
      <formula>AE532&lt;AE533</formula>
    </cfRule>
    <cfRule type="expression" dxfId="1236" priority="229">
      <formula>#REF!&lt;AE533</formula>
    </cfRule>
    <cfRule type="expression" dxfId="1235" priority="226">
      <formula>#REF!&gt;AE533</formula>
    </cfRule>
    <cfRule type="expression" dxfId="1234" priority="228">
      <formula>AE532&gt;AE533</formula>
    </cfRule>
  </conditionalFormatting>
  <conditionalFormatting sqref="AE537">
    <cfRule type="expression" dxfId="1233" priority="790">
      <formula>ISBLANK(AE537)</formula>
    </cfRule>
    <cfRule type="expression" dxfId="1232" priority="795">
      <formula>AND(AE538="",AE537&lt;TODAY())</formula>
    </cfRule>
    <cfRule type="expression" dxfId="1231" priority="794">
      <formula>AE538&gt;0</formula>
    </cfRule>
  </conditionalFormatting>
  <conditionalFormatting sqref="AE541 V228:X228">
    <cfRule type="expression" dxfId="1230" priority="5965">
      <formula>ISBLANK(V228)</formula>
    </cfRule>
  </conditionalFormatting>
  <conditionalFormatting sqref="AE291:AF291 AH538:AT538">
    <cfRule type="expression" priority="5235">
      <formula>AE290</formula>
    </cfRule>
    <cfRule type="expression" dxfId="1229" priority="5237">
      <formula>AE290&gt;AE291</formula>
    </cfRule>
  </conditionalFormatting>
  <conditionalFormatting sqref="AE314:AF314 AE327:AT327">
    <cfRule type="expression" dxfId="1228" priority="4784">
      <formula>#REF!&gt;0</formula>
    </cfRule>
    <cfRule type="expression" dxfId="1227" priority="4785">
      <formula>AND(#REF!="",AE314&lt;TODAY())</formula>
    </cfRule>
  </conditionalFormatting>
  <conditionalFormatting sqref="AE330:AF330">
    <cfRule type="expression" dxfId="1226" priority="4191">
      <formula>AF327&gt;AE330</formula>
    </cfRule>
    <cfRule type="expression" dxfId="1225" priority="4187">
      <formula>AF329&lt;AE330</formula>
    </cfRule>
    <cfRule type="expression" dxfId="1224" priority="4188">
      <formula>AF329&gt;AE330</formula>
    </cfRule>
    <cfRule type="expression" priority="4189">
      <formula>AF327</formula>
    </cfRule>
    <cfRule type="expression" dxfId="1223" priority="4190">
      <formula>AF327&lt;AE330</formula>
    </cfRule>
    <cfRule type="expression" priority="4186">
      <formula>AF329</formula>
    </cfRule>
  </conditionalFormatting>
  <conditionalFormatting sqref="AE348:AF348 AI348 AO424:AT424 AN299:AT299">
    <cfRule type="expression" dxfId="1222" priority="3890">
      <formula>#REF!&lt;AE299</formula>
    </cfRule>
  </conditionalFormatting>
  <conditionalFormatting sqref="AE354:AF354">
    <cfRule type="expression" dxfId="1221" priority="3575">
      <formula>#REF!&gt;AE354</formula>
    </cfRule>
    <cfRule type="expression" priority="3573">
      <formula>#REF!</formula>
    </cfRule>
    <cfRule type="expression" dxfId="1220" priority="3574">
      <formula>#REF!&lt;AE354</formula>
    </cfRule>
  </conditionalFormatting>
  <conditionalFormatting sqref="AE357:AF357">
    <cfRule type="expression" priority="3558">
      <formula>#REF!</formula>
    </cfRule>
    <cfRule type="expression" dxfId="1219" priority="3559">
      <formula>#REF!&lt;AE357</formula>
    </cfRule>
    <cfRule type="expression" dxfId="1218" priority="3560">
      <formula>#REF!&gt;AE357</formula>
    </cfRule>
  </conditionalFormatting>
  <conditionalFormatting sqref="AE363:AF363">
    <cfRule type="expression" dxfId="1217" priority="3318">
      <formula>#REF!&lt;AE363</formula>
    </cfRule>
    <cfRule type="expression" dxfId="1216" priority="3319">
      <formula>#REF!&gt;AE363</formula>
    </cfRule>
    <cfRule type="expression" priority="3317">
      <formula>#REF!</formula>
    </cfRule>
  </conditionalFormatting>
  <conditionalFormatting sqref="AE365:AF365">
    <cfRule type="expression" priority="3329">
      <formula>AE364</formula>
    </cfRule>
    <cfRule type="expression" dxfId="1215" priority="3330">
      <formula>AE364&lt;AE365</formula>
    </cfRule>
    <cfRule type="expression" dxfId="1214" priority="3331">
      <formula>AE364&gt;AE365</formula>
    </cfRule>
  </conditionalFormatting>
  <conditionalFormatting sqref="AE374:AF374">
    <cfRule type="expression" dxfId="1213" priority="8848">
      <formula>#REF!&gt;AE374</formula>
    </cfRule>
    <cfRule type="expression" dxfId="1212" priority="8847">
      <formula>#REF!&lt;AE374</formula>
    </cfRule>
  </conditionalFormatting>
  <conditionalFormatting sqref="AE378:AF378">
    <cfRule type="expression" dxfId="1211" priority="10530">
      <formula>AE429&lt;AE378</formula>
    </cfRule>
    <cfRule type="expression" dxfId="1210" priority="10531">
      <formula>AE429&gt;AE378</formula>
    </cfRule>
    <cfRule type="expression" priority="10532">
      <formula>#REF!</formula>
    </cfRule>
    <cfRule type="expression" dxfId="1209" priority="10533">
      <formula>#REF!&lt;AE378</formula>
    </cfRule>
    <cfRule type="expression" dxfId="1208" priority="10534">
      <formula>#REF!&gt;AE378</formula>
    </cfRule>
    <cfRule type="expression" priority="10529">
      <formula>AE429</formula>
    </cfRule>
  </conditionalFormatting>
  <conditionalFormatting sqref="AE412:AF412">
    <cfRule type="expression" dxfId="1207" priority="2044">
      <formula>AE413&gt;0</formula>
    </cfRule>
    <cfRule type="expression" dxfId="1206" priority="2045">
      <formula>AND(AE413="",AE412&lt;TODAY())</formula>
    </cfRule>
  </conditionalFormatting>
  <conditionalFormatting sqref="AE413:AF413 AI413 AE410:AE411">
    <cfRule type="expression" dxfId="1205" priority="2093">
      <formula>#REF!&lt;AE410</formula>
    </cfRule>
  </conditionalFormatting>
  <conditionalFormatting sqref="AE415:AF415 AE416:AI416 AG417:AI417">
    <cfRule type="expression" dxfId="1204" priority="2056">
      <formula>#REF!&gt;AE415</formula>
    </cfRule>
  </conditionalFormatting>
  <conditionalFormatting sqref="AE415:AF415 AI415:AK415">
    <cfRule type="expression" dxfId="1203" priority="2082">
      <formula>AE414&gt;AE415</formula>
    </cfRule>
    <cfRule type="expression" dxfId="1202" priority="2081">
      <formula>AE414&lt;AE415</formula>
    </cfRule>
  </conditionalFormatting>
  <conditionalFormatting sqref="AE415:AF415">
    <cfRule type="expression" priority="2054">
      <formula>#REF!</formula>
    </cfRule>
    <cfRule type="expression" priority="2080">
      <formula>AE414</formula>
    </cfRule>
  </conditionalFormatting>
  <conditionalFormatting sqref="AE416:AF416">
    <cfRule type="expression" dxfId="1201" priority="2109">
      <formula>AE372&gt;0</formula>
    </cfRule>
    <cfRule type="expression" dxfId="1200" priority="2110">
      <formula>AND(AE372="",AE416&lt;TODAY())</formula>
    </cfRule>
  </conditionalFormatting>
  <conditionalFormatting sqref="AE419:AF419">
    <cfRule type="expression" dxfId="1199" priority="2022">
      <formula>AE418&lt;AE419</formula>
    </cfRule>
    <cfRule type="expression" dxfId="1198" priority="2023">
      <formula>AE418&gt;AE419</formula>
    </cfRule>
    <cfRule type="expression" priority="2021">
      <formula>AE418</formula>
    </cfRule>
  </conditionalFormatting>
  <conditionalFormatting sqref="AE430:AF430">
    <cfRule type="expression" dxfId="1197" priority="1851">
      <formula>#REF!&lt;AE430</formula>
    </cfRule>
    <cfRule type="expression" dxfId="1196" priority="1855">
      <formula>AE429&gt;AE430</formula>
    </cfRule>
  </conditionalFormatting>
  <conditionalFormatting sqref="AE440:AF440">
    <cfRule type="expression" dxfId="1195" priority="1630">
      <formula>AE441&gt;0</formula>
    </cfRule>
    <cfRule type="expression" dxfId="1194" priority="1635">
      <formula>AE426&gt;0</formula>
    </cfRule>
    <cfRule type="expression" dxfId="1193" priority="1636">
      <formula>AND(AE426="",AE440&lt;TODAY())</formula>
    </cfRule>
    <cfRule type="expression" dxfId="1192" priority="1631">
      <formula>AND(AE441="",AE440&lt;TODAY())</formula>
    </cfRule>
    <cfRule type="expression" dxfId="1191" priority="1615">
      <formula>ISBLANK(AE440)</formula>
    </cfRule>
  </conditionalFormatting>
  <conditionalFormatting sqref="AE443:AF443">
    <cfRule type="expression" dxfId="1190" priority="1341">
      <formula>AE442&lt;AE443</formula>
    </cfRule>
    <cfRule type="expression" dxfId="1189" priority="1342">
      <formula>AE442&gt;AE443</formula>
    </cfRule>
  </conditionalFormatting>
  <conditionalFormatting sqref="AE445:AF445">
    <cfRule type="expression" dxfId="1188" priority="1322">
      <formula>AE444&lt;AE445</formula>
    </cfRule>
    <cfRule type="expression" dxfId="1187" priority="1323">
      <formula>AE444&gt;AE445</formula>
    </cfRule>
  </conditionalFormatting>
  <conditionalFormatting sqref="AE454:AF454">
    <cfRule type="expression" dxfId="1186" priority="1282">
      <formula>AE453&lt;AE454</formula>
    </cfRule>
    <cfRule type="expression" dxfId="1185" priority="1283">
      <formula>AE453&gt;AE454</formula>
    </cfRule>
  </conditionalFormatting>
  <conditionalFormatting sqref="AE500:AF500">
    <cfRule type="expression" priority="814">
      <formula>AE499</formula>
    </cfRule>
    <cfRule type="expression" dxfId="1184" priority="815">
      <formula>AE499&lt;AE500</formula>
    </cfRule>
    <cfRule type="expression" dxfId="1183" priority="816">
      <formula>AE499&gt;AE500</formula>
    </cfRule>
  </conditionalFormatting>
  <conditionalFormatting sqref="AE506:AF506 AH506:AT506">
    <cfRule type="expression" dxfId="1182" priority="679">
      <formula>AE505&gt;AE506</formula>
    </cfRule>
    <cfRule type="expression" dxfId="1181" priority="678">
      <formula>AE505&lt;AE506</formula>
    </cfRule>
  </conditionalFormatting>
  <conditionalFormatting sqref="AE508:AF508 AE510:AT510 AE512:AF512 AE514:AF514 AH508:AT508">
    <cfRule type="expression" dxfId="1180" priority="674">
      <formula>AE507&lt;AE508</formula>
    </cfRule>
  </conditionalFormatting>
  <conditionalFormatting sqref="AE508:AF508 AH508:AT508 AE510:AT510 AE512:AF512 AE514:AF514">
    <cfRule type="expression" dxfId="1179" priority="677">
      <formula>AE507&gt;AE508</formula>
    </cfRule>
  </conditionalFormatting>
  <conditionalFormatting sqref="AE508:AF508">
    <cfRule type="expression" dxfId="1178" priority="623">
      <formula>AE507&gt;AE508</formula>
    </cfRule>
    <cfRule type="expression" dxfId="1177" priority="622">
      <formula>AE507&lt;AE508</formula>
    </cfRule>
  </conditionalFormatting>
  <conditionalFormatting sqref="AE510:AF510">
    <cfRule type="expression" dxfId="1176" priority="658">
      <formula>AE509&gt;AE510</formula>
    </cfRule>
    <cfRule type="expression" dxfId="1175" priority="657">
      <formula>AE509&lt;AE510</formula>
    </cfRule>
  </conditionalFormatting>
  <conditionalFormatting sqref="AE512:AF512">
    <cfRule type="expression" dxfId="1174" priority="651">
      <formula>AE511&gt;AE512</formula>
    </cfRule>
    <cfRule type="expression" dxfId="1173" priority="650">
      <formula>AE511&lt;AE512</formula>
    </cfRule>
  </conditionalFormatting>
  <conditionalFormatting sqref="AE514:AF514">
    <cfRule type="expression" dxfId="1172" priority="618">
      <formula>AE513&gt;AE514</formula>
    </cfRule>
    <cfRule type="expression" dxfId="1171" priority="617">
      <formula>AE513&lt;AE514</formula>
    </cfRule>
  </conditionalFormatting>
  <conditionalFormatting sqref="AE516:AF516 AE518:AT518">
    <cfRule type="expression" dxfId="1170" priority="412">
      <formula>AE515&gt;AE516</formula>
    </cfRule>
  </conditionalFormatting>
  <conditionalFormatting sqref="AE516:AF516">
    <cfRule type="expression" dxfId="1169" priority="401">
      <formula>AE515&lt;AE516</formula>
    </cfRule>
    <cfRule type="expression" dxfId="1168" priority="402">
      <formula>AE515&gt;AE516</formula>
    </cfRule>
  </conditionalFormatting>
  <conditionalFormatting sqref="AE525:AF525">
    <cfRule type="expression" dxfId="1167" priority="263">
      <formula>#REF!&gt;AE525</formula>
    </cfRule>
    <cfRule type="expression" dxfId="1166" priority="257">
      <formula>AE524&lt;AE525</formula>
    </cfRule>
    <cfRule type="expression" priority="258">
      <formula>#REF!</formula>
    </cfRule>
    <cfRule type="expression" priority="260">
      <formula>AE524</formula>
    </cfRule>
    <cfRule type="expression" dxfId="1165" priority="261">
      <formula>AE524&gt;AE525</formula>
    </cfRule>
  </conditionalFormatting>
  <conditionalFormatting sqref="AE527:AF527">
    <cfRule type="expression" dxfId="1164" priority="95">
      <formula>#REF!&gt;AE527</formula>
    </cfRule>
    <cfRule type="expression" priority="90">
      <formula>#REF!</formula>
    </cfRule>
  </conditionalFormatting>
  <conditionalFormatting sqref="AE529:AF529">
    <cfRule type="expression" dxfId="1163" priority="256">
      <formula>#REF!&gt;AE529</formula>
    </cfRule>
  </conditionalFormatting>
  <conditionalFormatting sqref="AE352:AG352 AI352">
    <cfRule type="expression" dxfId="1162" priority="3938">
      <formula>#REF!&gt;AE352</formula>
    </cfRule>
  </conditionalFormatting>
  <conditionalFormatting sqref="AE506:AG506">
    <cfRule type="expression" dxfId="1161" priority="139">
      <formula>AE505&gt;AE506</formula>
    </cfRule>
    <cfRule type="expression" dxfId="1160" priority="138">
      <formula>AE505&lt;AE506</formula>
    </cfRule>
  </conditionalFormatting>
  <conditionalFormatting sqref="AE321:AH321 AJ321:AT321">
    <cfRule type="expression" dxfId="1159" priority="8110">
      <formula>AE332&gt;0</formula>
    </cfRule>
    <cfRule type="expression" dxfId="1158" priority="8111">
      <formula>AND(AE332="",AE321&lt;TODAY())</formula>
    </cfRule>
  </conditionalFormatting>
  <conditionalFormatting sqref="AE321:AH321">
    <cfRule type="expression" dxfId="1157" priority="8109">
      <formula>ISBLANK(AE321)</formula>
    </cfRule>
  </conditionalFormatting>
  <conditionalFormatting sqref="AE322:AH322 AJ322:AT322">
    <cfRule type="expression" priority="4400">
      <formula>#REF!</formula>
    </cfRule>
    <cfRule type="expression" dxfId="1156" priority="4402">
      <formula>#REF!&gt;AE322</formula>
    </cfRule>
  </conditionalFormatting>
  <conditionalFormatting sqref="AE322:AH322">
    <cfRule type="expression" dxfId="1155" priority="4401">
      <formula>#REF!&lt;AE322</formula>
    </cfRule>
  </conditionalFormatting>
  <conditionalFormatting sqref="AE326:AH326 AE329:AH329 AQ593:AT593">
    <cfRule type="expression" priority="4464">
      <formula>#REF!</formula>
    </cfRule>
  </conditionalFormatting>
  <conditionalFormatting sqref="AE326:AH326">
    <cfRule type="expression" dxfId="1154" priority="4484">
      <formula>#REF!&gt;AE326</formula>
    </cfRule>
    <cfRule type="expression" dxfId="1153" priority="4483">
      <formula>#REF!&lt;AE326</formula>
    </cfRule>
  </conditionalFormatting>
  <conditionalFormatting sqref="AE329:AH329">
    <cfRule type="expression" dxfId="1152" priority="4708">
      <formula>#REF!&gt;AE329</formula>
    </cfRule>
    <cfRule type="expression" dxfId="1151" priority="4707">
      <formula>#REF!&lt;AE329</formula>
    </cfRule>
  </conditionalFormatting>
  <conditionalFormatting sqref="AE334:AH334">
    <cfRule type="expression" dxfId="1150" priority="3993">
      <formula>AE335&gt;0</formula>
    </cfRule>
    <cfRule type="expression" dxfId="1149" priority="3992">
      <formula>ISBLANK(AE334)</formula>
    </cfRule>
    <cfRule type="expression" dxfId="1148" priority="3994">
      <formula>AND(AE335="",AE334&lt;TODAY())</formula>
    </cfRule>
  </conditionalFormatting>
  <conditionalFormatting sqref="AE336:AH336">
    <cfRule type="expression" dxfId="1147" priority="3977">
      <formula>ISBLANK(AE336)</formula>
    </cfRule>
    <cfRule type="expression" dxfId="1146" priority="3978">
      <formula>AE337&gt;0</formula>
    </cfRule>
    <cfRule type="expression" dxfId="1145" priority="3979">
      <formula>AND(AE337="",AE336&lt;TODAY())</formula>
    </cfRule>
  </conditionalFormatting>
  <conditionalFormatting sqref="AE359:AH359">
    <cfRule type="expression" dxfId="1144" priority="3550">
      <formula>#REF!&lt;AE359</formula>
    </cfRule>
    <cfRule type="expression" dxfId="1143" priority="3551">
      <formula>#REF!&gt;AE359</formula>
    </cfRule>
    <cfRule type="expression" priority="3549">
      <formula>#REF!</formula>
    </cfRule>
  </conditionalFormatting>
  <conditionalFormatting sqref="AE361:AH361">
    <cfRule type="expression" dxfId="1142" priority="3309">
      <formula>#REF!&lt;AE361</formula>
    </cfRule>
    <cfRule type="expression" dxfId="1141" priority="3310">
      <formula>#REF!&gt;AE361</formula>
    </cfRule>
    <cfRule type="expression" priority="3308">
      <formula>#REF!</formula>
    </cfRule>
  </conditionalFormatting>
  <conditionalFormatting sqref="AE374:AH374">
    <cfRule type="expression" dxfId="1140" priority="10518">
      <formula>#REF!&lt;AE374</formula>
    </cfRule>
    <cfRule type="expression" priority="8846">
      <formula>#REF!</formula>
    </cfRule>
    <cfRule type="expression" dxfId="1139" priority="10519">
      <formula>#REF!&gt;AE374</formula>
    </cfRule>
  </conditionalFormatting>
  <conditionalFormatting sqref="AE384:AH384">
    <cfRule type="expression" dxfId="1138" priority="3018">
      <formula>AND(AE385="",AE384&lt;TODAY())</formula>
    </cfRule>
    <cfRule type="expression" dxfId="1137" priority="3017">
      <formula>AE385&gt;0</formula>
    </cfRule>
    <cfRule type="expression" dxfId="1136" priority="3016">
      <formula>ISBLANK(AE384)</formula>
    </cfRule>
  </conditionalFormatting>
  <conditionalFormatting sqref="AE446:AH446 AE448:AH448">
    <cfRule type="expression" dxfId="1135" priority="1412">
      <formula>ISBLANK(AE446)</formula>
    </cfRule>
  </conditionalFormatting>
  <conditionalFormatting sqref="AE446:AH446 AE448:AI448">
    <cfRule type="expression" dxfId="1134" priority="1415">
      <formula>AE447&gt;0</formula>
    </cfRule>
    <cfRule type="expression" dxfId="1133" priority="1416">
      <formula>AND(AE447="",AE446&lt;TODAY())</formula>
    </cfRule>
  </conditionalFormatting>
  <conditionalFormatting sqref="AE446:AH446 AI448 AE448:AH449 AE440:AI440 AE441 AE442:AI442 AE444 AI444">
    <cfRule type="expression" dxfId="1132" priority="1604">
      <formula>#REF!&gt;AE440</formula>
    </cfRule>
  </conditionalFormatting>
  <conditionalFormatting sqref="AE446:AH449">
    <cfRule type="expression" priority="1315">
      <formula>#REF!</formula>
    </cfRule>
  </conditionalFormatting>
  <conditionalFormatting sqref="AE518:AH518">
    <cfRule type="expression" dxfId="1131" priority="406">
      <formula>AE517&gt;AE518</formula>
    </cfRule>
    <cfRule type="expression" dxfId="1130" priority="405">
      <formula>AE517&lt;AE518</formula>
    </cfRule>
  </conditionalFormatting>
  <conditionalFormatting sqref="AE529:AH529">
    <cfRule type="expression" dxfId="1129" priority="108">
      <formula>AE528&gt;AE529</formula>
    </cfRule>
    <cfRule type="expression" dxfId="1128" priority="107">
      <formula>AE528&lt;AE529</formula>
    </cfRule>
  </conditionalFormatting>
  <conditionalFormatting sqref="AE530:AH530 AE520:AT520">
    <cfRule type="expression" dxfId="1127" priority="384">
      <formula>ISBLANK(AE520)</formula>
    </cfRule>
  </conditionalFormatting>
  <conditionalFormatting sqref="AE218:AI218">
    <cfRule type="expression" dxfId="1126" priority="7691">
      <formula>AE217&lt;AE218</formula>
    </cfRule>
    <cfRule type="expression" priority="7690">
      <formula>AE217</formula>
    </cfRule>
    <cfRule type="expression" dxfId="1125" priority="7692">
      <formula>AE217&gt;AE218</formula>
    </cfRule>
  </conditionalFormatting>
  <conditionalFormatting sqref="AE308:AI308 AL308:AT308">
    <cfRule type="expression" dxfId="1124" priority="7875">
      <formula>AE298&gt;AE308</formula>
    </cfRule>
    <cfRule type="expression" dxfId="1123" priority="7874">
      <formula>AE298&lt;AE308</formula>
    </cfRule>
    <cfRule type="expression" priority="7873">
      <formula>AE298</formula>
    </cfRule>
  </conditionalFormatting>
  <conditionalFormatting sqref="AE311:AI311 AL311:AT311">
    <cfRule type="expression" priority="4781">
      <formula>AE300</formula>
    </cfRule>
    <cfRule type="expression" dxfId="1122" priority="4782">
      <formula>AE300&gt;AE311</formula>
    </cfRule>
    <cfRule type="expression" dxfId="1121" priority="4783">
      <formula>AE300&lt;AE311</formula>
    </cfRule>
  </conditionalFormatting>
  <conditionalFormatting sqref="AE340:AI340">
    <cfRule type="expression" dxfId="1120" priority="4020">
      <formula>AND(AE341="",AE340&lt;TODAY())</formula>
    </cfRule>
    <cfRule type="expression" dxfId="1119" priority="4018">
      <formula>ISBLANK(AE340)</formula>
    </cfRule>
    <cfRule type="expression" dxfId="1118" priority="4019">
      <formula>AE341&gt;0</formula>
    </cfRule>
  </conditionalFormatting>
  <conditionalFormatting sqref="AE347:AI347">
    <cfRule type="expression" dxfId="1117" priority="3881">
      <formula>AND(AE348="",AE347&lt;TODAY())</formula>
    </cfRule>
    <cfRule type="expression" dxfId="1116" priority="3879">
      <formula>ISBLANK(AE347)</formula>
    </cfRule>
    <cfRule type="expression" dxfId="1115" priority="3880">
      <formula>AE348&gt;0</formula>
    </cfRule>
  </conditionalFormatting>
  <conditionalFormatting sqref="AE349:AI349">
    <cfRule type="expression" dxfId="1114" priority="3933">
      <formula>AND(AE354="",AE349&lt;TODAY())</formula>
    </cfRule>
    <cfRule type="expression" dxfId="1113" priority="3931">
      <formula>ISBLANK(AE349)</formula>
    </cfRule>
    <cfRule type="expression" dxfId="1112" priority="3932">
      <formula>AE354&gt;0</formula>
    </cfRule>
  </conditionalFormatting>
  <conditionalFormatting sqref="AE350:AI350">
    <cfRule type="expression" priority="3867">
      <formula>#REF!</formula>
    </cfRule>
  </conditionalFormatting>
  <conditionalFormatting sqref="AE352:AI352">
    <cfRule type="expression" dxfId="1111" priority="3863">
      <formula>#REF!&lt;AE352</formula>
    </cfRule>
    <cfRule type="expression" priority="3858">
      <formula>#REF!</formula>
    </cfRule>
  </conditionalFormatting>
  <conditionalFormatting sqref="AE353:AI353">
    <cfRule type="expression" dxfId="1110" priority="3758">
      <formula>AND(AE354="",AE353&lt;TODAY())</formula>
    </cfRule>
    <cfRule type="expression" dxfId="1109" priority="3756">
      <formula>ISBLANK(AE353)</formula>
    </cfRule>
    <cfRule type="expression" dxfId="1108" priority="3757">
      <formula>AE354&gt;0</formula>
    </cfRule>
  </conditionalFormatting>
  <conditionalFormatting sqref="AE380:AI380">
    <cfRule type="expression" priority="3049">
      <formula>AE379</formula>
    </cfRule>
    <cfRule type="expression" dxfId="1107" priority="3050">
      <formula>AE379&lt;AE380</formula>
    </cfRule>
    <cfRule type="expression" dxfId="1106" priority="3051">
      <formula>AE379&gt;AE380</formula>
    </cfRule>
  </conditionalFormatting>
  <conditionalFormatting sqref="AE385:AI385">
    <cfRule type="expression" dxfId="1105" priority="3008">
      <formula>AE384&lt;AE385</formula>
    </cfRule>
    <cfRule type="expression" dxfId="1104" priority="3009">
      <formula>AE384&gt;AE385</formula>
    </cfRule>
    <cfRule type="expression" priority="3007">
      <formula>AE384</formula>
    </cfRule>
  </conditionalFormatting>
  <conditionalFormatting sqref="AE389:AI389">
    <cfRule type="expression" dxfId="1103" priority="3005">
      <formula>AE388&lt;AE389</formula>
    </cfRule>
    <cfRule type="expression" priority="3004">
      <formula>AE388</formula>
    </cfRule>
    <cfRule type="expression" dxfId="1102" priority="3006">
      <formula>AE388&gt;AE389</formula>
    </cfRule>
  </conditionalFormatting>
  <conditionalFormatting sqref="AE413:AI413">
    <cfRule type="expression" priority="2036">
      <formula>#REF!</formula>
    </cfRule>
  </conditionalFormatting>
  <conditionalFormatting sqref="AE416:AI416 AG417:AI417 AE418:AI419">
    <cfRule type="expression" priority="2018">
      <formula>#REF!</formula>
    </cfRule>
  </conditionalFormatting>
  <conditionalFormatting sqref="AE418:AI418 AL418:AM418 AO417:AT418">
    <cfRule type="expression" dxfId="1101" priority="2120">
      <formula>#REF!&lt;AE417</formula>
    </cfRule>
  </conditionalFormatting>
  <conditionalFormatting sqref="AE418:AI418 AL418:AM418 AO418:AT418">
    <cfRule type="expression" dxfId="1100" priority="2123">
      <formula>AND(AE433="",AE418&lt;TODAY())</formula>
    </cfRule>
    <cfRule type="expression" dxfId="1099" priority="2122">
      <formula>AE433&gt;0</formula>
    </cfRule>
  </conditionalFormatting>
  <conditionalFormatting sqref="AE418:AI418">
    <cfRule type="expression" dxfId="1098" priority="2069">
      <formula>ISBLANK(AE418)</formula>
    </cfRule>
  </conditionalFormatting>
  <conditionalFormatting sqref="AE418:AI419">
    <cfRule type="expression" dxfId="1097" priority="2020">
      <formula>#REF!&gt;AE418</formula>
    </cfRule>
    <cfRule type="expression" dxfId="1096" priority="2019">
      <formula>#REF!&lt;AE418</formula>
    </cfRule>
  </conditionalFormatting>
  <conditionalFormatting sqref="AE423:AI423">
    <cfRule type="expression" dxfId="1095" priority="1917">
      <formula>AND(AE417="",AE423&lt;TODAY())</formula>
    </cfRule>
    <cfRule type="expression" dxfId="1094" priority="1909">
      <formula>ISBLANK(AE423)</formula>
    </cfRule>
    <cfRule type="expression" dxfId="1093" priority="1910">
      <formula>AE424&gt;0</formula>
    </cfRule>
    <cfRule type="expression" dxfId="1092" priority="1911">
      <formula>AND(AE424="",AE423&lt;TODAY())</formula>
    </cfRule>
    <cfRule type="expression" dxfId="1091" priority="1916">
      <formula>AE417&gt;0</formula>
    </cfRule>
  </conditionalFormatting>
  <conditionalFormatting sqref="AE424:AI424">
    <cfRule type="expression" dxfId="1090" priority="10785">
      <formula>#REF!&lt;AE424</formula>
    </cfRule>
    <cfRule type="expression" priority="10786">
      <formula>AE494</formula>
    </cfRule>
    <cfRule type="expression" dxfId="1089" priority="10787">
      <formula>AE494&lt;AE424</formula>
    </cfRule>
    <cfRule type="expression" dxfId="1088" priority="10784">
      <formula>#REF!&gt;AE424</formula>
    </cfRule>
    <cfRule type="expression" dxfId="1087" priority="10783">
      <formula>AE423&gt;AE424</formula>
    </cfRule>
    <cfRule type="expression" dxfId="1086" priority="10782">
      <formula>AE423&lt;AE424</formula>
    </cfRule>
    <cfRule type="expression" dxfId="1085" priority="10788">
      <formula>AE494&gt;AE424</formula>
    </cfRule>
  </conditionalFormatting>
  <conditionalFormatting sqref="AE424:AI428">
    <cfRule type="expression" priority="1880">
      <formula>#REF!</formula>
    </cfRule>
  </conditionalFormatting>
  <conditionalFormatting sqref="AE425:AI425">
    <cfRule type="expression" dxfId="1084" priority="1858">
      <formula>AND(AE426="",AE425&lt;TODAY())</formula>
    </cfRule>
    <cfRule type="expression" dxfId="1083" priority="1857">
      <formula>AE426&gt;0</formula>
    </cfRule>
    <cfRule type="expression" dxfId="1082" priority="1856">
      <formula>ISBLANK(AE425)</formula>
    </cfRule>
  </conditionalFormatting>
  <conditionalFormatting sqref="AE425:AI427">
    <cfRule type="expression" dxfId="1081" priority="1859">
      <formula>#REF!&gt;AE425</formula>
    </cfRule>
  </conditionalFormatting>
  <conditionalFormatting sqref="AE425:AI428">
    <cfRule type="expression" dxfId="1080" priority="1882">
      <formula>#REF!&lt;AE425</formula>
    </cfRule>
  </conditionalFormatting>
  <conditionalFormatting sqref="AE428:AI428">
    <cfRule type="expression" dxfId="1079" priority="1883">
      <formula>#REF!&gt;AE428</formula>
    </cfRule>
  </conditionalFormatting>
  <conditionalFormatting sqref="AE430:AI430">
    <cfRule type="expression" priority="1853">
      <formula>AE429</formula>
    </cfRule>
    <cfRule type="expression" dxfId="1078" priority="1854">
      <formula>AE429&lt;AE430</formula>
    </cfRule>
  </conditionalFormatting>
  <conditionalFormatting sqref="AE430:AI434">
    <cfRule type="expression" dxfId="1077" priority="1852">
      <formula>#REF!&gt;AE430</formula>
    </cfRule>
    <cfRule type="expression" priority="1850">
      <formula>#REF!</formula>
    </cfRule>
  </conditionalFormatting>
  <conditionalFormatting sqref="AE440:AI440 AE441 AE442:AI442 AE444 AI444 AE446:AH446 AI448 AE448:AH449 AE449:AI449 AG441:AI441">
    <cfRule type="expression" dxfId="1076" priority="1605">
      <formula>#REF!&lt;AE440</formula>
    </cfRule>
  </conditionalFormatting>
  <conditionalFormatting sqref="AE440:AI440 AE441 AE442:AI442 AI444">
    <cfRule type="expression" priority="1603">
      <formula>#REF!</formula>
    </cfRule>
  </conditionalFormatting>
  <conditionalFormatting sqref="AE447:AI447">
    <cfRule type="expression" dxfId="1075" priority="1317">
      <formula>#REF!&lt;AE447</formula>
    </cfRule>
    <cfRule type="expression" dxfId="1074" priority="1316">
      <formula>#REF!&gt;AE447</formula>
    </cfRule>
  </conditionalFormatting>
  <conditionalFormatting sqref="AE451:AI451">
    <cfRule type="expression" dxfId="1073" priority="1711">
      <formula>AE452&gt;0</formula>
    </cfRule>
    <cfRule type="expression" dxfId="1072" priority="1710">
      <formula>ISBLANK(AE451)</formula>
    </cfRule>
    <cfRule type="expression" dxfId="1071" priority="1712">
      <formula>AND(AE452="",AE451&lt;TODAY())</formula>
    </cfRule>
  </conditionalFormatting>
  <conditionalFormatting sqref="AE451:AI460">
    <cfRule type="expression" priority="1265">
      <formula>#REF!</formula>
    </cfRule>
  </conditionalFormatting>
  <conditionalFormatting sqref="AE452:AI452">
    <cfRule type="expression" dxfId="1070" priority="1304">
      <formula>AE451&gt;AE452</formula>
    </cfRule>
    <cfRule type="expression" dxfId="1069" priority="1302">
      <formula>#REF!&lt;AE452</formula>
    </cfRule>
  </conditionalFormatting>
  <conditionalFormatting sqref="AE452:AI455">
    <cfRule type="expression" dxfId="1068" priority="1290">
      <formula>#REF!&gt;AE452</formula>
    </cfRule>
  </conditionalFormatting>
  <conditionalFormatting sqref="AE454:AI454">
    <cfRule type="expression" dxfId="1067" priority="1293">
      <formula>AE453&gt;AE454</formula>
    </cfRule>
  </conditionalFormatting>
  <conditionalFormatting sqref="AE454:AI455">
    <cfRule type="expression" dxfId="1066" priority="1292">
      <formula>#REF!&lt;AE454</formula>
    </cfRule>
  </conditionalFormatting>
  <conditionalFormatting sqref="AE456:AI457">
    <cfRule type="expression" dxfId="1065" priority="1277">
      <formula>#REF!&gt;AE456</formula>
    </cfRule>
    <cfRule type="expression" dxfId="1064" priority="1278">
      <formula>#REF!&lt;AE456</formula>
    </cfRule>
  </conditionalFormatting>
  <conditionalFormatting sqref="AE458:AI460 AL452:AM458">
    <cfRule type="expression" dxfId="1063" priority="1266">
      <formula>#REF!&gt;AE452</formula>
    </cfRule>
  </conditionalFormatting>
  <conditionalFormatting sqref="AE459:AI459">
    <cfRule type="expression" dxfId="1062" priority="4284">
      <formula>AND(AE460="",AE459&lt;TODAY())</formula>
    </cfRule>
    <cfRule type="expression" dxfId="1061" priority="4283">
      <formula>AE460&gt;0</formula>
    </cfRule>
    <cfRule type="expression" dxfId="1060" priority="4282">
      <formula>ISBLANK(AE459)</formula>
    </cfRule>
  </conditionalFormatting>
  <conditionalFormatting sqref="AE468:AI468 AO430:AT434 AO440:AT442 AO448:AT449 AO301:AT306 AL483:AM483 AL485:AM485 AO298:AT298 AE350 AO427:AS428">
    <cfRule type="expression" dxfId="1059" priority="3868">
      <formula>#REF!&gt;AE298</formula>
    </cfRule>
  </conditionalFormatting>
  <conditionalFormatting sqref="AE477:AI477">
    <cfRule type="expression" dxfId="1058" priority="864">
      <formula>#REF!&gt;AE477</formula>
    </cfRule>
    <cfRule type="expression" dxfId="1057" priority="866">
      <formula>AE478&gt;0</formula>
    </cfRule>
    <cfRule type="expression" dxfId="1056" priority="867">
      <formula>ISBLANK(AE477)</formula>
    </cfRule>
    <cfRule type="expression" dxfId="1055" priority="868">
      <formula>AND(AE478="",AE477&lt;TODAY())</formula>
    </cfRule>
    <cfRule type="expression" dxfId="1054" priority="869">
      <formula>#REF!&lt;AE477</formula>
    </cfRule>
    <cfRule type="expression" dxfId="1053" priority="865">
      <formula>#REF!&lt;AE477</formula>
    </cfRule>
    <cfRule type="expression" priority="863">
      <formula>#REF!</formula>
    </cfRule>
  </conditionalFormatting>
  <conditionalFormatting sqref="AE481:AI481 AE483:AI483 AE370 AO311:AT311 AE376:AF376 AE479:AI479 AE485:AI485 AL339:AS339">
    <cfRule type="expression" dxfId="1052" priority="9079">
      <formula>#REF!&lt;AE311</formula>
    </cfRule>
  </conditionalFormatting>
  <conditionalFormatting sqref="AE483:AI483">
    <cfRule type="expression" dxfId="1051" priority="2385">
      <formula>#REF!&lt;AE483</formula>
    </cfRule>
  </conditionalFormatting>
  <conditionalFormatting sqref="AE485:AI485">
    <cfRule type="expression" dxfId="1050" priority="10710">
      <formula>AE488&gt;0</formula>
    </cfRule>
    <cfRule type="expression" dxfId="1049" priority="10728">
      <formula>AND(AE488="",AE485&lt;TODAY())</formula>
    </cfRule>
  </conditionalFormatting>
  <conditionalFormatting sqref="AE505:AI518">
    <cfRule type="expression" priority="111">
      <formula>#REF!</formula>
    </cfRule>
  </conditionalFormatting>
  <conditionalFormatting sqref="AE515:AI515 AL515:AM518 AO515:AT518 AE517:AI518 AE516:AF516 AH516:AI516">
    <cfRule type="expression" dxfId="1048" priority="416">
      <formula>#REF!&lt;AE515</formula>
    </cfRule>
  </conditionalFormatting>
  <conditionalFormatting sqref="AE529:AI529">
    <cfRule type="expression" priority="106">
      <formula>#REF!</formula>
    </cfRule>
  </conditionalFormatting>
  <conditionalFormatting sqref="AE531:AI531">
    <cfRule type="expression" dxfId="1047" priority="239">
      <formula>#REF!&gt;AE531</formula>
    </cfRule>
    <cfRule type="expression" priority="77">
      <formula>#REF!</formula>
    </cfRule>
    <cfRule type="expression" dxfId="1046" priority="240">
      <formula>#REF!&lt;AE531</formula>
    </cfRule>
  </conditionalFormatting>
  <conditionalFormatting sqref="AE533:AI533">
    <cfRule type="expression" dxfId="1045" priority="230">
      <formula>#REF!&gt;AE533</formula>
    </cfRule>
    <cfRule type="expression" priority="225">
      <formula>#REF!</formula>
    </cfRule>
  </conditionalFormatting>
  <conditionalFormatting sqref="AE535:AI535 AF536:AI536 AE537:AI537">
    <cfRule type="expression" priority="184">
      <formula>#REF!</formula>
    </cfRule>
  </conditionalFormatting>
  <conditionalFormatting sqref="AE535:AI535 AF536:AI536">
    <cfRule type="expression" dxfId="1044" priority="186">
      <formula>#REF!&lt;AE535</formula>
    </cfRule>
  </conditionalFormatting>
  <conditionalFormatting sqref="AE557:AI557 AL557:AM557 AO557:AT557 AE339 AE577:AT577">
    <cfRule type="expression" dxfId="1043" priority="3940">
      <formula>AE338&lt;AE339</formula>
    </cfRule>
  </conditionalFormatting>
  <conditionalFormatting sqref="AE302:AJ302">
    <cfRule type="expression" dxfId="1042" priority="5058">
      <formula>AE301&gt;AE302</formula>
    </cfRule>
    <cfRule type="expression" dxfId="1041" priority="5057">
      <formula>AE301&lt;AE302</formula>
    </cfRule>
  </conditionalFormatting>
  <conditionalFormatting sqref="AE306:AJ306">
    <cfRule type="expression" dxfId="1040" priority="5043">
      <formula>AE305&gt;AE306</formula>
    </cfRule>
    <cfRule type="expression" dxfId="1039" priority="5042">
      <formula>AE305&lt;AE306</formula>
    </cfRule>
  </conditionalFormatting>
  <conditionalFormatting sqref="AE226:AK226 AM226:AN226">
    <cfRule type="expression" dxfId="1038" priority="5677">
      <formula>AE227&gt;0</formula>
    </cfRule>
    <cfRule type="expression" dxfId="1037" priority="5678">
      <formula>AND(AE227="",AE226&lt;TODAY())</formula>
    </cfRule>
  </conditionalFormatting>
  <conditionalFormatting sqref="AE272:AK272 AE274:AK274">
    <cfRule type="expression" dxfId="1036" priority="5806">
      <formula>ISBLANK(AE272)</formula>
    </cfRule>
    <cfRule type="expression" dxfId="1035" priority="5807">
      <formula>AE273&gt;0</formula>
    </cfRule>
    <cfRule type="expression" dxfId="1034" priority="5808">
      <formula>AND(AE273="",AE272&lt;TODAY())</formula>
    </cfRule>
  </conditionalFormatting>
  <conditionalFormatting sqref="AE277:AK277">
    <cfRule type="expression" dxfId="1033" priority="5549">
      <formula>AE276&gt;AE277</formula>
    </cfRule>
    <cfRule type="expression" dxfId="1032" priority="5548">
      <formula>AE276&lt;AE277</formula>
    </cfRule>
    <cfRule type="expression" priority="5547">
      <formula>AE276</formula>
    </cfRule>
  </conditionalFormatting>
  <conditionalFormatting sqref="AE279:AK279">
    <cfRule type="expression" dxfId="1031" priority="5424">
      <formula>ISBLANK(AE279)</formula>
    </cfRule>
    <cfRule type="expression" dxfId="1030" priority="5425">
      <formula>AE280&gt;0</formula>
    </cfRule>
    <cfRule type="expression" dxfId="1029" priority="5426">
      <formula>AND(AE280="",AE279&lt;TODAY())</formula>
    </cfRule>
  </conditionalFormatting>
  <conditionalFormatting sqref="AE280:AK280">
    <cfRule type="expression" dxfId="1028" priority="5384">
      <formula>AE279&gt;AE280</formula>
    </cfRule>
    <cfRule type="expression" priority="5382">
      <formula>AE279</formula>
    </cfRule>
    <cfRule type="expression" dxfId="1027" priority="5383">
      <formula>AE279&lt;AE280</formula>
    </cfRule>
  </conditionalFormatting>
  <conditionalFormatting sqref="AE281:AK281">
    <cfRule type="expression" dxfId="1026" priority="5512">
      <formula>AE282&gt;0</formula>
    </cfRule>
    <cfRule type="expression" dxfId="1025" priority="5513">
      <formula>AND(AE282="",AE281&lt;TODAY())</formula>
    </cfRule>
    <cfRule type="expression" dxfId="1024" priority="5511">
      <formula>ISBLANK(AE281)</formula>
    </cfRule>
  </conditionalFormatting>
  <conditionalFormatting sqref="AE283:AK283">
    <cfRule type="expression" dxfId="1023" priority="5439">
      <formula>ISBLANK(AE283)</formula>
    </cfRule>
    <cfRule type="expression" dxfId="1022" priority="5440">
      <formula>AE284&gt;0</formula>
    </cfRule>
    <cfRule type="expression" dxfId="1021" priority="5441">
      <formula>AND(AE284="",AE283&lt;TODAY())</formula>
    </cfRule>
  </conditionalFormatting>
  <conditionalFormatting sqref="AE285:AK285">
    <cfRule type="expression" dxfId="1020" priority="5369">
      <formula>AND(AE286="",AE285&lt;TODAY())</formula>
    </cfRule>
    <cfRule type="expression" dxfId="1019" priority="5368">
      <formula>AE286&gt;0</formula>
    </cfRule>
    <cfRule type="expression" dxfId="1018" priority="5367">
      <formula>ISBLANK(AE285)</formula>
    </cfRule>
  </conditionalFormatting>
  <conditionalFormatting sqref="AE299:AK299">
    <cfRule type="expression" priority="4890">
      <formula>AE298</formula>
    </cfRule>
    <cfRule type="expression" dxfId="1017" priority="4892">
      <formula>AE298&gt;AE299</formula>
    </cfRule>
    <cfRule type="expression" dxfId="1016" priority="4891">
      <formula>AE298&lt;AE299</formula>
    </cfRule>
  </conditionalFormatting>
  <conditionalFormatting sqref="AE316:AK316">
    <cfRule type="expression" dxfId="1015" priority="4770">
      <formula>AND(AE317="",AE316&lt;TODAY())</formula>
    </cfRule>
    <cfRule type="expression" dxfId="1014" priority="4769">
      <formula>AE317&gt;0</formula>
    </cfRule>
  </conditionalFormatting>
  <conditionalFormatting sqref="AE317:AK317">
    <cfRule type="expression" dxfId="1013" priority="4755">
      <formula>AE316&gt;AE317</formula>
    </cfRule>
    <cfRule type="expression" dxfId="1012" priority="4754">
      <formula>AE316&lt;AE317</formula>
    </cfRule>
    <cfRule type="expression" priority="4753">
      <formula>AE316</formula>
    </cfRule>
  </conditionalFormatting>
  <conditionalFormatting sqref="AE418:AK418">
    <cfRule type="expression" dxfId="1011" priority="2071">
      <formula>AND(AE419="",AE418&lt;TODAY())</formula>
    </cfRule>
    <cfRule type="expression" dxfId="1010" priority="2070">
      <formula>AE419&gt;0</formula>
    </cfRule>
  </conditionalFormatting>
  <conditionalFormatting sqref="AE423:AK423">
    <cfRule type="expression" dxfId="1009" priority="1912">
      <formula>ISBLANK(AE423)</formula>
    </cfRule>
  </conditionalFormatting>
  <conditionalFormatting sqref="AE447:AK447">
    <cfRule type="expression" dxfId="1008" priority="1319">
      <formula>AE446&gt;AE447</formula>
    </cfRule>
  </conditionalFormatting>
  <conditionalFormatting sqref="AE532:AK532">
    <cfRule type="expression" dxfId="1007" priority="283">
      <formula>ISBLANK(AE532)</formula>
    </cfRule>
  </conditionalFormatting>
  <conditionalFormatting sqref="AE313:AL313">
    <cfRule type="expression" priority="4747">
      <formula>AE312</formula>
    </cfRule>
    <cfRule type="expression" dxfId="1006" priority="4748">
      <formula>AE312&lt;AE313</formula>
    </cfRule>
    <cfRule type="expression" dxfId="1005" priority="4749">
      <formula>AE312&gt;AE313</formula>
    </cfRule>
  </conditionalFormatting>
  <conditionalFormatting sqref="AE319:AL319">
    <cfRule type="expression" dxfId="1004" priority="4506">
      <formula>AE318&gt;AE319</formula>
    </cfRule>
    <cfRule type="expression" priority="4504">
      <formula>AE318</formula>
    </cfRule>
    <cfRule type="expression" dxfId="1003" priority="4505">
      <formula>AE318&lt;AE319</formula>
    </cfRule>
  </conditionalFormatting>
  <conditionalFormatting sqref="AE376:AL376">
    <cfRule type="expression" dxfId="1002" priority="3078">
      <formula>AE375&gt;AE376</formula>
    </cfRule>
    <cfRule type="expression" dxfId="1001" priority="3077">
      <formula>AE375&lt;AE376</formula>
    </cfRule>
    <cfRule type="expression" priority="3076">
      <formula>AE375</formula>
    </cfRule>
  </conditionalFormatting>
  <conditionalFormatting sqref="AE388:AL388">
    <cfRule type="expression" dxfId="1000" priority="3025">
      <formula>ISBLANK(AE388)</formula>
    </cfRule>
    <cfRule type="expression" dxfId="999" priority="3026">
      <formula>AE389&gt;0</formula>
    </cfRule>
    <cfRule type="expression" dxfId="998" priority="3027">
      <formula>AND(AE389="",AE388&lt;TODAY())</formula>
    </cfRule>
  </conditionalFormatting>
  <conditionalFormatting sqref="AE338:AM338">
    <cfRule type="expression" dxfId="997" priority="3974">
      <formula>ISBLANK(AE338)</formula>
    </cfRule>
  </conditionalFormatting>
  <conditionalFormatting sqref="AE429:AM429">
    <cfRule type="expression" dxfId="996" priority="1976">
      <formula>#REF!&lt;AE429</formula>
    </cfRule>
    <cfRule type="expression" dxfId="995" priority="1977">
      <formula>#REF!&gt;AE429</formula>
    </cfRule>
    <cfRule type="expression" priority="1975">
      <formula>#REF!</formula>
    </cfRule>
  </conditionalFormatting>
  <conditionalFormatting sqref="AE456:AM456">
    <cfRule type="expression" dxfId="994" priority="1280">
      <formula>AE455&gt;AE456</formula>
    </cfRule>
    <cfRule type="expression" dxfId="993" priority="1279">
      <formula>AE455&lt;AE456</formula>
    </cfRule>
  </conditionalFormatting>
  <conditionalFormatting sqref="AE458:AM458">
    <cfRule type="expression" dxfId="992" priority="1268">
      <formula>AE457&gt;AE458</formula>
    </cfRule>
  </conditionalFormatting>
  <conditionalFormatting sqref="AE286:AN286">
    <cfRule type="expression" dxfId="991" priority="5354">
      <formula>AE285&gt;AE286</formula>
    </cfRule>
    <cfRule type="expression" dxfId="990" priority="5353">
      <formula>AE285&lt;AE286</formula>
    </cfRule>
    <cfRule type="expression" priority="5352">
      <formula>AE285</formula>
    </cfRule>
  </conditionalFormatting>
  <conditionalFormatting sqref="AE338:AN338">
    <cfRule type="expression" dxfId="989" priority="3976">
      <formula>AND(AE339="",AE338&lt;TODAY())</formula>
    </cfRule>
    <cfRule type="expression" dxfId="988" priority="3975">
      <formula>AE339&gt;0</formula>
    </cfRule>
  </conditionalFormatting>
  <conditionalFormatting sqref="AE453:AN453">
    <cfRule type="expression" dxfId="987" priority="1448">
      <formula>AE454&gt;0</formula>
    </cfRule>
    <cfRule type="expression" dxfId="986" priority="1449">
      <formula>AND(AE454="",AE453&lt;TODAY())</formula>
    </cfRule>
  </conditionalFormatting>
  <conditionalFormatting sqref="AE454:AN454">
    <cfRule type="expression" dxfId="985" priority="1284">
      <formula>AE453&lt;AE454</formula>
    </cfRule>
  </conditionalFormatting>
  <conditionalFormatting sqref="AE455:AN455">
    <cfRule type="expression" dxfId="984" priority="1455">
      <formula>AE456&gt;0</formula>
    </cfRule>
    <cfRule type="expression" dxfId="983" priority="1456">
      <formula>AND(AE456="",AE455&lt;TODAY())</formula>
    </cfRule>
  </conditionalFormatting>
  <conditionalFormatting sqref="AE555:AN555">
    <cfRule type="expression" dxfId="982" priority="145">
      <formula>AE554&gt;AE555</formula>
    </cfRule>
    <cfRule type="expression" dxfId="981" priority="144">
      <formula>AE554&lt;AE555</formula>
    </cfRule>
  </conditionalFormatting>
  <conditionalFormatting sqref="AE524:AO524">
    <cfRule type="expression" dxfId="980" priority="300">
      <formula>AE525&gt;0</formula>
    </cfRule>
    <cfRule type="expression" dxfId="979" priority="301">
      <formula>AND(AE525="",AE524&lt;TODAY())</formula>
    </cfRule>
  </conditionalFormatting>
  <conditionalFormatting sqref="AE528:AO528">
    <cfRule type="expression" dxfId="978" priority="85">
      <formula>AE529&gt;0</formula>
    </cfRule>
    <cfRule type="expression" dxfId="977" priority="86">
      <formula>AND(AE529="",AE528&lt;TODAY())</formula>
    </cfRule>
  </conditionalFormatting>
  <conditionalFormatting sqref="AE544:AO544">
    <cfRule type="expression" dxfId="976" priority="28">
      <formula>AE543&gt;AE544</formula>
    </cfRule>
    <cfRule type="expression" dxfId="975" priority="26">
      <formula>AE543&lt;AE544</formula>
    </cfRule>
  </conditionalFormatting>
  <conditionalFormatting sqref="AE505:AQ505">
    <cfRule type="expression" dxfId="974" priority="670">
      <formula>AND(AE506="",AE505&lt;TODAY())</formula>
    </cfRule>
    <cfRule type="expression" dxfId="973" priority="669">
      <formula>AE506&gt;0</formula>
    </cfRule>
    <cfRule type="expression" dxfId="972" priority="668">
      <formula>ISBLANK(AE505)</formula>
    </cfRule>
  </conditionalFormatting>
  <conditionalFormatting sqref="AE507:AR507">
    <cfRule type="expression" dxfId="971" priority="673">
      <formula>AND(AE508="",AE507&lt;TODAY())</formula>
    </cfRule>
    <cfRule type="expression" dxfId="970" priority="672">
      <formula>AE508&gt;0</formula>
    </cfRule>
    <cfRule type="expression" dxfId="969" priority="671">
      <formula>ISBLANK(AE507)</formula>
    </cfRule>
  </conditionalFormatting>
  <conditionalFormatting sqref="AE204:AT204 AE206:AT206 V208 AE208:AT208 AE210:AT210 AE213:AT213 AE215:AT215 AE217:AT217 AE221:AT221 AE224:AT224 AE228:AT228 AE230:AT230 AE232:AT232 AE234:AT234 AE287:AT287 AE290:AT290 AE292:AT292 AE294:AT294 AE301:AT301 AE303:AT303 AE305:AT305 AE307:AT307 AE310:AT310 AE312:AT312 AG314:AT314 AN316:AT316 AE318:AT318 AE323:AT323 AE325:AT325 AE327:AT327 AE329:AT329 AE332:AT332 AI334:AT334 AI336:AT336 AO338:AT338 AL340:AT340 AE342:AT342 AE345:AT345 AG347:AT347 AE349:AT349 AE351:AT351 AE353:AT353 AE356:AT356 AE358:AT358 AE360:AT360 AE362:AT362 AE364:AT364 AE366:AT366 AE369:AT369 AE371:AT371 AE373:AT373 AE375:AT375 AE377:AT377 AE379:AT379 AE382:AT382 AJ384:AT384 AE386:AT386 AO388:AT388 AE390:AT390 AE392:AT392 AE395:AT395 AE397:AT397 AE399:AT399 AE401:AT401 AE403:AT403 AE406:AT406 AE408:AT408 AE410:AT410 AE414:AT414 AE416:AT416 AE421:AT421 AS423:AT423 AL425:AT425 AE427:AT427 AE429:AT429 AE431:AT431 AE433:AT433 AE436:AT436 AE438:AT438 AO440:AT440 AE442:AT442 AL446:AQ446 AJ448:AT448 AE451:AT451 AO453:AT453 AO455:AT455 AE457:AT457 AE462:AT462 AE464:AT464 AJ468:AK468 AT477 AN481 AR481:AT481 AR483:AT483 AE492:AT492 AE494:AT494 AE496:AH496 AJ496:AT496 AE498:AH498 AJ498:AT498 AE500:AT500 AE502:AT502 AE550:AT550 AE558:AT558 AE562:AT562 AE564:AT564 AE568:AT568 AE570:AT570 AE574:AT574 AE578:AT578 AE580:AT580 AE586:AT586 AE592:AN592 AQ592:AT592 AE594:AT594 AE598:AT598 AE600:AT600 AE602:AT602 AE606:AT606 AE610:AT610 AE614:AT614 AE622:AT622 AE629:AT629 AE631:AT631 AE633:AT633 AE635:AT635 AE637:AT637 AE639:AT639">
    <cfRule type="expression" dxfId="968" priority="5904">
      <formula>AND(V205="",V204&lt;TODAY())</formula>
    </cfRule>
  </conditionalFormatting>
  <conditionalFormatting sqref="AE298:AT298 AE301:AT301 AE327:AT327 AE459:AT459 AG347:AT347 AE410:AT410 AO418:AT418 AL425:AT425 AE451:AT451 AO448:AT448 AE550:AT550 AE204:AT204 AE206:AT206 AE208:AT208 AE210:AT210 V213:Y213 AE213:AT213 V215:Y215 AE215:AT215 V217:Y217 AE217:AT217 V219:Y219 V221:Y221 AE221:AT221 AE224:AT224 AE228:AT228 AE230:AT230 AE232:AT232 AE234:AT234 AE259:AQ259 AE261:AQ261 AE263:AQ263 AE265:AQ265 AE287:AT287 AE290:AT290 AE292:AT292 AE303:AT303 AE305:AT305 AE307:AT307 AE310:AT310 AE312:AT312 AE321:AT321 AE323:AT323 AE325:AT325 AE329:AT329 AE332:AT332 AL340:AT340 AE342:AT342 AE345:AT345 AE364:AT364 AE366:AT366 AE369:AT369 AE371:AT371 AE373:AT373 AE375:AT375 AE377:AT377 AE379:AT379 AE382:AT382 AJ384:AT384 AE386:AT386 AO388:AT388 AE390:AT390 AE392:AT392 AE395:AT395 AE397:AT397 AE399:AT399 AE401:AT401 AE403:AT403 AE406:AT406 AE408:AT408 AE414:AT414 AE427:AT427 AE429:AT429 AE431:AT431 AE433:AT433 AE436:AT436 AE438:AT438 AR483:AT483 AE492:AT492 AE494:AT494 AE496:AH496 AJ496:AT496 AE498:AH498 AJ498:AT498 AE500:AT500 AE502:AT502 AE558:AT558 AE562:AT562 AE564:AT564 AE568:AT568 AE570:AT570 AE574:AT574 AE576:AT576 AE578:AT578 AE580:AT580 AE586:AT586 AE592:AT592 AE598:AT598 AE600:AT600 AE602:AT602 AE606:AT606 AE610:AT610 AE614:AT614 AE622:AT622 AE629:AT629 AE631:AT631 AE633:AT633 AE635:AT635 AE637:AT637">
    <cfRule type="expression" dxfId="967" priority="5818">
      <formula>ISBLANK(V204)</formula>
    </cfRule>
  </conditionalFormatting>
  <conditionalFormatting sqref="AE304:AT304 AG330:AT330 AT339 AE432:AT432 AM430:AT430 AE434:AT434 AE449:AT449 AO354:AT354 AE378:AT378 AE370:AT370 AE374:AT374 AO454:AT454 AO456:AT456 AR484:AT484 AE493:AT493 AE495:AT495 AE497:AT497 AL501:AT501 AE503:AT503 AO555:AT555 AE563:AT563 AE422:AT422 AL443:AT443 AO463:AT463 AO465:AT465 AO218:AT218 AM246:AT246 AE284 AI284:AK284 AE288:AT288 AI291:AT291 AE293:AT293 AE295:AT295 AN313:AT313 AE315:AT315 AN317:AT317 AE324:AT324 AE333:AT333 AL341:AT341 AE343:AT343 AG346:AT346 AJ350:AT350 AI359:AT359 AI361:AT361 AL363:AT363 AI365:AT365 AE367:AT368 AN376:AT376 AL380:AT380 AL385:AT385 AE387:AT387 AL389:AT389 AE391:AT391 AE393:AT393 AE396:AT396 AE400:AT400 AE402:AT402 AE404:AT404 AE407:AT407 AE409:AT409 AK413:AT413 AE437:AT437 AE439:AT439 AE565:AT565 AE567:AT567 AE569:AT569 AE573:AT573 AE575:AT575 AE581:AT581 AE583:AT583 AE587:AT587 AE595:AT595 AE597:AT597 AE599:AT599 AE601:AT601 AE603:AT603 AE605:AT605 AE607:AT607 AE611:AI611 AL611:AT611 AE613:AT613 AE617:AT617 AE619:AT619 AE621:AT621 AE623:AT623 AE625:AT625 AE627:AT627 AE630:AT630 AE632:AT632 AE636:AT636 AE638:AT638 AE640:AT640">
    <cfRule type="expression" dxfId="966" priority="5374">
      <formula>AE217&lt;AE218</formula>
    </cfRule>
  </conditionalFormatting>
  <conditionalFormatting sqref="AE452:AT452">
    <cfRule type="expression" dxfId="965" priority="1298">
      <formula>AE451&lt;AE452</formula>
    </cfRule>
  </conditionalFormatting>
  <conditionalFormatting sqref="AE458:AT458 AE447:AT447 AE337 AT426">
    <cfRule type="expression" dxfId="964" priority="3949">
      <formula>AE336&lt;AE337</formula>
    </cfRule>
  </conditionalFormatting>
  <conditionalFormatting sqref="AE463:AT463 AE465:AT465 AE467:AT467">
    <cfRule type="expression" priority="1235">
      <formula>AE462</formula>
    </cfRule>
  </conditionalFormatting>
  <conditionalFormatting sqref="AE466:AT466 AF468:AI468 AL468:AT468 AE470:AT470 AE472:AT472 AE474:AT474">
    <cfRule type="expression" dxfId="963" priority="3178">
      <formula>AND(AE467="",AE466&lt;TODAY())</formula>
    </cfRule>
    <cfRule type="expression" dxfId="962" priority="3177">
      <formula>AE467&gt;0</formula>
    </cfRule>
    <cfRule type="expression" dxfId="961" priority="3176">
      <formula>ISBLANK(AE466)</formula>
    </cfRule>
  </conditionalFormatting>
  <conditionalFormatting sqref="AE467:AT467 AE463:AN463 AE465:AN465">
    <cfRule type="expression" dxfId="960" priority="1231">
      <formula>AE462&lt;AE463</formula>
    </cfRule>
  </conditionalFormatting>
  <conditionalFormatting sqref="AE473:AT473">
    <cfRule type="expression" dxfId="959" priority="1218">
      <formula>AE472&lt;AE473</formula>
    </cfRule>
    <cfRule type="expression" priority="1217">
      <formula>AE472</formula>
    </cfRule>
  </conditionalFormatting>
  <conditionalFormatting sqref="AE479:AT479">
    <cfRule type="expression" dxfId="958" priority="1123">
      <formula>ISBLANK(AE479)</formula>
    </cfRule>
    <cfRule type="expression" dxfId="957" priority="1125">
      <formula>AE480&gt;0</formula>
    </cfRule>
    <cfRule type="expression" dxfId="956" priority="1126">
      <formula>AND(AE480="",AE479&lt;TODAY())</formula>
    </cfRule>
  </conditionalFormatting>
  <conditionalFormatting sqref="AE483:AT483 AE481:AI481 AL481:AM481 AO481 AE485:AT485 AE487:AT487 AE489:AT489 V210 AE268:AK268 AE270:AK270 AE276:AK276">
    <cfRule type="expression" dxfId="955" priority="5908">
      <formula>ISBLANK(V210)</formula>
    </cfRule>
  </conditionalFormatting>
  <conditionalFormatting sqref="AE487:AT487 AE489:AT489">
    <cfRule type="expression" dxfId="954" priority="871">
      <formula>#REF!&lt;AE487</formula>
    </cfRule>
    <cfRule type="expression" priority="870">
      <formula>#REF!</formula>
    </cfRule>
  </conditionalFormatting>
  <conditionalFormatting sqref="AE499:AT499">
    <cfRule type="expression" priority="823">
      <formula>AE498</formula>
    </cfRule>
  </conditionalFormatting>
  <conditionalFormatting sqref="AE506:AT506">
    <cfRule type="expression" priority="137">
      <formula>AE505</formula>
    </cfRule>
  </conditionalFormatting>
  <conditionalFormatting sqref="AE508:AT508">
    <cfRule type="expression" priority="131">
      <formula>AE507</formula>
    </cfRule>
  </conditionalFormatting>
  <conditionalFormatting sqref="AE509:AT509 AE511:AT511 AE513:AT513">
    <cfRule type="expression" dxfId="953" priority="680">
      <formula>ISBLANK(AE509)</formula>
    </cfRule>
    <cfRule type="expression" dxfId="952" priority="682">
      <formula>AND(AE510="",AE509&lt;TODAY())</formula>
    </cfRule>
    <cfRule type="expression" dxfId="951" priority="681">
      <formula>AE510&gt;0</formula>
    </cfRule>
  </conditionalFormatting>
  <conditionalFormatting sqref="AE510:AT510">
    <cfRule type="expression" priority="654">
      <formula>AE509</formula>
    </cfRule>
  </conditionalFormatting>
  <conditionalFormatting sqref="AE512:AT512">
    <cfRule type="expression" priority="125">
      <formula>AE511</formula>
    </cfRule>
  </conditionalFormatting>
  <conditionalFormatting sqref="AE514:AT514">
    <cfRule type="expression" priority="119">
      <formula>AE513</formula>
    </cfRule>
  </conditionalFormatting>
  <conditionalFormatting sqref="AE515:AT515 AE517:AT517">
    <cfRule type="expression" dxfId="950" priority="413">
      <formula>ISBLANK(AE515)</formula>
    </cfRule>
    <cfRule type="expression" dxfId="949" priority="415">
      <formula>AND(AE516="",AE515&lt;TODAY())</formula>
    </cfRule>
    <cfRule type="expression" dxfId="948" priority="414">
      <formula>AE516&gt;0</formula>
    </cfRule>
  </conditionalFormatting>
  <conditionalFormatting sqref="AE516:AT516">
    <cfRule type="expression" dxfId="947" priority="114">
      <formula>AE515&lt;AE516</formula>
    </cfRule>
    <cfRule type="expression" dxfId="946" priority="115">
      <formula>AE515&gt;AE516</formula>
    </cfRule>
    <cfRule type="expression" priority="113">
      <formula>AE515</formula>
    </cfRule>
  </conditionalFormatting>
  <conditionalFormatting sqref="AE518:AT518 AE516:AF516">
    <cfRule type="expression" dxfId="945" priority="409">
      <formula>AE515&lt;AE516</formula>
    </cfRule>
  </conditionalFormatting>
  <conditionalFormatting sqref="AE518:AT518">
    <cfRule type="expression" priority="391">
      <formula>AE517</formula>
    </cfRule>
  </conditionalFormatting>
  <conditionalFormatting sqref="AE520:AT520 AE530:AH530 AP524 AP528 AT528 AP530 AT530 AE532 AP532 AT532">
    <cfRule type="expression" dxfId="944" priority="385">
      <formula>AE521&gt;0</formula>
    </cfRule>
  </conditionalFormatting>
  <conditionalFormatting sqref="AE520:AT520 AP524 AP528 AT528 AE530:AH530 AP530 AT530 AE532 AP532 AT532">
    <cfRule type="expression" dxfId="943" priority="386">
      <formula>AND(AE521="",AE520&lt;TODAY())</formula>
    </cfRule>
  </conditionalFormatting>
  <conditionalFormatting sqref="AE521:AT521 AE523:AJ523 AL523:AT523">
    <cfRule type="expression" priority="380">
      <formula>AE520</formula>
    </cfRule>
  </conditionalFormatting>
  <conditionalFormatting sqref="AE524:AT524">
    <cfRule type="expression" dxfId="942" priority="156">
      <formula>ISBLANK(AE524)</formula>
    </cfRule>
  </conditionalFormatting>
  <conditionalFormatting sqref="AE526:AT526">
    <cfRule type="expression" dxfId="941" priority="99">
      <formula>AE527&gt;0</formula>
    </cfRule>
    <cfRule type="expression" dxfId="940" priority="98">
      <formula>ISBLANK(AE526)</formula>
    </cfRule>
    <cfRule type="expression" dxfId="939" priority="100">
      <formula>AND(AE527="",AE526&lt;TODAY())</formula>
    </cfRule>
  </conditionalFormatting>
  <conditionalFormatting sqref="AE527:AT527 AG546:AT546 AE548 AJ548:AT548">
    <cfRule type="expression" dxfId="938" priority="89">
      <formula>AE526&lt;AE527</formula>
    </cfRule>
    <cfRule type="expression" priority="92">
      <formula>AE526</formula>
    </cfRule>
    <cfRule type="expression" dxfId="937" priority="93">
      <formula>AE526&gt;AE527</formula>
    </cfRule>
  </conditionalFormatting>
  <conditionalFormatting sqref="AE528:AT528">
    <cfRule type="expression" dxfId="936" priority="84">
      <formula>ISBLANK(AE528)</formula>
    </cfRule>
  </conditionalFormatting>
  <conditionalFormatting sqref="AE529:AT529">
    <cfRule type="expression" priority="105">
      <formula>AE528</formula>
    </cfRule>
  </conditionalFormatting>
  <conditionalFormatting sqref="AE531:AT531">
    <cfRule type="expression" dxfId="935" priority="233">
      <formula>AE530&lt;AE531</formula>
    </cfRule>
    <cfRule type="expression" dxfId="934" priority="237">
      <formula>AE530&gt;AE531</formula>
    </cfRule>
    <cfRule type="expression" priority="236">
      <formula>AE530</formula>
    </cfRule>
  </conditionalFormatting>
  <conditionalFormatting sqref="AE533:AT533">
    <cfRule type="expression" priority="227">
      <formula>AE532</formula>
    </cfRule>
  </conditionalFormatting>
  <conditionalFormatting sqref="AE535:AT535">
    <cfRule type="expression" dxfId="933" priority="174">
      <formula>AE536&gt;0</formula>
    </cfRule>
    <cfRule type="expression" dxfId="932" priority="175">
      <formula>AND(AE536="",AE535&lt;TODAY())</formula>
    </cfRule>
    <cfRule type="expression" dxfId="931" priority="173">
      <formula>ISBLANK(AE535)</formula>
    </cfRule>
  </conditionalFormatting>
  <conditionalFormatting sqref="AE537:AT537 V204:X204 AE296:AT296">
    <cfRule type="expression" dxfId="930" priority="5992">
      <formula>ISBLANK(V204)</formula>
    </cfRule>
  </conditionalFormatting>
  <conditionalFormatting sqref="AE539:AT539">
    <cfRule type="expression" dxfId="929" priority="1099">
      <formula>ISBLANK(AE539)</formula>
    </cfRule>
    <cfRule type="expression" dxfId="928" priority="1100">
      <formula>AE540&gt;0</formula>
    </cfRule>
    <cfRule type="expression" dxfId="927" priority="1101">
      <formula>AND(AE540="",AE539&lt;TODAY())</formula>
    </cfRule>
  </conditionalFormatting>
  <conditionalFormatting sqref="AE543:AT543 AE541:AT541 AE444 AE552:AO552 AR552:AT552">
    <cfRule type="expression" dxfId="926" priority="1608">
      <formula>ISBLANK(AE444)</formula>
    </cfRule>
  </conditionalFormatting>
  <conditionalFormatting sqref="AE544:AT544">
    <cfRule type="expression" priority="11">
      <formula>AE543</formula>
    </cfRule>
  </conditionalFormatting>
  <conditionalFormatting sqref="AE551:AT551">
    <cfRule type="expression" priority="150">
      <formula>AE550</formula>
    </cfRule>
    <cfRule type="expression" dxfId="925" priority="151">
      <formula>AE550&lt;AE551</formula>
    </cfRule>
    <cfRule type="expression" dxfId="924" priority="152">
      <formula>AE550&gt;AE551</formula>
    </cfRule>
  </conditionalFormatting>
  <conditionalFormatting sqref="AE556:AT556">
    <cfRule type="expression" dxfId="923" priority="485">
      <formula>AND(AE557="",AE556&lt;TODAY())</formula>
    </cfRule>
    <cfRule type="expression" dxfId="922" priority="484">
      <formula>AE557&gt;0</formula>
    </cfRule>
    <cfRule type="expression" dxfId="921" priority="480">
      <formula>ISBLANK(AE556)</formula>
    </cfRule>
  </conditionalFormatting>
  <conditionalFormatting sqref="AE557:AT557">
    <cfRule type="expression" priority="62">
      <formula>AE556</formula>
    </cfRule>
  </conditionalFormatting>
  <conditionalFormatting sqref="AE560:AT560">
    <cfRule type="expression" dxfId="920" priority="1071">
      <formula>ISBLANK(AE560)</formula>
    </cfRule>
    <cfRule type="expression" dxfId="919" priority="1072">
      <formula>AE561&gt;0</formula>
    </cfRule>
    <cfRule type="expression" dxfId="918" priority="1073">
      <formula>AND(AE561="",AE560&lt;TODAY())</formula>
    </cfRule>
  </conditionalFormatting>
  <conditionalFormatting sqref="AE566:AT566">
    <cfRule type="expression" dxfId="917" priority="796">
      <formula>ISBLANK(AE566)</formula>
    </cfRule>
    <cfRule type="expression" dxfId="916" priority="797">
      <formula>AE567&gt;0</formula>
    </cfRule>
    <cfRule type="expression" dxfId="915" priority="798">
      <formula>AND(AE567="",AE566&lt;TODAY())</formula>
    </cfRule>
  </conditionalFormatting>
  <conditionalFormatting sqref="AE572:AT572">
    <cfRule type="expression" dxfId="914" priority="1166">
      <formula>ISBLANK(AE572)</formula>
    </cfRule>
    <cfRule type="expression" dxfId="913" priority="1167">
      <formula>AE573&gt;0</formula>
    </cfRule>
    <cfRule type="expression" dxfId="912" priority="1168">
      <formula>AND(AE573="",AE572&lt;TODAY())</formula>
    </cfRule>
  </conditionalFormatting>
  <conditionalFormatting sqref="AE579:AT579">
    <cfRule type="expression" dxfId="911" priority="545">
      <formula>AE578&lt;AE579</formula>
    </cfRule>
    <cfRule type="expression" priority="546">
      <formula>AE578</formula>
    </cfRule>
    <cfRule type="expression" dxfId="910" priority="547">
      <formula>AE578&gt;AE579</formula>
    </cfRule>
  </conditionalFormatting>
  <conditionalFormatting sqref="AE582:AT582">
    <cfRule type="expression" dxfId="909" priority="1085">
      <formula>AND(AE583="",AE582&lt;TODAY())</formula>
    </cfRule>
    <cfRule type="expression" dxfId="908" priority="1084">
      <formula>AE583&gt;0</formula>
    </cfRule>
    <cfRule type="expression" dxfId="907" priority="1083">
      <formula>ISBLANK(AE582)</formula>
    </cfRule>
  </conditionalFormatting>
  <conditionalFormatting sqref="AE584:AT584">
    <cfRule type="expression" dxfId="906" priority="493">
      <formula>AE585&gt;0</formula>
    </cfRule>
    <cfRule type="expression" dxfId="905" priority="494">
      <formula>AND(AE585="",AE584&lt;TODAY())</formula>
    </cfRule>
    <cfRule type="expression" dxfId="904" priority="489">
      <formula>ISBLANK(AE584)</formula>
    </cfRule>
  </conditionalFormatting>
  <conditionalFormatting sqref="AE585:AT585">
    <cfRule type="expression" dxfId="903" priority="492">
      <formula>AE584&gt;AE585</formula>
    </cfRule>
    <cfRule type="expression" priority="490">
      <formula>AE584</formula>
    </cfRule>
    <cfRule type="expression" dxfId="902" priority="491">
      <formula>AE584&lt;AE585</formula>
    </cfRule>
  </conditionalFormatting>
  <conditionalFormatting sqref="AE588:AT588">
    <cfRule type="expression" dxfId="901" priority="473">
      <formula>AND(AE589="",AE588&lt;TODAY())</formula>
    </cfRule>
    <cfRule type="expression" dxfId="900" priority="471">
      <formula>ISBLANK(AE588)</formula>
    </cfRule>
    <cfRule type="expression" dxfId="899" priority="472">
      <formula>AE589&gt;0</formula>
    </cfRule>
  </conditionalFormatting>
  <conditionalFormatting sqref="AE589:AT589">
    <cfRule type="expression" dxfId="898" priority="470">
      <formula>AE588&gt;AE589</formula>
    </cfRule>
    <cfRule type="expression" priority="468">
      <formula>AE588</formula>
    </cfRule>
    <cfRule type="expression" dxfId="897" priority="469">
      <formula>AE588&lt;AE589</formula>
    </cfRule>
  </conditionalFormatting>
  <conditionalFormatting sqref="AE590:AT590">
    <cfRule type="expression" dxfId="896" priority="1086">
      <formula>ISBLANK(AE590)</formula>
    </cfRule>
    <cfRule type="expression" dxfId="895" priority="1087">
      <formula>AE591&gt;0</formula>
    </cfRule>
    <cfRule type="expression" dxfId="894" priority="1088">
      <formula>AND(AE591="",AE590&lt;TODAY())</formula>
    </cfRule>
  </conditionalFormatting>
  <conditionalFormatting sqref="AE594:AT594">
    <cfRule type="expression" dxfId="893" priority="1190">
      <formula>ISBLANK(AE594)</formula>
    </cfRule>
  </conditionalFormatting>
  <conditionalFormatting sqref="AE596:AT596">
    <cfRule type="expression" dxfId="892" priority="881">
      <formula>AND(AE597="",AE596&lt;TODAY())</formula>
    </cfRule>
    <cfRule type="expression" dxfId="891" priority="879">
      <formula>ISBLANK(AE596)</formula>
    </cfRule>
    <cfRule type="expression" dxfId="890" priority="880">
      <formula>AE597&gt;0</formula>
    </cfRule>
  </conditionalFormatting>
  <conditionalFormatting sqref="AE604:AT604">
    <cfRule type="expression" dxfId="889" priority="808">
      <formula>ISBLANK(AE604)</formula>
    </cfRule>
    <cfRule type="expression" dxfId="888" priority="809">
      <formula>AE605&gt;0</formula>
    </cfRule>
    <cfRule type="expression" dxfId="887" priority="810">
      <formula>AND(AE605="",AE604&lt;TODAY())</formula>
    </cfRule>
  </conditionalFormatting>
  <conditionalFormatting sqref="AE608:AT608">
    <cfRule type="expression" dxfId="886" priority="542">
      <formula>ISBLANK(AE608)</formula>
    </cfRule>
    <cfRule type="expression" dxfId="885" priority="544">
      <formula>AND(AE609="",AE608&lt;TODAY())</formula>
    </cfRule>
    <cfRule type="expression" dxfId="884" priority="543">
      <formula>AE609&gt;0</formula>
    </cfRule>
  </conditionalFormatting>
  <conditionalFormatting sqref="AE609:AT609">
    <cfRule type="expression" dxfId="883" priority="579">
      <formula>AE608&lt;AE609</formula>
    </cfRule>
    <cfRule type="expression" priority="578">
      <formula>AE608</formula>
    </cfRule>
    <cfRule type="expression" dxfId="882" priority="580">
      <formula>AE608&gt;AE609</formula>
    </cfRule>
  </conditionalFormatting>
  <conditionalFormatting sqref="AE612:AT612">
    <cfRule type="expression" dxfId="881" priority="1089">
      <formula>ISBLANK(AE612)</formula>
    </cfRule>
    <cfRule type="expression" dxfId="880" priority="1091">
      <formula>AND(AE613="",AE612&lt;TODAY())</formula>
    </cfRule>
    <cfRule type="expression" dxfId="879" priority="1090">
      <formula>AE613&gt;0</formula>
    </cfRule>
  </conditionalFormatting>
  <conditionalFormatting sqref="AE615:AT615">
    <cfRule type="expression" dxfId="878" priority="540">
      <formula>AE614&lt;AE615</formula>
    </cfRule>
    <cfRule type="expression" dxfId="877" priority="541">
      <formula>AE614&gt;AE615</formula>
    </cfRule>
    <cfRule type="expression" priority="539">
      <formula>AE614</formula>
    </cfRule>
  </conditionalFormatting>
  <conditionalFormatting sqref="AE616:AT616">
    <cfRule type="expression" dxfId="876" priority="1173">
      <formula>AE617&gt;0</formula>
    </cfRule>
    <cfRule type="expression" dxfId="875" priority="1172">
      <formula>ISBLANK(AE616)</formula>
    </cfRule>
    <cfRule type="expression" dxfId="874" priority="1174">
      <formula>AND(AE617="",AE616&lt;TODAY())</formula>
    </cfRule>
  </conditionalFormatting>
  <conditionalFormatting sqref="AE618:AT618">
    <cfRule type="expression" dxfId="873" priority="1052">
      <formula>AND(AE619="",AE618&lt;TODAY())</formula>
    </cfRule>
    <cfRule type="expression" dxfId="872" priority="1051">
      <formula>AE619&gt;0</formula>
    </cfRule>
    <cfRule type="expression" dxfId="871" priority="1050">
      <formula>ISBLANK(AE618)</formula>
    </cfRule>
  </conditionalFormatting>
  <conditionalFormatting sqref="AE620:AT620">
    <cfRule type="expression" dxfId="870" priority="875">
      <formula>AND(AE621="",AE620&lt;TODAY())</formula>
    </cfRule>
    <cfRule type="expression" dxfId="869" priority="874">
      <formula>AE621&gt;0</formula>
    </cfRule>
    <cfRule type="expression" dxfId="868" priority="873">
      <formula>ISBLANK(AE620)</formula>
    </cfRule>
  </conditionalFormatting>
  <conditionalFormatting sqref="AE624:AT624">
    <cfRule type="expression" dxfId="867" priority="789">
      <formula>AND(AE625="",AE624&lt;TODAY())</formula>
    </cfRule>
    <cfRule type="expression" dxfId="866" priority="787">
      <formula>ISBLANK(AE624)</formula>
    </cfRule>
    <cfRule type="expression" dxfId="865" priority="788">
      <formula>AE625&gt;0</formula>
    </cfRule>
  </conditionalFormatting>
  <conditionalFormatting sqref="AE626:AT626">
    <cfRule type="expression" dxfId="864" priority="486">
      <formula>ISBLANK(AE626)</formula>
    </cfRule>
    <cfRule type="expression" dxfId="863" priority="487">
      <formula>AE627&gt;0</formula>
    </cfRule>
    <cfRule type="expression" dxfId="862" priority="488">
      <formula>AND(AE627="",AE626&lt;TODAY())</formula>
    </cfRule>
  </conditionalFormatting>
  <conditionalFormatting sqref="AE639:AT639">
    <cfRule type="expression" dxfId="861" priority="1196">
      <formula>ISBLANK(AE639)</formula>
    </cfRule>
  </conditionalFormatting>
  <conditionalFormatting sqref="AF339 AI339:AJ339">
    <cfRule type="expression" dxfId="860" priority="3947">
      <formula>#REF!&gt;AF339</formula>
    </cfRule>
    <cfRule type="expression" dxfId="859" priority="3946">
      <formula>#REF!&lt;AF339</formula>
    </cfRule>
    <cfRule type="expression" priority="3945">
      <formula>#REF!</formula>
    </cfRule>
  </conditionalFormatting>
  <conditionalFormatting sqref="AF346 AL348:AT348 AO432:AT432 AO453:AS453">
    <cfRule type="expression" dxfId="858" priority="3872">
      <formula>#REF!&lt;AF346</formula>
    </cfRule>
    <cfRule type="expression" priority="3870">
      <formula>#REF!</formula>
    </cfRule>
  </conditionalFormatting>
  <conditionalFormatting sqref="AF348">
    <cfRule type="expression" dxfId="857" priority="3894">
      <formula>#REF!&gt;AF348</formula>
    </cfRule>
  </conditionalFormatting>
  <conditionalFormatting sqref="AF350">
    <cfRule type="expression" dxfId="856" priority="3935">
      <formula>#REF!&gt;AF350</formula>
    </cfRule>
  </conditionalFormatting>
  <conditionalFormatting sqref="AF370">
    <cfRule type="expression" dxfId="855" priority="9350">
      <formula>AF421&lt;AF370</formula>
    </cfRule>
    <cfRule type="expression" dxfId="854" priority="9349">
      <formula>AF421&gt;AF370</formula>
    </cfRule>
    <cfRule type="expression" priority="9348">
      <formula>AF421</formula>
    </cfRule>
  </conditionalFormatting>
  <conditionalFormatting sqref="AF372">
    <cfRule type="expression" dxfId="853" priority="10522">
      <formula>#REF!&gt;AF372</formula>
    </cfRule>
    <cfRule type="expression" priority="10523">
      <formula>AF410</formula>
    </cfRule>
    <cfRule type="expression" priority="10520">
      <formula>#REF!</formula>
    </cfRule>
    <cfRule type="expression" dxfId="852" priority="10524">
      <formula>AF410&lt;AF372</formula>
    </cfRule>
    <cfRule type="expression" dxfId="851" priority="10525">
      <formula>AF410&gt;AF372</formula>
    </cfRule>
    <cfRule type="expression" dxfId="850" priority="10521">
      <formula>#REF!&lt;AF372</formula>
    </cfRule>
  </conditionalFormatting>
  <conditionalFormatting sqref="AF374">
    <cfRule type="expression" priority="10656">
      <formula>AF494</formula>
    </cfRule>
    <cfRule type="expression" dxfId="849" priority="10657">
      <formula>AF494&lt;AF374</formula>
    </cfRule>
    <cfRule type="expression" dxfId="848" priority="10658">
      <formula>AF494&gt;AF374</formula>
    </cfRule>
  </conditionalFormatting>
  <conditionalFormatting sqref="AF411 AE413:AF413 AI413 AJ419:AK419 AN419">
    <cfRule type="expression" dxfId="847" priority="2084">
      <formula>AE410&lt;AE411</formula>
    </cfRule>
    <cfRule type="expression" priority="2083">
      <formula>AE410</formula>
    </cfRule>
    <cfRule type="expression" dxfId="846" priority="2085">
      <formula>AE410&gt;AE411</formula>
    </cfRule>
  </conditionalFormatting>
  <conditionalFormatting sqref="AF419 AI419 AL419:AM419 AO419:AT419">
    <cfRule type="expression" dxfId="845" priority="2104">
      <formula>AF423&lt;AF419</formula>
    </cfRule>
    <cfRule type="expression" priority="2107">
      <formula>AF423</formula>
    </cfRule>
    <cfRule type="expression" dxfId="844" priority="2108">
      <formula>AF423&gt;AF419</formula>
    </cfRule>
  </conditionalFormatting>
  <conditionalFormatting sqref="AF419">
    <cfRule type="expression" dxfId="843" priority="2014">
      <formula>#REF!&lt;AF419</formula>
    </cfRule>
    <cfRule type="expression" dxfId="842" priority="2039">
      <formula>ISBLANK(AF419)</formula>
    </cfRule>
    <cfRule type="expression" dxfId="841" priority="2017">
      <formula>AND(AF434="",AF419&lt;TODAY())</formula>
    </cfRule>
    <cfRule type="expression" dxfId="840" priority="2128">
      <formula>AF434&gt;0</formula>
    </cfRule>
    <cfRule type="expression" dxfId="839" priority="2127">
      <formula>#REF!&gt;AF419</formula>
    </cfRule>
    <cfRule type="expression" dxfId="838" priority="2125">
      <formula>AND(AF420="",AF419&lt;TODAY())</formula>
    </cfRule>
    <cfRule type="expression" dxfId="837" priority="2124">
      <formula>AF420&gt;0</formula>
    </cfRule>
    <cfRule type="expression" dxfId="836" priority="2016">
      <formula>AF434&gt;0</formula>
    </cfRule>
    <cfRule type="expression" dxfId="835" priority="2010">
      <formula>ISBLANK(AF419)</formula>
    </cfRule>
    <cfRule type="expression" dxfId="834" priority="2011">
      <formula>AF420&gt;0</formula>
    </cfRule>
    <cfRule type="expression" dxfId="833" priority="2012">
      <formula>AND(AF420="",AF419&lt;TODAY())</formula>
    </cfRule>
    <cfRule type="expression" dxfId="832" priority="2015">
      <formula>#REF!&gt;AF419</formula>
    </cfRule>
    <cfRule type="expression" dxfId="831" priority="2013">
      <formula>ISBLANK(AF419)</formula>
    </cfRule>
    <cfRule type="expression" dxfId="830" priority="2129">
      <formula>AND(AF434="",AF419&lt;TODAY())</formula>
    </cfRule>
    <cfRule type="expression" dxfId="829" priority="2126">
      <formula>#REF!&lt;AF419</formula>
    </cfRule>
  </conditionalFormatting>
  <conditionalFormatting sqref="AF426">
    <cfRule type="expression" dxfId="828" priority="10798">
      <formula>AF498&gt;AF426</formula>
    </cfRule>
    <cfRule type="expression" priority="10789">
      <formula>AF425</formula>
    </cfRule>
    <cfRule type="expression" dxfId="827" priority="10790">
      <formula>AF425&lt;AF426</formula>
    </cfRule>
    <cfRule type="expression" dxfId="826" priority="10791">
      <formula>AF425&gt;AF426</formula>
    </cfRule>
    <cfRule type="expression" dxfId="825" priority="10792">
      <formula>#REF!&gt;AF426</formula>
    </cfRule>
    <cfRule type="expression" dxfId="824" priority="10793">
      <formula>#REF!&lt;AF426</formula>
    </cfRule>
    <cfRule type="expression" dxfId="823" priority="10794">
      <formula>AF425&lt;AF426</formula>
    </cfRule>
    <cfRule type="expression" dxfId="822" priority="10795">
      <formula>AF425&gt;AF426</formula>
    </cfRule>
    <cfRule type="expression" priority="10796">
      <formula>AF498</formula>
    </cfRule>
    <cfRule type="expression" dxfId="821" priority="10797">
      <formula>AF498&lt;AF426</formula>
    </cfRule>
  </conditionalFormatting>
  <conditionalFormatting sqref="AF441">
    <cfRule type="expression" priority="1522">
      <formula>AF440</formula>
    </cfRule>
    <cfRule type="expression" dxfId="820" priority="1523">
      <formula>AF440&lt;AF441</formula>
    </cfRule>
    <cfRule type="expression" dxfId="819" priority="1524">
      <formula>AF440&gt;AF441</formula>
    </cfRule>
  </conditionalFormatting>
  <conditionalFormatting sqref="AF510">
    <cfRule type="expression" dxfId="818" priority="656">
      <formula>AF509&gt;AF510</formula>
    </cfRule>
    <cfRule type="expression" dxfId="817" priority="655">
      <formula>AF509&lt;AF510</formula>
    </cfRule>
  </conditionalFormatting>
  <conditionalFormatting sqref="AF525">
    <cfRule type="expression" dxfId="816" priority="262">
      <formula>#REF!&lt;AF525</formula>
    </cfRule>
    <cfRule type="expression" dxfId="815" priority="259">
      <formula>#REF!&gt;AF525</formula>
    </cfRule>
  </conditionalFormatting>
  <conditionalFormatting sqref="AF527">
    <cfRule type="expression" dxfId="814" priority="94">
      <formula>#REF!&lt;AF527</formula>
    </cfRule>
    <cfRule type="expression" dxfId="813" priority="91">
      <formula>#REF!&gt;AF527</formula>
    </cfRule>
  </conditionalFormatting>
  <conditionalFormatting sqref="AF528">
    <cfRule type="expression" priority="82">
      <formula>#REF!</formula>
    </cfRule>
    <cfRule type="expression" dxfId="812" priority="88">
      <formula>#REF!&gt;AF528</formula>
    </cfRule>
    <cfRule type="expression" dxfId="811" priority="83">
      <formula>#REF!&gt;AF528</formula>
    </cfRule>
    <cfRule type="expression" dxfId="810" priority="81">
      <formula>AND(AF529="",AF528&lt;TODAY())</formula>
    </cfRule>
    <cfRule type="expression" dxfId="809" priority="80">
      <formula>AF529&gt;0</formula>
    </cfRule>
    <cfRule type="expression" dxfId="808" priority="79">
      <formula>ISBLANK(AF528)</formula>
    </cfRule>
  </conditionalFormatting>
  <conditionalFormatting sqref="AF531">
    <cfRule type="expression" dxfId="807" priority="238">
      <formula>#REF!&lt;AF531</formula>
    </cfRule>
    <cfRule type="expression" dxfId="806" priority="235">
      <formula>#REF!&gt;AF531</formula>
    </cfRule>
    <cfRule type="expression" dxfId="805" priority="78">
      <formula>#REF!&gt;AF531</formula>
    </cfRule>
  </conditionalFormatting>
  <conditionalFormatting sqref="AF542">
    <cfRule type="expression" priority="10857">
      <formula>#REF!</formula>
    </cfRule>
    <cfRule type="expression" dxfId="804" priority="10858">
      <formula>#REF!&gt;AF542</formula>
    </cfRule>
    <cfRule type="expression" dxfId="803" priority="10859">
      <formula>#REF!&lt;AF542</formula>
    </cfRule>
  </conditionalFormatting>
  <conditionalFormatting sqref="AF352:AG352 AI352">
    <cfRule type="expression" dxfId="802" priority="3937">
      <formula>#REF!&lt;AF352</formula>
    </cfRule>
    <cfRule type="expression" dxfId="801" priority="3936">
      <formula>#REF!&gt;AF352</formula>
    </cfRule>
  </conditionalFormatting>
  <conditionalFormatting sqref="AF440:AG440">
    <cfRule type="expression" dxfId="800" priority="1638">
      <formula>AND(AG441="",AF440&lt;TODAY())</formula>
    </cfRule>
    <cfRule type="expression" dxfId="799" priority="1637">
      <formula>AG441&gt;0</formula>
    </cfRule>
  </conditionalFormatting>
  <conditionalFormatting sqref="AF482:AG482">
    <cfRule type="expression" dxfId="798" priority="1011">
      <formula>AF481&lt;AF482</formula>
    </cfRule>
    <cfRule type="expression" dxfId="797" priority="1012">
      <formula>AF481&gt;AF482</formula>
    </cfRule>
  </conditionalFormatting>
  <conditionalFormatting sqref="AF486:AG486">
    <cfRule type="expression" dxfId="796" priority="930">
      <formula>AF485&gt;AF486</formula>
    </cfRule>
    <cfRule type="expression" dxfId="795" priority="931">
      <formula>#REF!&lt;AF486</formula>
    </cfRule>
    <cfRule type="expression" dxfId="794" priority="927">
      <formula>#REF!&gt;AF486</formula>
    </cfRule>
    <cfRule type="expression" priority="926">
      <formula>#REF!</formula>
    </cfRule>
    <cfRule type="expression" priority="928">
      <formula>AF485</formula>
    </cfRule>
    <cfRule type="expression" dxfId="793" priority="929">
      <formula>AF485&lt;AF486</formula>
    </cfRule>
  </conditionalFormatting>
  <conditionalFormatting sqref="AF508:AG508">
    <cfRule type="expression" dxfId="792" priority="132">
      <formula>AF507&lt;AF508</formula>
    </cfRule>
    <cfRule type="expression" dxfId="791" priority="133">
      <formula>AF507&gt;AF508</formula>
    </cfRule>
  </conditionalFormatting>
  <conditionalFormatting sqref="AF284:AH284">
    <cfRule type="expression" dxfId="790" priority="5378">
      <formula>AF296&gt;AF284</formula>
    </cfRule>
    <cfRule type="expression" priority="5376">
      <formula>AF296</formula>
    </cfRule>
    <cfRule type="expression" dxfId="789" priority="5377">
      <formula>AF296&lt;AF284</formula>
    </cfRule>
  </conditionalFormatting>
  <conditionalFormatting sqref="AF290:AH290 AE468:AI468">
    <cfRule type="expression" dxfId="788" priority="7796">
      <formula>AE295&gt;0</formula>
    </cfRule>
    <cfRule type="expression" dxfId="787" priority="7797">
      <formula>AND(AE295="",AE290&lt;TODAY())</formula>
    </cfRule>
  </conditionalFormatting>
  <conditionalFormatting sqref="AF290:AH290">
    <cfRule type="expression" dxfId="786" priority="7795">
      <formula>ISBLANK(AF290)</formula>
    </cfRule>
  </conditionalFormatting>
  <conditionalFormatting sqref="AF306:AH306">
    <cfRule type="expression" dxfId="785" priority="5045">
      <formula>#REF!&lt;AF306</formula>
    </cfRule>
    <cfRule type="expression" dxfId="784" priority="5040">
      <formula>AF305&lt;AF306</formula>
    </cfRule>
    <cfRule type="expression" dxfId="783" priority="5041">
      <formula>AF305&gt;AF306</formula>
    </cfRule>
    <cfRule type="expression" dxfId="782" priority="5046">
      <formula>#REF!&gt;AF306</formula>
    </cfRule>
    <cfRule type="expression" priority="5044">
      <formula>#REF!</formula>
    </cfRule>
  </conditionalFormatting>
  <conditionalFormatting sqref="AF323:AH323">
    <cfRule type="expression" dxfId="781" priority="4701">
      <formula>#REF!&lt;AF323</formula>
    </cfRule>
    <cfRule type="expression" dxfId="780" priority="4702">
      <formula>#REF!&gt;AF323</formula>
    </cfRule>
    <cfRule type="expression" priority="4697">
      <formula>#REF!</formula>
    </cfRule>
  </conditionalFormatting>
  <conditionalFormatting sqref="AF325:AH325">
    <cfRule type="expression" priority="4694">
      <formula>#REF!</formula>
    </cfRule>
    <cfRule type="expression" dxfId="779" priority="4695">
      <formula>#REF!&lt;AF325</formula>
    </cfRule>
    <cfRule type="expression" dxfId="778" priority="4696">
      <formula>#REF!&gt;AF325</formula>
    </cfRule>
  </conditionalFormatting>
  <conditionalFormatting sqref="AF338:AH338">
    <cfRule type="expression" dxfId="777" priority="3982">
      <formula>#REF!&gt;0</formula>
    </cfRule>
    <cfRule type="expression" dxfId="776" priority="3983">
      <formula>AND(#REF!="",AF338&lt;TODAY())</formula>
    </cfRule>
    <cfRule type="expression" dxfId="775" priority="3981">
      <formula>ISBLANK(AF338)</formula>
    </cfRule>
    <cfRule type="expression" dxfId="774" priority="3984">
      <formula>AF335&gt;0</formula>
    </cfRule>
    <cfRule type="expression" dxfId="773" priority="3985">
      <formula>AND(AF335="",AF338&lt;TODAY())</formula>
    </cfRule>
  </conditionalFormatting>
  <conditionalFormatting sqref="AF518:AH518">
    <cfRule type="expression" dxfId="772" priority="403">
      <formula>AF517&lt;AF518</formula>
    </cfRule>
    <cfRule type="expression" dxfId="771" priority="404">
      <formula>AF517&gt;AF518</formula>
    </cfRule>
  </conditionalFormatting>
  <conditionalFormatting sqref="AF537:AH537">
    <cfRule type="expression" dxfId="770" priority="10837">
      <formula>#REF!&gt;0</formula>
    </cfRule>
    <cfRule type="expression" dxfId="769" priority="10838">
      <formula>AND(#REF!="",AF537&lt;TODAY())</formula>
    </cfRule>
  </conditionalFormatting>
  <conditionalFormatting sqref="AF539:AH539">
    <cfRule type="expression" dxfId="768" priority="57">
      <formula>ISBLANK(AF539)</formula>
    </cfRule>
    <cfRule type="expression" dxfId="767" priority="58">
      <formula>AF540&gt;0</formula>
    </cfRule>
    <cfRule type="expression" dxfId="766" priority="59">
      <formula>AND(AF540="",AF539&lt;TODAY())</formula>
    </cfRule>
  </conditionalFormatting>
  <conditionalFormatting sqref="AF541:AH541">
    <cfRule type="expression" dxfId="765" priority="203">
      <formula>ISBLANK(AF541)</formula>
    </cfRule>
    <cfRule type="expression" dxfId="764" priority="204">
      <formula>AF542&gt;0</formula>
    </cfRule>
    <cfRule type="expression" dxfId="763" priority="205">
      <formula>AND(AF542="",AF541&lt;TODAY())</formula>
    </cfRule>
  </conditionalFormatting>
  <conditionalFormatting sqref="AF550:AH550">
    <cfRule type="expression" dxfId="762" priority="418">
      <formula>AF551&gt;0</formula>
    </cfRule>
    <cfRule type="expression" dxfId="761" priority="419">
      <formula>AND(AF551="",AF550&lt;TODAY())</formula>
    </cfRule>
    <cfRule type="expression" dxfId="760" priority="417">
      <formula>ISBLANK(AF550)</formula>
    </cfRule>
  </conditionalFormatting>
  <conditionalFormatting sqref="AF270:AI270 AO412:AS412">
    <cfRule type="expression" dxfId="759" priority="7730">
      <formula>AF273&gt;0</formula>
    </cfRule>
    <cfRule type="expression" dxfId="758" priority="7731">
      <formula>AND(AF273="",AF270&lt;TODAY())</formula>
    </cfRule>
  </conditionalFormatting>
  <conditionalFormatting sqref="AF297:AI297">
    <cfRule type="expression" priority="5226">
      <formula>#REF!</formula>
    </cfRule>
    <cfRule type="expression" dxfId="757" priority="5227">
      <formula>#REF!&lt;AF297</formula>
    </cfRule>
    <cfRule type="expression" dxfId="756" priority="5228">
      <formula>#REF!&gt;AF297</formula>
    </cfRule>
  </conditionalFormatting>
  <conditionalFormatting sqref="AF301:AI303">
    <cfRule type="expression" dxfId="755" priority="5061">
      <formula>#REF!&lt;AF301</formula>
    </cfRule>
    <cfRule type="expression" dxfId="754" priority="5062">
      <formula>#REF!&gt;AF301</formula>
    </cfRule>
  </conditionalFormatting>
  <conditionalFormatting sqref="AF301:AI305">
    <cfRule type="expression" priority="5051">
      <formula>#REF!</formula>
    </cfRule>
  </conditionalFormatting>
  <conditionalFormatting sqref="AF304:AI305">
    <cfRule type="expression" dxfId="753" priority="5053">
      <formula>#REF!&gt;AF304</formula>
    </cfRule>
    <cfRule type="expression" dxfId="752" priority="5052">
      <formula>#REF!&lt;AF304</formula>
    </cfRule>
  </conditionalFormatting>
  <conditionalFormatting sqref="AF311:AI311">
    <cfRule type="expression" dxfId="751" priority="4772">
      <formula>#REF!&lt;AF311</formula>
    </cfRule>
    <cfRule type="expression" priority="4771">
      <formula>#REF!</formula>
    </cfRule>
    <cfRule type="expression" dxfId="750" priority="4773">
      <formula>#REF!&gt;AF311</formula>
    </cfRule>
  </conditionalFormatting>
  <conditionalFormatting sqref="AF350:AI350">
    <cfRule type="expression" dxfId="749" priority="3928">
      <formula>#REF!&gt;AF350</formula>
    </cfRule>
    <cfRule type="expression" dxfId="748" priority="3930">
      <formula>#REF!&lt;AF350</formula>
    </cfRule>
  </conditionalFormatting>
  <conditionalFormatting sqref="AF351:AI351">
    <cfRule type="expression" dxfId="747" priority="3898">
      <formula>ISBLANK(AF351)</formula>
    </cfRule>
    <cfRule type="expression" dxfId="746" priority="3899">
      <formula>AF352&gt;0</formula>
    </cfRule>
    <cfRule type="expression" dxfId="745" priority="3900">
      <formula>AND(AF352="",AF351&lt;TODAY())</formula>
    </cfRule>
  </conditionalFormatting>
  <conditionalFormatting sqref="AF416:AI416">
    <cfRule type="expression" dxfId="744" priority="2106">
      <formula>AND(AF420="",AF416&lt;TODAY())</formula>
    </cfRule>
    <cfRule type="expression" dxfId="743" priority="2105">
      <formula>AF420&gt;0</formula>
    </cfRule>
  </conditionalFormatting>
  <conditionalFormatting sqref="AF445:AI445 AL445:AM445">
    <cfRule type="expression" dxfId="742" priority="1336">
      <formula>AF444&lt;AF445</formula>
    </cfRule>
    <cfRule type="expression" dxfId="741" priority="1337">
      <formula>AF444&gt;AF445</formula>
    </cfRule>
  </conditionalFormatting>
  <conditionalFormatting sqref="AF445:AI445 AL445:AM446">
    <cfRule type="expression" dxfId="740" priority="1339">
      <formula>#REF!&lt;AF445</formula>
    </cfRule>
    <cfRule type="expression" dxfId="739" priority="1338">
      <formula>#REF!&gt;AF445</formula>
    </cfRule>
  </conditionalFormatting>
  <conditionalFormatting sqref="AF445:AI445">
    <cfRule type="expression" dxfId="738" priority="1335">
      <formula>#REF!&lt;AF445</formula>
    </cfRule>
    <cfRule type="expression" dxfId="737" priority="1334">
      <formula>#REF!&gt;AF445</formula>
    </cfRule>
    <cfRule type="expression" priority="1329">
      <formula>#REF!</formula>
    </cfRule>
  </conditionalFormatting>
  <conditionalFormatting sqref="AF482:AI482">
    <cfRule type="expression" dxfId="736" priority="1016">
      <formula>AF481&gt;AF482</formula>
    </cfRule>
    <cfRule type="expression" priority="1014">
      <formula>#REF!</formula>
    </cfRule>
    <cfRule type="expression" dxfId="735" priority="1017">
      <formula>#REF!&lt;AF482</formula>
    </cfRule>
    <cfRule type="expression" dxfId="734" priority="1015">
      <formula>#REF!&gt;AF482</formula>
    </cfRule>
  </conditionalFormatting>
  <conditionalFormatting sqref="AF484:AI484">
    <cfRule type="expression" dxfId="733" priority="966">
      <formula>#REF!&lt;AF484</formula>
    </cfRule>
    <cfRule type="expression" dxfId="732" priority="965">
      <formula>#REF!&gt;AF484</formula>
    </cfRule>
    <cfRule type="expression" priority="964">
      <formula>#REF!</formula>
    </cfRule>
    <cfRule type="expression" dxfId="731" priority="969">
      <formula>#REF!&lt;AF484</formula>
    </cfRule>
  </conditionalFormatting>
  <conditionalFormatting sqref="AF536:AI536 AE535:AI535">
    <cfRule type="expression" dxfId="730" priority="185">
      <formula>#REF!&gt;AE535</formula>
    </cfRule>
  </conditionalFormatting>
  <conditionalFormatting sqref="AF545:AI545">
    <cfRule type="expression" dxfId="729" priority="10933">
      <formula>AF548&gt;0</formula>
    </cfRule>
    <cfRule type="expression" dxfId="728" priority="10934">
      <formula>AND(AF548="",AF545&lt;TODAY())</formula>
    </cfRule>
  </conditionalFormatting>
  <conditionalFormatting sqref="AF548:AI548">
    <cfRule type="expression" dxfId="727" priority="10941">
      <formula>AF545&lt;AF548</formula>
    </cfRule>
    <cfRule type="expression" priority="10942">
      <formula>AF545</formula>
    </cfRule>
    <cfRule type="expression" dxfId="726" priority="10943">
      <formula>AF545&gt;AF548</formula>
    </cfRule>
  </conditionalFormatting>
  <conditionalFormatting sqref="AF282:AK282">
    <cfRule type="expression" dxfId="725" priority="5381">
      <formula>AF281&gt;AF282</formula>
    </cfRule>
    <cfRule type="expression" priority="5379">
      <formula>AF281</formula>
    </cfRule>
    <cfRule type="expression" dxfId="724" priority="5380">
      <formula>AF281&lt;AF282</formula>
    </cfRule>
  </conditionalFormatting>
  <conditionalFormatting sqref="AF482:AK482">
    <cfRule type="expression" dxfId="723" priority="1013">
      <formula>AF481&lt;AF482</formula>
    </cfRule>
  </conditionalFormatting>
  <conditionalFormatting sqref="AF484:AK484">
    <cfRule type="expression" dxfId="722" priority="968">
      <formula>AF483&gt;AF484</formula>
    </cfRule>
  </conditionalFormatting>
  <conditionalFormatting sqref="AF532:AK532">
    <cfRule type="expression" dxfId="721" priority="284">
      <formula>AF533&gt;0</formula>
    </cfRule>
    <cfRule type="expression" dxfId="720" priority="285">
      <formula>AND(AF533="",AF532&lt;TODAY())</formula>
    </cfRule>
  </conditionalFormatting>
  <conditionalFormatting sqref="AF542:AN542">
    <cfRule type="expression" dxfId="719" priority="155">
      <formula>AF541&gt;AF542</formula>
    </cfRule>
  </conditionalFormatting>
  <conditionalFormatting sqref="AF484:AO484 AQ484">
    <cfRule type="expression" dxfId="718" priority="950">
      <formula>AF483&lt;AF484</formula>
    </cfRule>
  </conditionalFormatting>
  <conditionalFormatting sqref="AF484:AO484 AQ484:AT484">
    <cfRule type="expression" priority="954">
      <formula>AF483</formula>
    </cfRule>
  </conditionalFormatting>
  <conditionalFormatting sqref="AF542:AO542">
    <cfRule type="expression" dxfId="717" priority="39">
      <formula>AF541&lt;AF542</formula>
    </cfRule>
  </conditionalFormatting>
  <conditionalFormatting sqref="AF469:AT469 AE471:AT471 AE475:AT475">
    <cfRule type="expression" priority="1247">
      <formula>AE468</formula>
    </cfRule>
  </conditionalFormatting>
  <conditionalFormatting sqref="AF469:AT469 AE475:AT475 AE471:AT471">
    <cfRule type="expression" dxfId="716" priority="1243">
      <formula>AE468&lt;AE469</formula>
    </cfRule>
  </conditionalFormatting>
  <conditionalFormatting sqref="AF482:AT482">
    <cfRule type="expression" priority="987">
      <formula>AF481</formula>
    </cfRule>
  </conditionalFormatting>
  <conditionalFormatting sqref="AF512:AT512">
    <cfRule type="expression" dxfId="715" priority="126">
      <formula>AF511&lt;AF512</formula>
    </cfRule>
    <cfRule type="expression" dxfId="714" priority="127">
      <formula>AF511&gt;AF512</formula>
    </cfRule>
  </conditionalFormatting>
  <conditionalFormatting sqref="AF514:AT514">
    <cfRule type="expression" dxfId="713" priority="120">
      <formula>AF513&lt;AF514</formula>
    </cfRule>
    <cfRule type="expression" dxfId="712" priority="121">
      <formula>AF513&gt;AF514</formula>
    </cfRule>
  </conditionalFormatting>
  <conditionalFormatting sqref="AF533:AT533">
    <cfRule type="expression" dxfId="711" priority="383">
      <formula>AF532&gt;AF533</formula>
    </cfRule>
    <cfRule type="expression" dxfId="710" priority="382">
      <formula>AF532&lt;AF533</formula>
    </cfRule>
  </conditionalFormatting>
  <conditionalFormatting sqref="AG354">
    <cfRule type="expression" priority="3576">
      <formula>AG353</formula>
    </cfRule>
    <cfRule type="expression" dxfId="709" priority="3577">
      <formula>AG353&lt;AG354</formula>
    </cfRule>
    <cfRule type="expression" dxfId="708" priority="3578">
      <formula>AG353&gt;AG354</formula>
    </cfRule>
  </conditionalFormatting>
  <conditionalFormatting sqref="AG374">
    <cfRule type="expression" dxfId="707" priority="3089">
      <formula>AG366&lt;AG374</formula>
    </cfRule>
    <cfRule type="expression" dxfId="706" priority="3092">
      <formula>AG366&gt;AG374</formula>
    </cfRule>
    <cfRule type="expression" priority="3088">
      <formula>AG366</formula>
    </cfRule>
    <cfRule type="expression" dxfId="705" priority="3090">
      <formula>AG366&gt;AG374</formula>
    </cfRule>
    <cfRule type="expression" dxfId="704" priority="3091">
      <formula>AG366&lt;AG374</formula>
    </cfRule>
  </conditionalFormatting>
  <conditionalFormatting sqref="AG411">
    <cfRule type="expression" dxfId="703" priority="2096">
      <formula>#REF!&lt;AG411</formula>
    </cfRule>
    <cfRule type="expression" priority="2095">
      <formula>#REF!</formula>
    </cfRule>
    <cfRule type="expression" dxfId="702" priority="2097">
      <formula>#REF!&gt;AG411</formula>
    </cfRule>
  </conditionalFormatting>
  <conditionalFormatting sqref="AG415:AG416">
    <cfRule type="expression" dxfId="701" priority="2034">
      <formula>#REF!&lt;AG415</formula>
    </cfRule>
    <cfRule type="expression" dxfId="700" priority="2035">
      <formula>#REF!&gt;AG415</formula>
    </cfRule>
    <cfRule type="expression" priority="2033">
      <formula>#REF!</formula>
    </cfRule>
  </conditionalFormatting>
  <conditionalFormatting sqref="AG423">
    <cfRule type="expression" priority="1913">
      <formula>#REF!</formula>
    </cfRule>
    <cfRule type="expression" dxfId="699" priority="1914">
      <formula>#REF!&gt;AG423</formula>
    </cfRule>
    <cfRule type="expression" dxfId="698" priority="1915">
      <formula>#REF!&lt;AG423</formula>
    </cfRule>
  </conditionalFormatting>
  <conditionalFormatting sqref="AG441">
    <cfRule type="expression" dxfId="697" priority="1619">
      <formula>AF440&lt;AG441</formula>
    </cfRule>
    <cfRule type="expression" dxfId="696" priority="1620">
      <formula>AF440&gt;AG441</formula>
    </cfRule>
    <cfRule type="expression" priority="1618">
      <formula>AF440</formula>
    </cfRule>
  </conditionalFormatting>
  <conditionalFormatting sqref="AG506">
    <cfRule type="expression" dxfId="695" priority="140">
      <formula>#REF!&lt;AG506</formula>
    </cfRule>
    <cfRule type="expression" dxfId="694" priority="136">
      <formula>#REF!&gt;AG506</formula>
    </cfRule>
  </conditionalFormatting>
  <conditionalFormatting sqref="AG508">
    <cfRule type="expression" dxfId="693" priority="130">
      <formula>#REF!&gt;AG508</formula>
    </cfRule>
    <cfRule type="expression" dxfId="692" priority="134">
      <formula>#REF!&lt;AG508</formula>
    </cfRule>
  </conditionalFormatting>
  <conditionalFormatting sqref="AG512">
    <cfRule type="expression" dxfId="691" priority="128">
      <formula>#REF!&lt;AG512</formula>
    </cfRule>
    <cfRule type="expression" dxfId="690" priority="124">
      <formula>#REF!&gt;AG512</formula>
    </cfRule>
  </conditionalFormatting>
  <conditionalFormatting sqref="AG514">
    <cfRule type="expression" dxfId="689" priority="122">
      <formula>#REF!&lt;AG514</formula>
    </cfRule>
    <cfRule type="expression" dxfId="688" priority="118">
      <formula>#REF!&gt;AG514</formula>
    </cfRule>
  </conditionalFormatting>
  <conditionalFormatting sqref="AG516">
    <cfRule type="expression" dxfId="687" priority="116">
      <formula>#REF!&lt;AG516</formula>
    </cfRule>
    <cfRule type="expression" dxfId="686" priority="112">
      <formula>#REF!&gt;AG516</formula>
    </cfRule>
  </conditionalFormatting>
  <conditionalFormatting sqref="AG291:AH291">
    <cfRule type="expression" priority="5238">
      <formula>#REF!</formula>
    </cfRule>
    <cfRule type="expression" dxfId="685" priority="5240">
      <formula>#REF!&gt;AG291</formula>
    </cfRule>
    <cfRule type="expression" dxfId="684" priority="5239">
      <formula>#REF!&lt;AG291</formula>
    </cfRule>
  </conditionalFormatting>
  <conditionalFormatting sqref="AG348:AH348">
    <cfRule type="expression" dxfId="683" priority="3874">
      <formula>AG347&lt;AG348</formula>
    </cfRule>
    <cfRule type="expression" dxfId="682" priority="3875">
      <formula>AG347&gt;AG348</formula>
    </cfRule>
    <cfRule type="expression" priority="3873">
      <formula>AG347</formula>
    </cfRule>
  </conditionalFormatting>
  <conditionalFormatting sqref="AG365:AH365">
    <cfRule type="expression" dxfId="681" priority="3327">
      <formula>#REF!&lt;AG365</formula>
    </cfRule>
    <cfRule type="expression" priority="3326">
      <formula>#REF!</formula>
    </cfRule>
    <cfRule type="expression" dxfId="680" priority="3328">
      <formula>#REF!&gt;AG365</formula>
    </cfRule>
  </conditionalFormatting>
  <conditionalFormatting sqref="AG413:AH413">
    <cfRule type="expression" dxfId="679" priority="2037">
      <formula>#REF!&lt;AG413</formula>
    </cfRule>
    <cfRule type="expression" dxfId="678" priority="2038">
      <formula>#REF!&gt;AG413</formula>
    </cfRule>
  </conditionalFormatting>
  <conditionalFormatting sqref="AG529:AH529">
    <cfRule type="expression" dxfId="677" priority="110">
      <formula>#REF!&lt;AG529</formula>
    </cfRule>
    <cfRule type="expression" dxfId="676" priority="109">
      <formula>#REF!&gt;AG529</formula>
    </cfRule>
  </conditionalFormatting>
  <conditionalFormatting sqref="AG347:AI347 AL347:AT347">
    <cfRule type="expression" dxfId="675" priority="3891">
      <formula>ISBLANK(AG347)</formula>
    </cfRule>
    <cfRule type="expression" dxfId="674" priority="3893">
      <formula>AND(AG352="",AG347&lt;TODAY())</formula>
    </cfRule>
    <cfRule type="expression" dxfId="673" priority="3892">
      <formula>AG352&gt;0</formula>
    </cfRule>
  </conditionalFormatting>
  <conditionalFormatting sqref="AG349:AI349">
    <cfRule type="expression" dxfId="672" priority="3903">
      <formula>AND(AG350="",AG349&lt;TODAY())</formula>
    </cfRule>
    <cfRule type="expression" dxfId="671" priority="3901">
      <formula>ISBLANK(AG349)</formula>
    </cfRule>
    <cfRule type="expression" dxfId="670" priority="3902">
      <formula>AG350&gt;0</formula>
    </cfRule>
  </conditionalFormatting>
  <conditionalFormatting sqref="AG350:AI350 AL352:AT352">
    <cfRule type="expression" dxfId="669" priority="3906">
      <formula>AG345&lt;AG350</formula>
    </cfRule>
    <cfRule type="expression" priority="3904">
      <formula>AG345</formula>
    </cfRule>
  </conditionalFormatting>
  <conditionalFormatting sqref="AG357:AI357 AL357:AR357 AT357">
    <cfRule type="expression" dxfId="668" priority="3569">
      <formula>AG351&lt;AG357</formula>
    </cfRule>
    <cfRule type="expression" dxfId="667" priority="3572">
      <formula>AG351&gt;AG357</formula>
    </cfRule>
    <cfRule type="expression" priority="3568">
      <formula>AG351</formula>
    </cfRule>
  </conditionalFormatting>
  <conditionalFormatting sqref="AG363:AI363">
    <cfRule type="expression" priority="3320">
      <formula>AG362</formula>
    </cfRule>
    <cfRule type="expression" dxfId="666" priority="3321">
      <formula>AG362&lt;AG363</formula>
    </cfRule>
    <cfRule type="expression" dxfId="665" priority="3322">
      <formula>AG362&gt;AG363</formula>
    </cfRule>
  </conditionalFormatting>
  <conditionalFormatting sqref="AG370:AI370">
    <cfRule type="expression" priority="3128">
      <formula>AG362</formula>
    </cfRule>
    <cfRule type="expression" dxfId="664" priority="3130">
      <formula>AG362&gt;AG370</formula>
    </cfRule>
    <cfRule type="expression" dxfId="663" priority="3129">
      <formula>AG362&lt;AG370</formula>
    </cfRule>
  </conditionalFormatting>
  <conditionalFormatting sqref="AG372:AI372">
    <cfRule type="expression" priority="3116">
      <formula>AG364</formula>
    </cfRule>
    <cfRule type="expression" dxfId="662" priority="3118">
      <formula>AG364&gt;AG372</formula>
    </cfRule>
    <cfRule type="expression" dxfId="661" priority="3117">
      <formula>AG364&lt;AG372</formula>
    </cfRule>
  </conditionalFormatting>
  <conditionalFormatting sqref="AG378:AI378">
    <cfRule type="expression" priority="3064">
      <formula>AG366</formula>
    </cfRule>
    <cfRule type="expression" dxfId="660" priority="3065">
      <formula>AG366&lt;AG378</formula>
    </cfRule>
    <cfRule type="expression" dxfId="659" priority="3066">
      <formula>AG366&gt;AG378</formula>
    </cfRule>
  </conditionalFormatting>
  <conditionalFormatting sqref="AG412:AI412 AL412:AM412">
    <cfRule type="expression" dxfId="658" priority="2099">
      <formula>AG415&gt;0</formula>
    </cfRule>
    <cfRule type="expression" dxfId="657" priority="2100">
      <formula>AND(AG415="",AG412&lt;TODAY())</formula>
    </cfRule>
  </conditionalFormatting>
  <conditionalFormatting sqref="AG417:AI417 AE416:AI416 AE415:AF415">
    <cfRule type="expression" dxfId="656" priority="2055">
      <formula>#REF!&lt;AE415</formula>
    </cfRule>
  </conditionalFormatting>
  <conditionalFormatting sqref="AG441:AI441">
    <cfRule type="expression" dxfId="655" priority="1478">
      <formula>#REF!&gt;AG441</formula>
    </cfRule>
    <cfRule type="expression" priority="1475">
      <formula>#REF!</formula>
    </cfRule>
  </conditionalFormatting>
  <conditionalFormatting sqref="AG443:AI443 AL443:AT443">
    <cfRule type="expression" dxfId="654" priority="1355">
      <formula>AG442&gt;AG443</formula>
    </cfRule>
  </conditionalFormatting>
  <conditionalFormatting sqref="AG443:AI443">
    <cfRule type="expression" dxfId="653" priority="1354">
      <formula>AG442&lt;AG443</formula>
    </cfRule>
    <cfRule type="expression" dxfId="652" priority="1353">
      <formula>#REF!&lt;AG443</formula>
    </cfRule>
    <cfRule type="expression" dxfId="651" priority="1352">
      <formula>#REF!&gt;AG443</formula>
    </cfRule>
    <cfRule type="expression" priority="1351">
      <formula>#REF!</formula>
    </cfRule>
  </conditionalFormatting>
  <conditionalFormatting sqref="AG522:AI522">
    <cfRule type="expression" dxfId="650" priority="369">
      <formula>#REF!&lt;AG522</formula>
    </cfRule>
    <cfRule type="expression" dxfId="649" priority="370">
      <formula>ISBLANK(AG522)</formula>
    </cfRule>
    <cfRule type="expression" dxfId="648" priority="371">
      <formula>AG523&gt;0</formula>
    </cfRule>
    <cfRule type="expression" dxfId="647" priority="372">
      <formula>AND(AG523="",AG522&lt;TODAY())</formula>
    </cfRule>
  </conditionalFormatting>
  <conditionalFormatting sqref="AG417:AN417">
    <cfRule type="expression" dxfId="646" priority="2048">
      <formula>AG416&gt;AG417</formula>
    </cfRule>
    <cfRule type="expression" dxfId="645" priority="2047">
      <formula>AG416&lt;AG417</formula>
    </cfRule>
    <cfRule type="expression" priority="2046">
      <formula>AG416</formula>
    </cfRule>
  </conditionalFormatting>
  <conditionalFormatting sqref="AG522:AR522 AK523:AL523">
    <cfRule type="expression" dxfId="644" priority="374">
      <formula>AG523&gt;0</formula>
    </cfRule>
    <cfRule type="expression" dxfId="643" priority="373">
      <formula>ISBLANK(AG522)</formula>
    </cfRule>
    <cfRule type="expression" dxfId="642" priority="375">
      <formula>AND(AG523="",AG522&lt;TODAY())</formula>
    </cfRule>
  </conditionalFormatting>
  <conditionalFormatting sqref="AH352">
    <cfRule type="expression" dxfId="641" priority="3860">
      <formula>AH347&gt;AH352</formula>
    </cfRule>
    <cfRule type="expression" dxfId="640" priority="3861">
      <formula>AH347&lt;AH352</formula>
    </cfRule>
    <cfRule type="expression" dxfId="639" priority="3862">
      <formula>#REF!&gt;AH352</formula>
    </cfRule>
    <cfRule type="expression" priority="3859">
      <formula>AH347</formula>
    </cfRule>
  </conditionalFormatting>
  <conditionalFormatting sqref="AH354">
    <cfRule type="expression" priority="3579">
      <formula>#REF!</formula>
    </cfRule>
    <cfRule type="expression" dxfId="638" priority="3584">
      <formula>#REF!&lt;AH354</formula>
    </cfRule>
    <cfRule type="expression" dxfId="637" priority="3583">
      <formula>#REF!&gt;AH354</formula>
    </cfRule>
  </conditionalFormatting>
  <conditionalFormatting sqref="AH330:AI330">
    <cfRule type="expression" priority="4183">
      <formula>AH327</formula>
    </cfRule>
    <cfRule type="expression" dxfId="636" priority="4184">
      <formula>AH327&lt;AH330</formula>
    </cfRule>
    <cfRule type="expression" dxfId="635" priority="4185">
      <formula>AH327&gt;AH330</formula>
    </cfRule>
  </conditionalFormatting>
  <conditionalFormatting sqref="AH354:AI354">
    <cfRule type="expression" dxfId="634" priority="3581">
      <formula>AH349&gt;AH354</formula>
    </cfRule>
    <cfRule type="expression" priority="3580">
      <formula>AH349</formula>
    </cfRule>
    <cfRule type="expression" dxfId="633" priority="3582">
      <formula>AH349&lt;AH354</formula>
    </cfRule>
  </conditionalFormatting>
  <conditionalFormatting sqref="AH415:AI415">
    <cfRule type="expression" dxfId="632" priority="2031">
      <formula>#REF!&lt;AH415</formula>
    </cfRule>
    <cfRule type="expression" priority="2030">
      <formula>#REF!</formula>
    </cfRule>
    <cfRule type="expression" dxfId="631" priority="2032">
      <formula>#REF!&gt;AH415</formula>
    </cfRule>
  </conditionalFormatting>
  <conditionalFormatting sqref="AH440:AI440 AL440:AM440 AR441:AS441">
    <cfRule type="expression" dxfId="630" priority="1627">
      <formula>ISBLANK(AH440)</formula>
    </cfRule>
  </conditionalFormatting>
  <conditionalFormatting sqref="AH441:AM441">
    <cfRule type="expression" dxfId="629" priority="1625">
      <formula>AH440&lt;AH441</formula>
    </cfRule>
    <cfRule type="expression" dxfId="628" priority="1626">
      <formula>AH440&gt;AH441</formula>
    </cfRule>
  </conditionalFormatting>
  <conditionalFormatting sqref="AH334:AN334">
    <cfRule type="expression" dxfId="627" priority="3995">
      <formula>ISBLANK(AH334)</formula>
    </cfRule>
  </conditionalFormatting>
  <conditionalFormatting sqref="AH411:AN411">
    <cfRule type="expression" dxfId="626" priority="2050">
      <formula>AH410&gt;AH411</formula>
    </cfRule>
  </conditionalFormatting>
  <conditionalFormatting sqref="AH440:AN440 AR441:AS441">
    <cfRule type="expression" dxfId="625" priority="1628">
      <formula>AH441&gt;0</formula>
    </cfRule>
    <cfRule type="expression" dxfId="624" priority="1629">
      <formula>AND(AH441="",AH440&lt;TODAY())</formula>
    </cfRule>
  </conditionalFormatting>
  <conditionalFormatting sqref="AH411:AR411 AN441:AT441">
    <cfRule type="expression" dxfId="623" priority="1514">
      <formula>AH410&lt;AH411</formula>
    </cfRule>
  </conditionalFormatting>
  <conditionalFormatting sqref="AH538:AT538 AE291:AF291">
    <cfRule type="expression" dxfId="622" priority="5236">
      <formula>AE290&lt;AE291</formula>
    </cfRule>
  </conditionalFormatting>
  <conditionalFormatting sqref="AI296">
    <cfRule type="expression" dxfId="621" priority="7823">
      <formula>#REF!&gt;0</formula>
    </cfRule>
    <cfRule type="expression" dxfId="620" priority="7824">
      <formula>AND(#REF!="",AI296&lt;TODAY())</formula>
    </cfRule>
  </conditionalFormatting>
  <conditionalFormatting sqref="AI302">
    <cfRule type="expression" dxfId="619" priority="5056">
      <formula>AI301&gt;AI302</formula>
    </cfRule>
    <cfRule type="expression" dxfId="618" priority="5055">
      <formula>AI301&lt;AI302</formula>
    </cfRule>
  </conditionalFormatting>
  <conditionalFormatting sqref="AI306:AI307">
    <cfRule type="expression" dxfId="617" priority="5275">
      <formula>#REF!&lt;AI306</formula>
    </cfRule>
    <cfRule type="expression" priority="5274">
      <formula>#REF!</formula>
    </cfRule>
    <cfRule type="expression" dxfId="616" priority="5276">
      <formula>#REF!&gt;AI306</formula>
    </cfRule>
  </conditionalFormatting>
  <conditionalFormatting sqref="AI322">
    <cfRule type="expression" priority="4394">
      <formula>AI321</formula>
    </cfRule>
    <cfRule type="expression" dxfId="615" priority="4395">
      <formula>AI321&lt;AI322</formula>
    </cfRule>
    <cfRule type="expression" dxfId="614" priority="4396">
      <formula>AI321&gt;AI322</formula>
    </cfRule>
  </conditionalFormatting>
  <conditionalFormatting sqref="AI326 AK326 AM326:AN326">
    <cfRule type="expression" dxfId="613" priority="4482">
      <formula>AI325&gt;AI326</formula>
    </cfRule>
    <cfRule type="expression" dxfId="612" priority="4481">
      <formula>AI325&lt;AI326</formula>
    </cfRule>
    <cfRule type="expression" priority="4480">
      <formula>AI325</formula>
    </cfRule>
  </conditionalFormatting>
  <conditionalFormatting sqref="AI348 AE348:AF348">
    <cfRule type="expression" dxfId="611" priority="3889">
      <formula>#REF!&gt;AE348</formula>
    </cfRule>
  </conditionalFormatting>
  <conditionalFormatting sqref="AI348">
    <cfRule type="expression" dxfId="610" priority="3887">
      <formula>AI343&lt;AI348</formula>
    </cfRule>
    <cfRule type="expression" dxfId="609" priority="3886">
      <formula>AI343&gt;AI348</formula>
    </cfRule>
    <cfRule type="expression" priority="3885">
      <formula>AI343</formula>
    </cfRule>
  </conditionalFormatting>
  <conditionalFormatting sqref="AI441">
    <cfRule type="expression" dxfId="608" priority="1476">
      <formula>#REF!&gt;AI441</formula>
    </cfRule>
    <cfRule type="expression" dxfId="607" priority="1477">
      <formula>#REF!&lt;AI441</formula>
    </cfRule>
  </conditionalFormatting>
  <conditionalFormatting sqref="AI447:AI448">
    <cfRule type="expression" priority="1305">
      <formula>#REF!</formula>
    </cfRule>
  </conditionalFormatting>
  <conditionalFormatting sqref="AI506">
    <cfRule type="expression" dxfId="606" priority="532">
      <formula>AI505&gt;AI506</formula>
    </cfRule>
    <cfRule type="expression" dxfId="605" priority="531">
      <formula>AI505&lt;AI506</formula>
    </cfRule>
  </conditionalFormatting>
  <conditionalFormatting sqref="AI337:AK337 AM337:AN337">
    <cfRule type="expression" dxfId="604" priority="3953">
      <formula>#REF!&gt;AI337</formula>
    </cfRule>
    <cfRule type="expression" dxfId="603" priority="3952">
      <formula>#REF!&lt;AI337</formula>
    </cfRule>
    <cfRule type="expression" priority="3951">
      <formula>#REF!</formula>
    </cfRule>
  </conditionalFormatting>
  <conditionalFormatting sqref="AI529:AM529">
    <cfRule type="expression" dxfId="602" priority="269">
      <formula>AI528&gt;AI529</formula>
    </cfRule>
    <cfRule type="expression" dxfId="601" priority="268">
      <formula>AI528&lt;AI529</formula>
    </cfRule>
  </conditionalFormatting>
  <conditionalFormatting sqref="AI530:AO530">
    <cfRule type="expression" dxfId="600" priority="294">
      <formula>AND(AI531="",AI530&lt;TODAY())</formula>
    </cfRule>
    <cfRule type="expression" dxfId="599" priority="293">
      <formula>AI531&gt;0</formula>
    </cfRule>
  </conditionalFormatting>
  <conditionalFormatting sqref="AI530:AT530">
    <cfRule type="expression" dxfId="598" priority="287">
      <formula>ISBLANK(AI530)</formula>
    </cfRule>
  </conditionalFormatting>
  <conditionalFormatting sqref="AJ326">
    <cfRule type="expression" priority="4473">
      <formula>#REF!</formula>
    </cfRule>
    <cfRule type="expression" dxfId="597" priority="4474">
      <formula>#REF!&lt;AJ326</formula>
    </cfRule>
    <cfRule type="expression" dxfId="596" priority="4475">
      <formula>#REF!&gt;AJ326</formula>
    </cfRule>
  </conditionalFormatting>
  <conditionalFormatting sqref="AJ480 AN480 AP480:AQ480">
    <cfRule type="expression" dxfId="595" priority="1025">
      <formula>AJ479&gt;AJ480</formula>
    </cfRule>
  </conditionalFormatting>
  <conditionalFormatting sqref="AJ480 AN480">
    <cfRule type="expression" priority="1022">
      <formula>AJ479</formula>
    </cfRule>
  </conditionalFormatting>
  <conditionalFormatting sqref="AJ308:AK308">
    <cfRule type="expression" dxfId="594" priority="4861">
      <formula>AJ307&gt;AJ308</formula>
    </cfRule>
    <cfRule type="expression" dxfId="593" priority="4860">
      <formula>AJ307&lt;AJ308</formula>
    </cfRule>
    <cfRule type="expression" priority="4859">
      <formula>AJ307</formula>
    </cfRule>
  </conditionalFormatting>
  <conditionalFormatting sqref="AJ336:AK336 AN336 AT336">
    <cfRule type="expression" dxfId="592" priority="4023">
      <formula>AND(AJ335="",AJ336&lt;TODAY())</formula>
    </cfRule>
  </conditionalFormatting>
  <conditionalFormatting sqref="AJ336:AK336 AN336">
    <cfRule type="expression" dxfId="591" priority="4005">
      <formula>ISBLANK(AJ336)</formula>
    </cfRule>
  </conditionalFormatting>
  <conditionalFormatting sqref="AJ348:AK348 AJ352:AK352">
    <cfRule type="expression" priority="3913">
      <formula>AJ347</formula>
    </cfRule>
    <cfRule type="expression" dxfId="590" priority="3915">
      <formula>AJ347&gt;AJ348</formula>
    </cfRule>
    <cfRule type="expression" dxfId="589" priority="3914">
      <formula>AJ347&lt;AJ348</formula>
    </cfRule>
  </conditionalFormatting>
  <conditionalFormatting sqref="AJ412:AK412 AN412">
    <cfRule type="expression" dxfId="588" priority="2073">
      <formula>AND(AJ413="",AJ412&lt;TODAY())</formula>
    </cfRule>
    <cfRule type="expression" dxfId="587" priority="2072">
      <formula>AJ413&gt;0</formula>
    </cfRule>
  </conditionalFormatting>
  <conditionalFormatting sqref="AJ423:AK423">
    <cfRule type="expression" dxfId="586" priority="1938">
      <formula>AJ424&gt;0</formula>
    </cfRule>
    <cfRule type="expression" dxfId="585" priority="1939">
      <formula>AND(AJ424="",AJ423&lt;TODAY())</formula>
    </cfRule>
  </conditionalFormatting>
  <conditionalFormatting sqref="AJ426:AK426 AG430:AI430">
    <cfRule type="expression" dxfId="584" priority="1966">
      <formula>AG425&gt;AG426</formula>
    </cfRule>
  </conditionalFormatting>
  <conditionalFormatting sqref="AJ426:AK426">
    <cfRule type="expression" dxfId="583" priority="1965">
      <formula>AJ425&lt;AJ426</formula>
    </cfRule>
    <cfRule type="expression" priority="1964">
      <formula>AJ425</formula>
    </cfRule>
  </conditionalFormatting>
  <conditionalFormatting sqref="AJ443:AK443">
    <cfRule type="expression" dxfId="582" priority="1345">
      <formula>AJ442&gt;AJ443</formula>
    </cfRule>
    <cfRule type="expression" dxfId="581" priority="1344">
      <formula>AJ442&lt;AJ443</formula>
    </cfRule>
  </conditionalFormatting>
  <conditionalFormatting sqref="AJ445:AK445">
    <cfRule type="expression" dxfId="580" priority="1325">
      <formula>AJ444&lt;AJ445</formula>
    </cfRule>
    <cfRule type="expression" dxfId="579" priority="1326">
      <formula>AJ444&gt;AJ445</formula>
    </cfRule>
  </conditionalFormatting>
  <conditionalFormatting sqref="AJ469:AK469">
    <cfRule type="expression" dxfId="578" priority="1230">
      <formula>AJ468&gt;AJ469</formula>
    </cfRule>
  </conditionalFormatting>
  <conditionalFormatting sqref="AJ473:AK473">
    <cfRule type="expression" dxfId="577" priority="1219">
      <formula>AJ472&gt;AJ473</formula>
    </cfRule>
  </conditionalFormatting>
  <conditionalFormatting sqref="AJ475:AK475">
    <cfRule type="expression" dxfId="576" priority="1215">
      <formula>AJ474&gt;AJ475</formula>
    </cfRule>
  </conditionalFormatting>
  <conditionalFormatting sqref="AJ481:AK481">
    <cfRule type="expression" dxfId="575" priority="1673">
      <formula>AND(AJ482="",AJ481&lt;TODAY())</formula>
    </cfRule>
    <cfRule type="expression" dxfId="574" priority="1672">
      <formula>AJ482&gt;0</formula>
    </cfRule>
  </conditionalFormatting>
  <conditionalFormatting sqref="AJ525:AK525">
    <cfRule type="expression" dxfId="573" priority="286">
      <formula>AJ524&gt;AJ525</formula>
    </cfRule>
  </conditionalFormatting>
  <conditionalFormatting sqref="AJ557:AK557">
    <cfRule type="expression" dxfId="572" priority="61">
      <formula>AJ556&gt;AJ557</formula>
    </cfRule>
    <cfRule type="expression" dxfId="571" priority="60">
      <formula>AJ556&lt;AJ557</formula>
    </cfRule>
  </conditionalFormatting>
  <conditionalFormatting sqref="AJ354:AM354">
    <cfRule type="expression" dxfId="570" priority="3589">
      <formula>AJ353&lt;AJ354</formula>
    </cfRule>
    <cfRule type="expression" priority="3588">
      <formula>AJ353</formula>
    </cfRule>
    <cfRule type="expression" dxfId="569" priority="3590">
      <formula>AJ353&gt;AJ354</formula>
    </cfRule>
  </conditionalFormatting>
  <conditionalFormatting sqref="AJ425:AM425 AR426">
    <cfRule type="expression" dxfId="568" priority="1971">
      <formula>AJ426&gt;0</formula>
    </cfRule>
    <cfRule type="expression" dxfId="567" priority="1972">
      <formula>AND(AJ426="",AJ425&lt;TODAY())</formula>
    </cfRule>
  </conditionalFormatting>
  <conditionalFormatting sqref="AJ425:AM425">
    <cfRule type="expression" dxfId="566" priority="1952">
      <formula>ISBLANK(AJ425)</formula>
    </cfRule>
  </conditionalFormatting>
  <conditionalFormatting sqref="AJ482:AM482 AO482:AT482">
    <cfRule type="expression" dxfId="565" priority="1005">
      <formula>AJ481&gt;AJ482</formula>
    </cfRule>
  </conditionalFormatting>
  <conditionalFormatting sqref="AJ501:AM501">
    <cfRule type="expression" dxfId="564" priority="1057">
      <formula>AJ500&lt;AJ501</formula>
    </cfRule>
    <cfRule type="expression" dxfId="563" priority="1058">
      <formula>AJ500&gt;AJ501</formula>
    </cfRule>
  </conditionalFormatting>
  <conditionalFormatting sqref="AJ463:AN463 AJ465:AN465 AE467:AK467">
    <cfRule type="expression" dxfId="562" priority="1236">
      <formula>AE462&gt;AE463</formula>
    </cfRule>
  </conditionalFormatting>
  <conditionalFormatting sqref="AJ446:AQ446">
    <cfRule type="expression" dxfId="561" priority="1598">
      <formula>ISBLANK(AJ446)</formula>
    </cfRule>
  </conditionalFormatting>
  <conditionalFormatting sqref="AJ335:AR335">
    <cfRule type="expression" priority="3957">
      <formula>AJ336</formula>
    </cfRule>
    <cfRule type="expression" dxfId="560" priority="3958">
      <formula>AJ336&lt;AJ335</formula>
    </cfRule>
    <cfRule type="expression" dxfId="559" priority="3959">
      <formula>AJ336&gt;AJ335</formula>
    </cfRule>
    <cfRule type="expression" priority="3960">
      <formula>AJ342</formula>
    </cfRule>
    <cfRule type="expression" dxfId="558" priority="3961">
      <formula>AJ342&lt;AJ335</formula>
    </cfRule>
    <cfRule type="expression" dxfId="557" priority="3962">
      <formula>AJ342&gt;AJ335</formula>
    </cfRule>
  </conditionalFormatting>
  <conditionalFormatting sqref="AJ428:AS428 AG357:AR357 AE372:AQ372 AE501:AI501 AE424:AS424 AO262:AQ262 AO264:AQ264 AO266:AQ266 AJ297:AQ297 AO319:AQ319 AE346 AE383:AQ383 AE398:AQ398">
    <cfRule type="expression" dxfId="556" priority="3877">
      <formula>AE261&lt;AE262</formula>
    </cfRule>
  </conditionalFormatting>
  <conditionalFormatting sqref="AJ452:AT452">
    <cfRule type="expression" dxfId="555" priority="1299">
      <formula>AJ451&gt;AJ452</formula>
    </cfRule>
  </conditionalFormatting>
  <conditionalFormatting sqref="AJ454:AT454">
    <cfRule type="expression" dxfId="554" priority="1285">
      <formula>AJ453&gt;AJ454</formula>
    </cfRule>
  </conditionalFormatting>
  <conditionalFormatting sqref="AJ477:AT477">
    <cfRule type="expression" dxfId="553" priority="1137">
      <formula>ISBLANK(AJ477)</formula>
    </cfRule>
    <cfRule type="expression" dxfId="552" priority="1164">
      <formula>AJ478&gt;0</formula>
    </cfRule>
    <cfRule type="expression" dxfId="551" priority="1165">
      <formula>AND(AJ478="",AJ477&lt;TODAY())</formula>
    </cfRule>
  </conditionalFormatting>
  <conditionalFormatting sqref="AJ478:AT478">
    <cfRule type="expression" dxfId="550" priority="1047">
      <formula>AJ477&gt;AJ478</formula>
    </cfRule>
    <cfRule type="expression" priority="1045">
      <formula>AJ477</formula>
    </cfRule>
    <cfRule type="expression" dxfId="549" priority="1046">
      <formula>AJ477&lt;AJ478</formula>
    </cfRule>
  </conditionalFormatting>
  <conditionalFormatting sqref="AJ525:AT525">
    <cfRule type="expression" priority="172">
      <formula>AJ524</formula>
    </cfRule>
    <cfRule type="expression" dxfId="548" priority="171">
      <formula>AJ524&lt;AJ525</formula>
    </cfRule>
  </conditionalFormatting>
  <conditionalFormatting sqref="AK339">
    <cfRule type="expression" dxfId="547" priority="4035">
      <formula>AK338&lt;AK339</formula>
    </cfRule>
    <cfRule type="expression" priority="4034">
      <formula>AK338</formula>
    </cfRule>
    <cfRule type="expression" priority="4031">
      <formula>AK344</formula>
    </cfRule>
    <cfRule type="expression" dxfId="546" priority="4030">
      <formula>AK351&gt;AK339</formula>
    </cfRule>
    <cfRule type="expression" priority="4029">
      <formula>AK351</formula>
    </cfRule>
    <cfRule type="expression" dxfId="545" priority="4028">
      <formula>AK351&lt;AK339</formula>
    </cfRule>
    <cfRule type="expression" dxfId="544" priority="4033">
      <formula>AK344&gt;AK339</formula>
    </cfRule>
    <cfRule type="expression" dxfId="543" priority="4027">
      <formula>AK344&gt;AK339</formula>
    </cfRule>
    <cfRule type="expression" dxfId="542" priority="4026">
      <formula>AK344&lt;AK339</formula>
    </cfRule>
    <cfRule type="expression" dxfId="541" priority="4032">
      <formula>AK344&lt;AK339</formula>
    </cfRule>
    <cfRule type="expression" dxfId="540" priority="4036">
      <formula>AK338&gt;AK339</formula>
    </cfRule>
  </conditionalFormatting>
  <conditionalFormatting sqref="AK370">
    <cfRule type="expression" dxfId="539" priority="9361">
      <formula>AK410&gt;AK370</formula>
    </cfRule>
    <cfRule type="expression" dxfId="538" priority="9362">
      <formula>AK410&lt;AK370</formula>
    </cfRule>
    <cfRule type="expression" dxfId="537" priority="9359">
      <formula>AK410&lt;AK370</formula>
    </cfRule>
    <cfRule type="expression" priority="9365">
      <formula>AK389</formula>
    </cfRule>
    <cfRule type="expression" dxfId="536" priority="9364">
      <formula>AK389&lt;AK370</formula>
    </cfRule>
    <cfRule type="expression" dxfId="535" priority="9363">
      <formula>AK410&gt;AK370</formula>
    </cfRule>
    <cfRule type="expression" priority="9360">
      <formula>AK410</formula>
    </cfRule>
    <cfRule type="expression" dxfId="534" priority="9366">
      <formula>AK389&gt;AK370</formula>
    </cfRule>
  </conditionalFormatting>
  <conditionalFormatting sqref="AK302:AT302 AK306:AT306 AL415:AT415 AN445:AT445 AE458">
    <cfRule type="expression" dxfId="533" priority="1261">
      <formula>AE301&gt;AE302</formula>
    </cfRule>
    <cfRule type="expression" dxfId="532" priority="1260">
      <formula>AE301&lt;AE302</formula>
    </cfRule>
  </conditionalFormatting>
  <conditionalFormatting sqref="AL226">
    <cfRule type="expression" dxfId="531" priority="5688">
      <formula>AK227&gt;0</formula>
    </cfRule>
    <cfRule type="expression" dxfId="530" priority="5689">
      <formula>AND(AK227="",AL226&lt;TODAY())</formula>
    </cfRule>
  </conditionalFormatting>
  <conditionalFormatting sqref="AL298 AN298:AT298">
    <cfRule type="expression" dxfId="529" priority="4907">
      <formula>AND(AL308="",AL298&lt;TODAY())</formula>
    </cfRule>
    <cfRule type="expression" dxfId="528" priority="4906">
      <formula>AL308&gt;0</formula>
    </cfRule>
  </conditionalFormatting>
  <conditionalFormatting sqref="AL298">
    <cfRule type="expression" dxfId="527" priority="4905">
      <formula>ISBLANK(AL298)</formula>
    </cfRule>
  </conditionalFormatting>
  <conditionalFormatting sqref="AL298:AL299">
    <cfRule type="expression" priority="4893">
      <formula>#REF!</formula>
    </cfRule>
    <cfRule type="expression" dxfId="526" priority="4894">
      <formula>#REF!&lt;AL298</formula>
    </cfRule>
  </conditionalFormatting>
  <conditionalFormatting sqref="AL302">
    <cfRule type="expression" dxfId="525" priority="4855">
      <formula>#REF!&gt;AL302</formula>
    </cfRule>
    <cfRule type="expression" dxfId="524" priority="4854">
      <formula>#REF!&lt;AL302</formula>
    </cfRule>
    <cfRule type="expression" priority="4853">
      <formula>#REF!</formula>
    </cfRule>
  </conditionalFormatting>
  <conditionalFormatting sqref="AL316">
    <cfRule type="expression" dxfId="523" priority="4777">
      <formula>AM317&gt;0</formula>
    </cfRule>
    <cfRule type="expression" dxfId="522" priority="4778">
      <formula>AND(AM317="",AL316&lt;TODAY())</formula>
    </cfRule>
  </conditionalFormatting>
  <conditionalFormatting sqref="AL326">
    <cfRule type="expression" dxfId="521" priority="4478">
      <formula>#REF!&gt;AL326</formula>
    </cfRule>
    <cfRule type="expression" dxfId="520" priority="4477">
      <formula>#REF!&lt;AL326</formula>
    </cfRule>
    <cfRule type="expression" priority="4476">
      <formula>#REF!</formula>
    </cfRule>
  </conditionalFormatting>
  <conditionalFormatting sqref="AL424">
    <cfRule type="expression" dxfId="519" priority="1837">
      <formula>#REF!&lt;AL424</formula>
    </cfRule>
    <cfRule type="expression" dxfId="518" priority="1836">
      <formula>#REF!&gt;AL424</formula>
    </cfRule>
    <cfRule type="expression" priority="1835">
      <formula>#REF!</formula>
    </cfRule>
  </conditionalFormatting>
  <conditionalFormatting sqref="AL441">
    <cfRule type="expression" priority="1479">
      <formula>#REF!</formula>
    </cfRule>
    <cfRule type="expression" dxfId="517" priority="1481">
      <formula>#REF!&lt;AL441</formula>
    </cfRule>
    <cfRule type="expression" dxfId="516" priority="1480">
      <formula>#REF!&gt;AL441</formula>
    </cfRule>
    <cfRule type="expression" dxfId="515" priority="1482">
      <formula>#REF!&gt;AL441</formula>
    </cfRule>
  </conditionalFormatting>
  <conditionalFormatting sqref="AL482">
    <cfRule type="expression" dxfId="514" priority="986">
      <formula>#REF!&lt;AL482</formula>
    </cfRule>
    <cfRule type="expression" dxfId="513" priority="985">
      <formula>#REF!&gt;AL482</formula>
    </cfRule>
    <cfRule type="expression" dxfId="512" priority="984">
      <formula>AL481&gt;AL482</formula>
    </cfRule>
    <cfRule type="expression" dxfId="511" priority="983">
      <formula>#REF!&lt;AL482</formula>
    </cfRule>
    <cfRule type="expression" dxfId="510" priority="982">
      <formula>#REF!&gt;AL482</formula>
    </cfRule>
    <cfRule type="expression" priority="981">
      <formula>#REF!</formula>
    </cfRule>
  </conditionalFormatting>
  <conditionalFormatting sqref="AL301:AM301">
    <cfRule type="expression" dxfId="509" priority="4878">
      <formula>#REF!&gt;AL301</formula>
    </cfRule>
    <cfRule type="expression" priority="4866">
      <formula>#REF!</formula>
    </cfRule>
    <cfRule type="expression" dxfId="508" priority="4877">
      <formula>#REF!&lt;AL301</formula>
    </cfRule>
  </conditionalFormatting>
  <conditionalFormatting sqref="AL303:AM307">
    <cfRule type="expression" dxfId="507" priority="4849">
      <formula>#REF!&gt;AL303</formula>
    </cfRule>
    <cfRule type="expression" dxfId="506" priority="4848">
      <formula>#REF!&lt;AL303</formula>
    </cfRule>
    <cfRule type="expression" priority="4844">
      <formula>#REF!</formula>
    </cfRule>
  </conditionalFormatting>
  <conditionalFormatting sqref="AL311:AM311">
    <cfRule type="expression" dxfId="505" priority="4518">
      <formula>#REF!&gt;AL311</formula>
    </cfRule>
    <cfRule type="expression" priority="4516">
      <formula>#REF!</formula>
    </cfRule>
    <cfRule type="expression" dxfId="504" priority="4517">
      <formula>#REF!&lt;AL311</formula>
    </cfRule>
  </conditionalFormatting>
  <conditionalFormatting sqref="AL317:AM317">
    <cfRule type="expression" dxfId="503" priority="4776">
      <formula>AK316&gt;AL317</formula>
    </cfRule>
    <cfRule type="expression" dxfId="502" priority="4775">
      <formula>AK316&lt;AL317</formula>
    </cfRule>
    <cfRule type="expression" priority="4774">
      <formula>AK316</formula>
    </cfRule>
  </conditionalFormatting>
  <conditionalFormatting sqref="AL354:AM354 AO354:AT354">
    <cfRule type="expression" dxfId="501" priority="3593">
      <formula>AL350&gt;AL354</formula>
    </cfRule>
    <cfRule type="expression" priority="3594">
      <formula>AL349</formula>
    </cfRule>
    <cfRule type="expression" dxfId="500" priority="3595">
      <formula>AL349&gt;AL354</formula>
    </cfRule>
    <cfRule type="expression" dxfId="499" priority="3592">
      <formula>AL350&lt;AL354</formula>
    </cfRule>
    <cfRule type="expression" dxfId="498" priority="3596">
      <formula>AL349&lt;AL354</formula>
    </cfRule>
    <cfRule type="expression" priority="3591">
      <formula>AL350</formula>
    </cfRule>
  </conditionalFormatting>
  <conditionalFormatting sqref="AL418:AM418">
    <cfRule type="expression" priority="2060">
      <formula>#REF!</formula>
    </cfRule>
    <cfRule type="expression" dxfId="497" priority="2066">
      <formula>ISBLANK(AL418)</formula>
    </cfRule>
  </conditionalFormatting>
  <conditionalFormatting sqref="AL423:AM423">
    <cfRule type="expression" dxfId="496" priority="1903">
      <formula>AND(AL424="",AL423&lt;TODAY())</formula>
    </cfRule>
    <cfRule type="expression" dxfId="495" priority="1901">
      <formula>ISBLANK(AL423)</formula>
    </cfRule>
    <cfRule type="expression" dxfId="494" priority="1904">
      <formula>ISBLANK(AL423)</formula>
    </cfRule>
    <cfRule type="expression" dxfId="493" priority="1905">
      <formula>AL424&gt;0</formula>
    </cfRule>
    <cfRule type="expression" dxfId="492" priority="1906">
      <formula>AND(AL424="",AL423&lt;TODAY())</formula>
    </cfRule>
    <cfRule type="expression" dxfId="491" priority="1907">
      <formula>AL417&gt;0</formula>
    </cfRule>
    <cfRule type="expression" dxfId="490" priority="1908">
      <formula>AND(AL417="",AL423&lt;TODAY())</formula>
    </cfRule>
    <cfRule type="expression" dxfId="489" priority="1902">
      <formula>AL424&gt;0</formula>
    </cfRule>
  </conditionalFormatting>
  <conditionalFormatting sqref="AL425:AM425 AO425:AS425 AR426">
    <cfRule type="expression" dxfId="488" priority="1988">
      <formula>AND(AL419="",AL425&lt;TODAY())</formula>
    </cfRule>
  </conditionalFormatting>
  <conditionalFormatting sqref="AL425:AM425">
    <cfRule type="expression" dxfId="487" priority="1923">
      <formula>AND(AL426="",AL425&lt;TODAY())</formula>
    </cfRule>
    <cfRule type="expression" dxfId="486" priority="1922">
      <formula>AL426&gt;0</formula>
    </cfRule>
    <cfRule type="expression" dxfId="485" priority="1921">
      <formula>ISBLANK(AL425)</formula>
    </cfRule>
  </conditionalFormatting>
  <conditionalFormatting sqref="AL426:AM426 AM427:AM428">
    <cfRule type="expression" priority="1877">
      <formula>#REF!</formula>
    </cfRule>
  </conditionalFormatting>
  <conditionalFormatting sqref="AL440:AM440">
    <cfRule type="expression" dxfId="484" priority="1593">
      <formula>#REF!&gt;AL440</formula>
    </cfRule>
    <cfRule type="expression" dxfId="483" priority="1594">
      <formula>#REF!&lt;AL440</formula>
    </cfRule>
  </conditionalFormatting>
  <conditionalFormatting sqref="AL440:AM442 AL446:AM446 AM444">
    <cfRule type="expression" dxfId="482" priority="1601">
      <formula>#REF!&gt;AL440</formula>
    </cfRule>
  </conditionalFormatting>
  <conditionalFormatting sqref="AL440:AM442 AM444 AL446:AM446 AL448:AM449">
    <cfRule type="expression" dxfId="481" priority="1602">
      <formula>#REF!&lt;AL440</formula>
    </cfRule>
  </conditionalFormatting>
  <conditionalFormatting sqref="AL440:AM443">
    <cfRule type="expression" priority="1343">
      <formula>#REF!</formula>
    </cfRule>
  </conditionalFormatting>
  <conditionalFormatting sqref="AL442:AM443">
    <cfRule type="expression" dxfId="480" priority="1349">
      <formula>#REF!&gt;AL442</formula>
    </cfRule>
    <cfRule type="expression" dxfId="479" priority="1350">
      <formula>#REF!&lt;AL442</formula>
    </cfRule>
  </conditionalFormatting>
  <conditionalFormatting sqref="AL445:AM445">
    <cfRule type="expression" dxfId="478" priority="1332">
      <formula>#REF!&gt;AL445</formula>
    </cfRule>
    <cfRule type="expression" dxfId="477" priority="1333">
      <formula>#REF!&lt;AL445</formula>
    </cfRule>
  </conditionalFormatting>
  <conditionalFormatting sqref="AL445:AM449">
    <cfRule type="expression" priority="1310">
      <formula>#REF!</formula>
    </cfRule>
  </conditionalFormatting>
  <conditionalFormatting sqref="AL446:AM446">
    <cfRule type="expression" dxfId="476" priority="1579">
      <formula>#REF!&gt;AL446</formula>
    </cfRule>
    <cfRule type="expression" dxfId="475" priority="1580">
      <formula>#REF!&lt;AL446</formula>
    </cfRule>
  </conditionalFormatting>
  <conditionalFormatting sqref="AL447:AM448">
    <cfRule type="expression" dxfId="474" priority="1313">
      <formula>#REF!&gt;AL447</formula>
    </cfRule>
    <cfRule type="expression" dxfId="473" priority="1314">
      <formula>#REF!&lt;AL447</formula>
    </cfRule>
  </conditionalFormatting>
  <conditionalFormatting sqref="AL448:AM448">
    <cfRule type="expression" dxfId="472" priority="1504">
      <formula>#REF!&lt;AL448</formula>
    </cfRule>
    <cfRule type="expression" dxfId="471" priority="1508">
      <formula>AL449&gt;0</formula>
    </cfRule>
    <cfRule type="expression" dxfId="470" priority="1505">
      <formula>ISBLANK(AL448)</formula>
    </cfRule>
    <cfRule type="expression" dxfId="469" priority="1509">
      <formula>AND(AL449="",AL448&lt;TODAY())</formula>
    </cfRule>
    <cfRule type="expression" dxfId="468" priority="1507">
      <formula>AND(AL449="",AL448&lt;TODAY())</formula>
    </cfRule>
    <cfRule type="expression" dxfId="467" priority="1506">
      <formula>AL449&gt;0</formula>
    </cfRule>
    <cfRule type="expression" dxfId="466" priority="1503">
      <formula>#REF!&gt;AL448</formula>
    </cfRule>
  </conditionalFormatting>
  <conditionalFormatting sqref="AL451:AM451">
    <cfRule type="expression" dxfId="465" priority="1708">
      <formula>AL452&gt;0</formula>
    </cfRule>
    <cfRule type="expression" dxfId="464" priority="1707">
      <formula>ISBLANK(AL451)</formula>
    </cfRule>
    <cfRule type="expression" dxfId="463" priority="1652">
      <formula>AL452&gt;0</formula>
    </cfRule>
    <cfRule type="expression" dxfId="462" priority="1651">
      <formula>ISBLANK(AL451)</formula>
    </cfRule>
    <cfRule type="expression" dxfId="461" priority="1653">
      <formula>AND(AL452="",AL451&lt;TODAY())</formula>
    </cfRule>
    <cfRule type="expression" dxfId="460" priority="1709">
      <formula>AND(AL452="",AL451&lt;TODAY())</formula>
    </cfRule>
  </conditionalFormatting>
  <conditionalFormatting sqref="AL451:AM460">
    <cfRule type="expression" priority="1264">
      <formula>#REF!</formula>
    </cfRule>
  </conditionalFormatting>
  <conditionalFormatting sqref="AL452:AM452">
    <cfRule type="expression" dxfId="459" priority="1296">
      <formula>#REF!&lt;AL452</formula>
    </cfRule>
  </conditionalFormatting>
  <conditionalFormatting sqref="AL454:AM458 AE458:AI460">
    <cfRule type="expression" dxfId="458" priority="1267">
      <formula>#REF!&lt;AE454</formula>
    </cfRule>
  </conditionalFormatting>
  <conditionalFormatting sqref="AL459:AM459">
    <cfRule type="expression" dxfId="457" priority="1644">
      <formula>AND(AL460="",AL459&lt;TODAY())</formula>
    </cfRule>
    <cfRule type="expression" dxfId="456" priority="1643">
      <formula>AL460&gt;0</formula>
    </cfRule>
    <cfRule type="expression" dxfId="455" priority="1642">
      <formula>ISBLANK(AL459)</formula>
    </cfRule>
  </conditionalFormatting>
  <conditionalFormatting sqref="AL478:AM478 AO478 AQ478:AT478">
    <cfRule type="expression" dxfId="454" priority="1041">
      <formula>AL477&lt;AL478</formula>
    </cfRule>
  </conditionalFormatting>
  <conditionalFormatting sqref="AL478:AM478 AO478">
    <cfRule type="expression" dxfId="453" priority="1040">
      <formula>AL477&gt;AL478</formula>
    </cfRule>
  </conditionalFormatting>
  <conditionalFormatting sqref="AL478:AM478">
    <cfRule type="expression" dxfId="452" priority="1034">
      <formula>#REF!&gt;AL478</formula>
    </cfRule>
    <cfRule type="expression" dxfId="451" priority="1035">
      <formula>#REF!&lt;AL478</formula>
    </cfRule>
  </conditionalFormatting>
  <conditionalFormatting sqref="AL478:AM479">
    <cfRule type="expression" priority="1033">
      <formula>#REF!</formula>
    </cfRule>
    <cfRule type="expression" dxfId="450" priority="1038">
      <formula>#REF!&gt;AL478</formula>
    </cfRule>
    <cfRule type="expression" dxfId="449" priority="1039">
      <formula>#REF!&lt;AL478</formula>
    </cfRule>
  </conditionalFormatting>
  <conditionalFormatting sqref="AL481:AM482">
    <cfRule type="expression" dxfId="448" priority="1003">
      <formula>#REF!&gt;AL481</formula>
    </cfRule>
  </conditionalFormatting>
  <conditionalFormatting sqref="AL481:AM483">
    <cfRule type="expression" dxfId="447" priority="1004">
      <formula>#REF!&lt;AL481</formula>
    </cfRule>
  </conditionalFormatting>
  <conditionalFormatting sqref="AL481:AM485">
    <cfRule type="expression" priority="945">
      <formula>#REF!</formula>
    </cfRule>
  </conditionalFormatting>
  <conditionalFormatting sqref="AL482:AM482">
    <cfRule type="expression" dxfId="446" priority="999">
      <formula>AL481&gt;AL482</formula>
    </cfRule>
    <cfRule type="expression" dxfId="445" priority="998">
      <formula>#REF!&lt;AL482</formula>
    </cfRule>
    <cfRule type="expression" dxfId="444" priority="997">
      <formula>#REF!&gt;AL482</formula>
    </cfRule>
  </conditionalFormatting>
  <conditionalFormatting sqref="AL484:AM484">
    <cfRule type="expression" dxfId="443" priority="949">
      <formula>#REF!&lt;AL484</formula>
    </cfRule>
    <cfRule type="expression" dxfId="442" priority="952">
      <formula>#REF!&gt;AL484</formula>
    </cfRule>
  </conditionalFormatting>
  <conditionalFormatting sqref="AL484:AM485">
    <cfRule type="expression" dxfId="441" priority="953">
      <formula>#REF!&lt;AL484</formula>
    </cfRule>
  </conditionalFormatting>
  <conditionalFormatting sqref="AL505:AM514 AE508:AF508 AH508:AI508 AO508:AT514 AE509:AI511 AE512:AF512 AE514:AF514 AE507:AI507 AO507:AR507 AE505:AI505 AO505:AQ505 AH506:AI506 AE506:AF506 AH512:AI512 AH514:AI514 AO506:AT506 AE513:AI513">
    <cfRule type="expression" dxfId="440" priority="676">
      <formula>#REF!&gt;AE505</formula>
    </cfRule>
  </conditionalFormatting>
  <conditionalFormatting sqref="AL505:AM514 AO508:AT514 AE509:AI511 AE513:AI513 AE506:AF506 AH506:AI506 AO506:AT506 AE508:AF508 AH508:AI508 AE512:AF512 AE514:AF514 AE505:AI505 AO505:AQ505 AE507:AI507 AO507:AR507 AH512:AI512 AH514:AI514">
    <cfRule type="expression" dxfId="439" priority="683">
      <formula>#REF!&lt;AE505</formula>
    </cfRule>
  </conditionalFormatting>
  <conditionalFormatting sqref="AL505:AM518 AO508:AT518">
    <cfRule type="expression" priority="410">
      <formula>#REF!</formula>
    </cfRule>
  </conditionalFormatting>
  <conditionalFormatting sqref="AL515:AM518 AO515:AT518 AE516:AF516 AE517:AI518 AH516:AI516 AE515:AI515">
    <cfRule type="expression" dxfId="438" priority="411">
      <formula>#REF!&gt;AE515</formula>
    </cfRule>
  </conditionalFormatting>
  <conditionalFormatting sqref="AL522:AM522 AL523">
    <cfRule type="expression" dxfId="437" priority="350">
      <formula>#REF!&lt;AL522</formula>
    </cfRule>
    <cfRule type="expression" dxfId="436" priority="351">
      <formula>ISBLANK(AL522)</formula>
    </cfRule>
    <cfRule type="expression" dxfId="435" priority="367">
      <formula>AL523&gt;0</formula>
    </cfRule>
    <cfRule type="expression" dxfId="434" priority="366">
      <formula>ISBLANK(AL522)</formula>
    </cfRule>
    <cfRule type="expression" dxfId="433" priority="365">
      <formula>#REF!&lt;AL522</formula>
    </cfRule>
    <cfRule type="expression" dxfId="432" priority="353">
      <formula>AND(AL523="",AL522&lt;TODAY())</formula>
    </cfRule>
    <cfRule type="expression" dxfId="431" priority="352">
      <formula>AL523&gt;0</formula>
    </cfRule>
    <cfRule type="expression" dxfId="430" priority="368">
      <formula>AND(AL523="",AL522&lt;TODAY())</formula>
    </cfRule>
  </conditionalFormatting>
  <conditionalFormatting sqref="AL525:AM527 AO525:AT527">
    <cfRule type="expression" priority="101">
      <formula>#REF!</formula>
    </cfRule>
  </conditionalFormatting>
  <conditionalFormatting sqref="AL526:AM527 AO526:AT527">
    <cfRule type="expression" dxfId="429" priority="102">
      <formula>#REF!&gt;AL526</formula>
    </cfRule>
    <cfRule type="expression" dxfId="428" priority="103">
      <formula>#REF!&lt;AL526</formula>
    </cfRule>
  </conditionalFormatting>
  <conditionalFormatting sqref="AL535:AM536">
    <cfRule type="expression" dxfId="427" priority="183">
      <formula>#REF!&lt;AL535</formula>
    </cfRule>
    <cfRule type="expression" dxfId="426" priority="182">
      <formula>#REF!&gt;AL535</formula>
    </cfRule>
  </conditionalFormatting>
  <conditionalFormatting sqref="AL535:AM548">
    <cfRule type="expression" priority="76">
      <formula>#REF!</formula>
    </cfRule>
  </conditionalFormatting>
  <conditionalFormatting sqref="AL541:AM541">
    <cfRule type="expression" dxfId="425" priority="43">
      <formula>ISBLANK(AL541)</formula>
    </cfRule>
    <cfRule type="expression" dxfId="424" priority="49">
      <formula>AND(AL542="",AL541&lt;TODAY())</formula>
    </cfRule>
    <cfRule type="expression" dxfId="423" priority="47">
      <formula>AL542&gt;0</formula>
    </cfRule>
    <cfRule type="expression" dxfId="422" priority="458">
      <formula>#REF!&lt;AL541</formula>
    </cfRule>
    <cfRule type="expression" dxfId="421" priority="457">
      <formula>#REF!&gt;AL541</formula>
    </cfRule>
  </conditionalFormatting>
  <conditionalFormatting sqref="AL543:AM543">
    <cfRule type="expression" dxfId="420" priority="45">
      <formula>AL544&gt;0</formula>
    </cfRule>
    <cfRule type="expression" dxfId="419" priority="44">
      <formula>ISBLANK(AL543)</formula>
    </cfRule>
    <cfRule type="expression" dxfId="418" priority="46">
      <formula>AND(AL544="",AL543&lt;TODAY())</formula>
    </cfRule>
  </conditionalFormatting>
  <conditionalFormatting sqref="AL544:AM544 AO544:AT544 AE246 AH246:AK246">
    <cfRule type="expression" dxfId="417" priority="5777">
      <formula>AE245&lt;AE246</formula>
    </cfRule>
  </conditionalFormatting>
  <conditionalFormatting sqref="AL418:AN418">
    <cfRule type="expression" dxfId="416" priority="2067">
      <formula>AL419&gt;0</formula>
    </cfRule>
    <cfRule type="expression" dxfId="415" priority="2068">
      <formula>AND(AL419="",AL418&lt;TODAY())</formula>
    </cfRule>
  </conditionalFormatting>
  <conditionalFormatting sqref="AL484:AO484 AQ484">
    <cfRule type="expression" dxfId="414" priority="955">
      <formula>AL483&gt;AL484</formula>
    </cfRule>
  </conditionalFormatting>
  <conditionalFormatting sqref="AL532:AO532">
    <cfRule type="expression" dxfId="413" priority="276">
      <formula>AND(AL533="",AL532&lt;TODAY())</formula>
    </cfRule>
    <cfRule type="expression" dxfId="412" priority="275">
      <formula>AL533&gt;0</formula>
    </cfRule>
  </conditionalFormatting>
  <conditionalFormatting sqref="AL372:AQ372 AT372">
    <cfRule type="expression" dxfId="411" priority="3109">
      <formula>AL364&gt;AL372</formula>
    </cfRule>
    <cfRule type="expression" dxfId="410" priority="3107">
      <formula>AL365&gt;AL372</formula>
    </cfRule>
    <cfRule type="expression" priority="3106">
      <formula>AL365</formula>
    </cfRule>
    <cfRule type="expression" dxfId="409" priority="3105">
      <formula>AL365&lt;AL372</formula>
    </cfRule>
    <cfRule type="expression" dxfId="408" priority="3110">
      <formula>AL364&lt;AL372</formula>
    </cfRule>
    <cfRule type="expression" priority="3108">
      <formula>AL364</formula>
    </cfRule>
  </conditionalFormatting>
  <conditionalFormatting sqref="AL352:AR352 AT352">
    <cfRule type="expression" priority="3597">
      <formula>AL348</formula>
    </cfRule>
    <cfRule type="expression" dxfId="407" priority="3599">
      <formula>AL348&gt;AL352</formula>
    </cfRule>
    <cfRule type="expression" dxfId="406" priority="3598">
      <formula>AL348&lt;AL352</formula>
    </cfRule>
  </conditionalFormatting>
  <conditionalFormatting sqref="AL357:AR357 AT357">
    <cfRule type="expression" dxfId="405" priority="3571">
      <formula>AL352&gt;AL357</formula>
    </cfRule>
    <cfRule type="expression" priority="3570">
      <formula>AL352</formula>
    </cfRule>
    <cfRule type="expression" dxfId="404" priority="3567">
      <formula>AL352&lt;AL357</formula>
    </cfRule>
  </conditionalFormatting>
  <conditionalFormatting sqref="AL370:AR370 AT370">
    <cfRule type="expression" priority="3126">
      <formula>AL363</formula>
    </cfRule>
    <cfRule type="expression" dxfId="403" priority="3125">
      <formula>AL363&lt;AL370</formula>
    </cfRule>
    <cfRule type="expression" dxfId="402" priority="3127">
      <formula>AL363&gt;AL370</formula>
    </cfRule>
  </conditionalFormatting>
  <conditionalFormatting sqref="AL378:AR378">
    <cfRule type="expression" dxfId="401" priority="3067">
      <formula>AL367&lt;AL378</formula>
    </cfRule>
    <cfRule type="expression" priority="3068">
      <formula>AL367</formula>
    </cfRule>
    <cfRule type="expression" dxfId="400" priority="3069">
      <formula>AL367&gt;AL378</formula>
    </cfRule>
  </conditionalFormatting>
  <conditionalFormatting sqref="AL352:AT352 AG350:AI350">
    <cfRule type="expression" dxfId="399" priority="3905">
      <formula>AG345&gt;AG350</formula>
    </cfRule>
  </conditionalFormatting>
  <conditionalFormatting sqref="AL370:AT370">
    <cfRule type="expression" priority="3131">
      <formula>AL362</formula>
    </cfRule>
    <cfRule type="expression" dxfId="398" priority="3133">
      <formula>AL362&lt;AL370</formula>
    </cfRule>
    <cfRule type="expression" dxfId="397" priority="3132">
      <formula>AL362&gt;AL370</formula>
    </cfRule>
  </conditionalFormatting>
  <conditionalFormatting sqref="AL378:AT378">
    <cfRule type="expression" priority="3070">
      <formula>AL366</formula>
    </cfRule>
    <cfRule type="expression" dxfId="396" priority="3071">
      <formula>AL366&gt;AL378</formula>
    </cfRule>
    <cfRule type="expression" dxfId="395" priority="3072">
      <formula>AL366&lt;AL378</formula>
    </cfRule>
  </conditionalFormatting>
  <conditionalFormatting sqref="AL462:AT465">
    <cfRule type="expression" dxfId="394" priority="1234">
      <formula>#REF!&lt;AL462</formula>
    </cfRule>
    <cfRule type="expression" dxfId="393" priority="1233">
      <formula>#REF!&gt;AL462</formula>
    </cfRule>
  </conditionalFormatting>
  <conditionalFormatting sqref="AL462:AT475">
    <cfRule type="expression" priority="1225">
      <formula>#REF!</formula>
    </cfRule>
  </conditionalFormatting>
  <conditionalFormatting sqref="AL466:AT475">
    <cfRule type="expression" dxfId="392" priority="1095">
      <formula>#REF!&gt;AL466</formula>
    </cfRule>
  </conditionalFormatting>
  <conditionalFormatting sqref="AL482:AT482">
    <cfRule type="expression" dxfId="391" priority="1000">
      <formula>AL481&lt;AL482</formula>
    </cfRule>
  </conditionalFormatting>
  <conditionalFormatting sqref="AL523:AT523 AE521:AT521 AE523:AJ523">
    <cfRule type="expression" dxfId="390" priority="376">
      <formula>AE520&lt;AE521</formula>
    </cfRule>
  </conditionalFormatting>
  <conditionalFormatting sqref="AL525:AT525 AE521:AT521 AE523:AJ523 AL523:AT523">
    <cfRule type="expression" dxfId="389" priority="381">
      <formula>AE520&gt;AE521</formula>
    </cfRule>
  </conditionalFormatting>
  <conditionalFormatting sqref="AL532:AT532">
    <cfRule type="expression" dxfId="388" priority="168">
      <formula>ISBLANK(AL532)</formula>
    </cfRule>
  </conditionalFormatting>
  <conditionalFormatting sqref="AM219">
    <cfRule type="expression" dxfId="387" priority="5805">
      <formula>AND(AM220="",AM219&lt;TODAY())</formula>
    </cfRule>
    <cfRule type="expression" dxfId="386" priority="5804">
      <formula>AM220&gt;0</formula>
    </cfRule>
    <cfRule type="expression" dxfId="385" priority="5803">
      <formula>ISBLANK(AM219)</formula>
    </cfRule>
  </conditionalFormatting>
  <conditionalFormatting sqref="AM299">
    <cfRule type="expression" dxfId="384" priority="4889">
      <formula>AM298&gt;AM299</formula>
    </cfRule>
    <cfRule type="expression" priority="4887">
      <formula>AM298</formula>
    </cfRule>
    <cfRule type="expression" dxfId="383" priority="4888">
      <formula>AM298&lt;AM299</formula>
    </cfRule>
  </conditionalFormatting>
  <conditionalFormatting sqref="AM313">
    <cfRule type="expression" dxfId="382" priority="4511">
      <formula>AL312&lt;AM313</formula>
    </cfRule>
    <cfRule type="expression" priority="4510">
      <formula>AL312</formula>
    </cfRule>
    <cfRule type="expression" dxfId="381" priority="4512">
      <formula>AL312&gt;AM313</formula>
    </cfRule>
  </conditionalFormatting>
  <conditionalFormatting sqref="AM316">
    <cfRule type="expression" dxfId="380" priority="4780">
      <formula>AND(#REF!="",AM316&lt;TODAY())</formula>
    </cfRule>
    <cfRule type="expression" dxfId="379" priority="4779">
      <formula>#REF!&gt;0</formula>
    </cfRule>
  </conditionalFormatting>
  <conditionalFormatting sqref="AM376">
    <cfRule type="expression" priority="9325">
      <formula>AM409</formula>
    </cfRule>
    <cfRule type="expression" dxfId="378" priority="9327">
      <formula>AM409&gt;AM376</formula>
    </cfRule>
    <cfRule type="expression" dxfId="377" priority="9326">
      <formula>AM409&lt;AM376</formula>
    </cfRule>
  </conditionalFormatting>
  <conditionalFormatting sqref="AM378">
    <cfRule type="expression" dxfId="376" priority="3169">
      <formula>AM366&gt;AM378</formula>
    </cfRule>
    <cfRule type="expression" dxfId="375" priority="3171">
      <formula>AM365&gt;AM378</formula>
    </cfRule>
    <cfRule type="expression" dxfId="374" priority="3172">
      <formula>AM365&lt;AM378</formula>
    </cfRule>
    <cfRule type="expression" priority="3170">
      <formula>AM365</formula>
    </cfRule>
  </conditionalFormatting>
  <conditionalFormatting sqref="AM427:AM428 AL426:AM426">
    <cfRule type="expression" dxfId="373" priority="1879">
      <formula>#REF!&lt;AL426</formula>
    </cfRule>
  </conditionalFormatting>
  <conditionalFormatting sqref="AM427:AM428">
    <cfRule type="expression" dxfId="372" priority="1878">
      <formula>#REF!&gt;AM427</formula>
    </cfRule>
  </conditionalFormatting>
  <conditionalFormatting sqref="AM430 AL431:AM434 AG430:AI430 AE431:AI434">
    <cfRule type="expression" dxfId="371" priority="1868">
      <formula>#REF!&lt;AE430</formula>
    </cfRule>
  </conditionalFormatting>
  <conditionalFormatting sqref="AM430 AL431:AM434">
    <cfRule type="expression" priority="1866">
      <formula>#REF!</formula>
    </cfRule>
  </conditionalFormatting>
  <conditionalFormatting sqref="AM444 AO451:AT451">
    <cfRule type="expression" dxfId="370" priority="1557">
      <formula>AND(AM445="",AM444&lt;TODAY())</formula>
    </cfRule>
    <cfRule type="expression" dxfId="369" priority="1555">
      <formula>ISBLANK(AM444)</formula>
    </cfRule>
    <cfRule type="expression" dxfId="368" priority="1556">
      <formula>AM445&gt;0</formula>
    </cfRule>
  </conditionalFormatting>
  <conditionalFormatting sqref="AM444">
    <cfRule type="expression" priority="1540">
      <formula>#REF!</formula>
    </cfRule>
    <cfRule type="expression" dxfId="367" priority="1553">
      <formula>#REF!&gt;AM444</formula>
    </cfRule>
    <cfRule type="expression" dxfId="366" priority="1554">
      <formula>#REF!&lt;AM444</formula>
    </cfRule>
  </conditionalFormatting>
  <conditionalFormatting sqref="AM458">
    <cfRule type="expression" dxfId="365" priority="1255">
      <formula>#REF!&gt;AM458</formula>
    </cfRule>
    <cfRule type="expression" dxfId="364" priority="1258">
      <formula>AM457&lt;AM458</formula>
    </cfRule>
    <cfRule type="expression" dxfId="363" priority="1256">
      <formula>#REF!&lt;AM458</formula>
    </cfRule>
  </conditionalFormatting>
  <conditionalFormatting sqref="AM506">
    <cfRule type="expression" dxfId="362" priority="626">
      <formula>AM505&lt;AM506</formula>
    </cfRule>
    <cfRule type="expression" dxfId="361" priority="627">
      <formula>AM505&gt;AM506</formula>
    </cfRule>
  </conditionalFormatting>
  <conditionalFormatting sqref="AM529">
    <cfRule type="expression" dxfId="360" priority="223">
      <formula>AM528&gt;AM529</formula>
    </cfRule>
    <cfRule type="expression" dxfId="359" priority="266">
      <formula>#REF!&lt;AM529</formula>
    </cfRule>
    <cfRule type="expression" dxfId="358" priority="222">
      <formula>#REF!&lt;AM529</formula>
    </cfRule>
    <cfRule type="expression" dxfId="357" priority="267">
      <formula>AM528&gt;AM529</formula>
    </cfRule>
    <cfRule type="expression" dxfId="356" priority="220">
      <formula>AM528&lt;AM529</formula>
    </cfRule>
  </conditionalFormatting>
  <conditionalFormatting sqref="AM552">
    <cfRule type="expression" dxfId="355" priority="10878">
      <formula>AND(AM554="",AM552&lt;TODAY())</formula>
    </cfRule>
    <cfRule type="expression" dxfId="354" priority="10861">
      <formula>AM554&gt;0</formula>
    </cfRule>
  </conditionalFormatting>
  <conditionalFormatting sqref="AM319:AN319">
    <cfRule type="expression" priority="4501">
      <formula>#REF!</formula>
    </cfRule>
    <cfRule type="expression" dxfId="353" priority="4502">
      <formula>#REF!&gt;AM319</formula>
    </cfRule>
    <cfRule type="expression" dxfId="352" priority="4503">
      <formula>#REF!&lt;AM319</formula>
    </cfRule>
  </conditionalFormatting>
  <conditionalFormatting sqref="AM444:AN444 AI444:AK444">
    <cfRule type="expression" dxfId="351" priority="1558">
      <formula>ISBLANK(AI444)</formula>
    </cfRule>
  </conditionalFormatting>
  <conditionalFormatting sqref="AM458:AN458">
    <cfRule type="expression" dxfId="350" priority="1259">
      <formula>AM457&gt;AM458</formula>
    </cfRule>
  </conditionalFormatting>
  <conditionalFormatting sqref="AM529:AT529">
    <cfRule type="expression" dxfId="349" priority="231">
      <formula>AM528&lt;AM529</formula>
    </cfRule>
  </conditionalFormatting>
  <conditionalFormatting sqref="AN301">
    <cfRule type="expression" dxfId="348" priority="4882">
      <formula>AN309&gt;0</formula>
    </cfRule>
    <cfRule type="expression" dxfId="347" priority="4883">
      <formula>AND(AN309="",AN301&lt;TODAY())</formula>
    </cfRule>
  </conditionalFormatting>
  <conditionalFormatting sqref="AN354">
    <cfRule type="expression" dxfId="346" priority="3587">
      <formula>#REF!&lt;AN354</formula>
    </cfRule>
    <cfRule type="expression" dxfId="345" priority="3586">
      <formula>#REF!&gt;AN354</formula>
    </cfRule>
    <cfRule type="expression" priority="3585">
      <formula>#REF!</formula>
    </cfRule>
  </conditionalFormatting>
  <conditionalFormatting sqref="AN356">
    <cfRule type="expression" priority="8302">
      <formula>AN351</formula>
    </cfRule>
    <cfRule type="expression" dxfId="344" priority="8308">
      <formula>AN351&lt;AN356</formula>
    </cfRule>
    <cfRule type="expression" dxfId="343" priority="8311">
      <formula>AN350&gt;AN356</formula>
    </cfRule>
    <cfRule type="expression" dxfId="342" priority="8303">
      <formula>AN351&gt;AN356</formula>
    </cfRule>
    <cfRule type="expression" priority="8286">
      <formula>AN350</formula>
    </cfRule>
    <cfRule type="expression" dxfId="341" priority="8290">
      <formula>AN350&lt;AN356</formula>
    </cfRule>
  </conditionalFormatting>
  <conditionalFormatting sqref="AN426">
    <cfRule type="expression" dxfId="340" priority="1862">
      <formula>AN425&lt;AN426</formula>
    </cfRule>
    <cfRule type="expression" dxfId="339" priority="1863">
      <formula>AN425&gt;AN426</formula>
    </cfRule>
    <cfRule type="expression" priority="1861">
      <formula>AN425</formula>
    </cfRule>
  </conditionalFormatting>
  <conditionalFormatting sqref="AN441">
    <cfRule type="expression" dxfId="338" priority="1565">
      <formula>AN440&gt;AN441</formula>
    </cfRule>
  </conditionalFormatting>
  <conditionalFormatting sqref="AN456">
    <cfRule type="expression" dxfId="337" priority="1273">
      <formula>AN455&lt;AN456</formula>
    </cfRule>
  </conditionalFormatting>
  <conditionalFormatting sqref="AN498:AN499">
    <cfRule type="expression" priority="826">
      <formula>#REF!</formula>
    </cfRule>
    <cfRule type="expression" dxfId="336" priority="827">
      <formula>#REF!&gt;AN498</formula>
    </cfRule>
    <cfRule type="expression" dxfId="335" priority="828">
      <formula>#REF!&lt;AN498</formula>
    </cfRule>
  </conditionalFormatting>
  <conditionalFormatting sqref="AN555">
    <cfRule type="expression" dxfId="334" priority="63">
      <formula>AN554&lt;AN555</formula>
    </cfRule>
    <cfRule type="expression" dxfId="333" priority="64">
      <formula>AN554&gt;AN555</formula>
    </cfRule>
  </conditionalFormatting>
  <conditionalFormatting sqref="AN557">
    <cfRule type="expression" dxfId="332" priority="65">
      <formula>AN556&lt;AN557</formula>
    </cfRule>
    <cfRule type="expression" dxfId="331" priority="66">
      <formula>AN556&gt;AN557</formula>
    </cfRule>
  </conditionalFormatting>
  <conditionalFormatting sqref="AN482:AO482">
    <cfRule type="expression" dxfId="330" priority="994">
      <formula>AN481&gt;AN482</formula>
    </cfRule>
  </conditionalFormatting>
  <conditionalFormatting sqref="AN423:AQ423 AS423:AT423">
    <cfRule type="expression" dxfId="329" priority="1937">
      <formula>ISBLANK(AN423)</formula>
    </cfRule>
  </conditionalFormatting>
  <conditionalFormatting sqref="AN298:AT298 AJ321:AT321 AE418:AT418 AI448:AT448 AE226:AT226 AE314:AT314 AE316:AT316 AO334:AT334 AH336:AT336 AE349:AT349 AE351:AT351 AE353:AT353 AE468:AK468 AE416:AT416 AE412:AT412 AE421:AT421 AJ481:AK481 AT481 AF440:AT440 AE455:AT455 AE453:AT453 V208 AE294:AT294 AE318:AT318 AE356:AT356 AE358:AT358 AE360:AT360 AE362:AT362 AE442:AT442 AE457:AT457 AE462:AT462 AE464:AT464 AN481">
    <cfRule type="expression" dxfId="328" priority="5902">
      <formula>ISBLANK(V208)</formula>
    </cfRule>
  </conditionalFormatting>
  <conditionalFormatting sqref="AN299:AT299 AE348:AF348 AI348 AO424:AT424">
    <cfRule type="expression" priority="3888">
      <formula>#REF!</formula>
    </cfRule>
  </conditionalFormatting>
  <conditionalFormatting sqref="AN299:AT299 AO307:AT307 AE328:AT328 AE374 AO429:AS429">
    <cfRule type="expression" dxfId="327" priority="10528">
      <formula>#REF!&gt;AE299</formula>
    </cfRule>
  </conditionalFormatting>
  <conditionalFormatting sqref="AN338:AT338">
    <cfRule type="expression" dxfId="326" priority="3986">
      <formula>ISBLANK(AN338)</formula>
    </cfRule>
  </conditionalFormatting>
  <conditionalFormatting sqref="AN456:AT456">
    <cfRule type="expression" dxfId="325" priority="1274">
      <formula>AN455&gt;AN456</formula>
    </cfRule>
  </conditionalFormatting>
  <conditionalFormatting sqref="AN529:AT529">
    <cfRule type="expression" dxfId="324" priority="232">
      <formula>AN528&gt;AN529</formula>
    </cfRule>
  </conditionalFormatting>
  <conditionalFormatting sqref="AO478">
    <cfRule type="expression" dxfId="323" priority="1031">
      <formula>#REF!&gt;AO478</formula>
    </cfRule>
    <cfRule type="expression" dxfId="322" priority="1032">
      <formula>#REF!&lt;AO478</formula>
    </cfRule>
  </conditionalFormatting>
  <conditionalFormatting sqref="AO478:AO479">
    <cfRule type="expression" priority="1030">
      <formula>#REF!</formula>
    </cfRule>
    <cfRule type="expression" dxfId="321" priority="1036">
      <formula>#REF!&gt;AO478</formula>
    </cfRule>
    <cfRule type="expression" dxfId="320" priority="1037">
      <formula>#REF!&lt;AO478</formula>
    </cfRule>
  </conditionalFormatting>
  <conditionalFormatting sqref="AO481:AO482">
    <cfRule type="expression" dxfId="319" priority="995">
      <formula>#REF!&gt;AO481</formula>
    </cfRule>
  </conditionalFormatting>
  <conditionalFormatting sqref="AO481:AO483">
    <cfRule type="expression" dxfId="318" priority="996">
      <formula>#REF!&lt;AO481</formula>
    </cfRule>
  </conditionalFormatting>
  <conditionalFormatting sqref="AO481:AO484">
    <cfRule type="expression" priority="944">
      <formula>#REF!</formula>
    </cfRule>
  </conditionalFormatting>
  <conditionalFormatting sqref="AO482">
    <cfRule type="expression" dxfId="317" priority="993">
      <formula>#REF!&lt;AO482</formula>
    </cfRule>
    <cfRule type="expression" dxfId="316" priority="992">
      <formula>#REF!&gt;AO482</formula>
    </cfRule>
  </conditionalFormatting>
  <conditionalFormatting sqref="AO483 AO485">
    <cfRule type="expression" dxfId="315" priority="1148">
      <formula>#REF!&lt;AO483</formula>
    </cfRule>
  </conditionalFormatting>
  <conditionalFormatting sqref="AO484">
    <cfRule type="expression" dxfId="314" priority="941">
      <formula>AO483&lt;AO484</formula>
    </cfRule>
    <cfRule type="expression" dxfId="313" priority="943">
      <formula>#REF!&lt;AO484</formula>
    </cfRule>
    <cfRule type="expression" dxfId="312" priority="947">
      <formula>#REF!&gt;AO484</formula>
    </cfRule>
    <cfRule type="expression" dxfId="311" priority="948">
      <formula>#REF!&lt;AO484</formula>
    </cfRule>
    <cfRule type="expression" dxfId="310" priority="942">
      <formula>AO483&gt;AO484</formula>
    </cfRule>
  </conditionalFormatting>
  <conditionalFormatting sqref="AO501">
    <cfRule type="expression" dxfId="309" priority="839">
      <formula>AO500&lt;AO501</formula>
    </cfRule>
    <cfRule type="expression" dxfId="308" priority="1056">
      <formula>AO500&gt;AO501</formula>
    </cfRule>
    <cfRule type="expression" dxfId="307" priority="840">
      <formula>AO500&gt;AO501</formula>
    </cfRule>
    <cfRule type="expression" dxfId="306" priority="1055">
      <formula>AO500&lt;AO501</formula>
    </cfRule>
  </conditionalFormatting>
  <conditionalFormatting sqref="AO522">
    <cfRule type="expression" dxfId="305" priority="346">
      <formula>#REF!&lt;AO522</formula>
    </cfRule>
    <cfRule type="expression" dxfId="304" priority="347">
      <formula>ISBLANK(AO522)</formula>
    </cfRule>
    <cfRule type="expression" dxfId="303" priority="343">
      <formula>ISBLANK(AO522)</formula>
    </cfRule>
    <cfRule type="expression" dxfId="302" priority="348">
      <formula>AO523&gt;0</formula>
    </cfRule>
    <cfRule type="expression" dxfId="301" priority="349">
      <formula>AND(AO523="",AO522&lt;TODAY())</formula>
    </cfRule>
    <cfRule type="expression" dxfId="300" priority="361">
      <formula>#REF!&lt;AO522</formula>
    </cfRule>
    <cfRule type="expression" dxfId="299" priority="363">
      <formula>AO523&gt;0</formula>
    </cfRule>
    <cfRule type="expression" dxfId="298" priority="362">
      <formula>ISBLANK(AO522)</formula>
    </cfRule>
    <cfRule type="expression" dxfId="297" priority="342">
      <formula>#REF!&lt;AO522</formula>
    </cfRule>
    <cfRule type="expression" dxfId="296" priority="344">
      <formula>AO523&gt;0</formula>
    </cfRule>
    <cfRule type="expression" dxfId="295" priority="345">
      <formula>AND(AO523="",AO522&lt;TODAY())</formula>
    </cfRule>
    <cfRule type="expression" dxfId="294" priority="364">
      <formula>AND(AO523="",AO522&lt;TODAY())</formula>
    </cfRule>
  </conditionalFormatting>
  <conditionalFormatting sqref="AO541">
    <cfRule type="expression" dxfId="293" priority="38">
      <formula>#REF!&lt;AO541</formula>
    </cfRule>
    <cfRule type="expression" dxfId="292" priority="37">
      <formula>#REF!&gt;AO541</formula>
    </cfRule>
    <cfRule type="expression" dxfId="291" priority="35">
      <formula>AND(AO542="",AO541&lt;TODAY())</formula>
    </cfRule>
    <cfRule type="expression" dxfId="290" priority="33">
      <formula>AO542&gt;0</formula>
    </cfRule>
    <cfRule type="expression" dxfId="289" priority="29">
      <formula>ISBLANK(AO541)</formula>
    </cfRule>
  </conditionalFormatting>
  <conditionalFormatting sqref="AO543">
    <cfRule type="expression" dxfId="288" priority="32">
      <formula>AND(AO544="",AO543&lt;TODAY())</formula>
    </cfRule>
    <cfRule type="expression" dxfId="287" priority="31">
      <formula>AO544&gt;0</formula>
    </cfRule>
    <cfRule type="expression" dxfId="286" priority="30">
      <formula>ISBLANK(AO543)</formula>
    </cfRule>
  </conditionalFormatting>
  <conditionalFormatting sqref="AO592">
    <cfRule type="expression" dxfId="285" priority="10697">
      <formula>AND(AP593="",AO592&lt;TODAY())</formula>
    </cfRule>
    <cfRule type="expression" dxfId="284" priority="10694">
      <formula>AP593&gt;0</formula>
    </cfRule>
  </conditionalFormatting>
  <conditionalFormatting sqref="AO226:AQ226">
    <cfRule type="expression" dxfId="283" priority="5666">
      <formula>AN227&gt;0</formula>
    </cfRule>
    <cfRule type="expression" dxfId="282" priority="5667">
      <formula>AND(AN227="",AO226&lt;TODAY())</formula>
    </cfRule>
  </conditionalFormatting>
  <conditionalFormatting sqref="AO262:AQ262 AO264:AQ264 AO266:AQ266 AJ297:AQ297 AO319:AQ319 AE346 AG357:AR357 AE372:AQ372 AE383:AQ383 AE398:AQ398 AE424:AS424 AJ428:AS428 AE501:AI501">
    <cfRule type="expression" dxfId="281" priority="3878">
      <formula>AE261&gt;AE262</formula>
    </cfRule>
  </conditionalFormatting>
  <conditionalFormatting sqref="AO262:AQ262 AO264:AQ264 AO266:AQ266 AJ297:AQ297 AO319:AQ319 AE346 AG357:AR357 AE372:AQ372 AE383:AQ383 AE398:AQ398 AE424:AS424 AJ428:AS428">
    <cfRule type="expression" priority="3876">
      <formula>AE261</formula>
    </cfRule>
  </conditionalFormatting>
  <conditionalFormatting sqref="AO326:AQ326">
    <cfRule type="expression" dxfId="280" priority="4472">
      <formula>#REF!&gt;AO326</formula>
    </cfRule>
    <cfRule type="expression" priority="4470">
      <formula>#REF!</formula>
    </cfRule>
    <cfRule type="expression" dxfId="279" priority="4471">
      <formula>#REF!&lt;AO326</formula>
    </cfRule>
  </conditionalFormatting>
  <conditionalFormatting sqref="AO347:AQ347">
    <cfRule type="expression" dxfId="278" priority="3824">
      <formula>AND(AO348="",AO347&lt;TODAY())</formula>
    </cfRule>
    <cfRule type="expression" dxfId="277" priority="3827">
      <formula>AND(AO352="",AO347&lt;TODAY())</formula>
    </cfRule>
    <cfRule type="expression" dxfId="276" priority="3826">
      <formula>AO352&gt;0</formula>
    </cfRule>
    <cfRule type="expression" dxfId="275" priority="3825">
      <formula>ISBLANK(AO347)</formula>
    </cfRule>
    <cfRule type="expression" dxfId="274" priority="3823">
      <formula>AO348&gt;0</formula>
    </cfRule>
    <cfRule type="expression" dxfId="273" priority="3822">
      <formula>ISBLANK(AO347)</formula>
    </cfRule>
  </conditionalFormatting>
  <conditionalFormatting sqref="AO423:AQ423 AS423">
    <cfRule type="expression" dxfId="272" priority="1899">
      <formula>AO417&gt;0</formula>
    </cfRule>
    <cfRule type="expression" dxfId="271" priority="1936">
      <formula>AND(AO426="",AO423&lt;TODAY())</formula>
    </cfRule>
    <cfRule type="expression" dxfId="270" priority="1900">
      <formula>AND(AO417="",AO423&lt;TODAY())</formula>
    </cfRule>
    <cfRule type="expression" dxfId="269" priority="1934">
      <formula>ISBLANK(AO423)</formula>
    </cfRule>
    <cfRule type="expression" dxfId="268" priority="1935">
      <formula>AO426&gt;0</formula>
    </cfRule>
  </conditionalFormatting>
  <conditionalFormatting sqref="AO426:AQ426 AL426:AM426 AO424:AT424">
    <cfRule type="expression" dxfId="267" priority="1948">
      <formula>#REF!&gt;AL424</formula>
    </cfRule>
  </conditionalFormatting>
  <conditionalFormatting sqref="AO426:AQ426">
    <cfRule type="expression" dxfId="266" priority="1947">
      <formula>#REF!&lt;AO426</formula>
    </cfRule>
  </conditionalFormatting>
  <conditionalFormatting sqref="AO426:AQ434">
    <cfRule type="expression" priority="1946">
      <formula>#REF!</formula>
    </cfRule>
  </conditionalFormatting>
  <conditionalFormatting sqref="AO440:AQ440 AR440:AS442 AO442:AQ442">
    <cfRule type="expression" priority="1588">
      <formula>#REF!</formula>
    </cfRule>
    <cfRule type="expression" dxfId="265" priority="1591">
      <formula>#REF!&gt;AO440</formula>
    </cfRule>
    <cfRule type="expression" dxfId="264" priority="1590">
      <formula>#REF!&lt;AO440</formula>
    </cfRule>
    <cfRule type="expression" dxfId="263" priority="1592">
      <formula>#REF!&lt;AO440</formula>
    </cfRule>
  </conditionalFormatting>
  <conditionalFormatting sqref="AO446:AQ446 AL448:AM449 AE449:AI449">
    <cfRule type="expression" dxfId="262" priority="1569">
      <formula>#REF!&gt;AE446</formula>
    </cfRule>
  </conditionalFormatting>
  <conditionalFormatting sqref="AO446:AQ446 AO448:AS448">
    <cfRule type="expression" dxfId="261" priority="1535">
      <formula>#REF!&lt;AO446</formula>
    </cfRule>
    <cfRule type="expression" dxfId="260" priority="1534">
      <formula>#REF!&gt;AO446</formula>
    </cfRule>
    <cfRule type="expression" dxfId="259" priority="1533">
      <formula>#REF!&lt;AO446</formula>
    </cfRule>
    <cfRule type="expression" dxfId="258" priority="1532">
      <formula>#REF!&gt;AO446</formula>
    </cfRule>
    <cfRule type="expression" dxfId="257" priority="1537">
      <formula>#REF!&lt;AO446</formula>
    </cfRule>
    <cfRule type="expression" dxfId="256" priority="1539">
      <formula>AND(AO447="",AO446&lt;TODAY())</formula>
    </cfRule>
    <cfRule type="expression" dxfId="255" priority="1538">
      <formula>AO447&gt;0</formula>
    </cfRule>
    <cfRule type="expression" dxfId="254" priority="1578">
      <formula>AND(AO447="",AO446&lt;TODAY())</formula>
    </cfRule>
    <cfRule type="expression" dxfId="253" priority="1576">
      <formula>#REF!&lt;AO446</formula>
    </cfRule>
    <cfRule type="expression" dxfId="252" priority="1575">
      <formula>#REF!&gt;AO446</formula>
    </cfRule>
    <cfRule type="expression" dxfId="251" priority="1577">
      <formula>AO447&gt;0</formula>
    </cfRule>
    <cfRule type="expression" dxfId="250" priority="1574">
      <formula>#REF!&lt;AO446</formula>
    </cfRule>
    <cfRule type="expression" priority="1465">
      <formula>#REF!</formula>
    </cfRule>
    <cfRule type="expression" dxfId="249" priority="1573">
      <formula>#REF!&gt;AO446</formula>
    </cfRule>
    <cfRule type="expression" dxfId="248" priority="1536">
      <formula>#REF!&gt;AO446</formula>
    </cfRule>
  </conditionalFormatting>
  <conditionalFormatting sqref="AO446:AQ446">
    <cfRule type="expression" dxfId="247" priority="1570">
      <formula>#REF!&lt;AO446</formula>
    </cfRule>
  </conditionalFormatting>
  <conditionalFormatting sqref="AO484:AQ484">
    <cfRule type="expression" dxfId="246" priority="951">
      <formula>#REF!&gt;AO484</formula>
    </cfRule>
  </conditionalFormatting>
  <conditionalFormatting sqref="AO505:AQ505 AO506:AT506 AO507:AR507">
    <cfRule type="expression" priority="675">
      <formula>#REF!</formula>
    </cfRule>
  </conditionalFormatting>
  <conditionalFormatting sqref="AO423:AS423">
    <cfRule type="expression" dxfId="245" priority="1888">
      <formula>ISBLANK(AO423)</formula>
    </cfRule>
    <cfRule type="expression" dxfId="244" priority="1894">
      <formula>AO417&gt;0</formula>
    </cfRule>
    <cfRule type="expression" dxfId="243" priority="1895">
      <formula>AND(AO417="",AO423&lt;TODAY())</formula>
    </cfRule>
  </conditionalFormatting>
  <conditionalFormatting sqref="AO425:AS425 AR426 AL425:AM425">
    <cfRule type="expression" dxfId="242" priority="1987">
      <formula>AL419&gt;0</formula>
    </cfRule>
  </conditionalFormatting>
  <conditionalFormatting sqref="AO425:AS425 AR426">
    <cfRule type="expression" dxfId="241" priority="1886">
      <formula>AND(AO426="",AO425&lt;TODAY())</formula>
    </cfRule>
    <cfRule type="expression" dxfId="240" priority="1887">
      <formula>ISBLANK(AO425)</formula>
    </cfRule>
    <cfRule type="expression" dxfId="239" priority="1920">
      <formula>ISBLANK(AO425)</formula>
    </cfRule>
    <cfRule type="expression" dxfId="238" priority="1919">
      <formula>AND(AO426="",AO425&lt;TODAY())</formula>
    </cfRule>
    <cfRule type="expression" dxfId="237" priority="1918">
      <formula>AO426&gt;0</formula>
    </cfRule>
    <cfRule type="expression" dxfId="236" priority="1986">
      <formula>AND(AO419="",AO425&lt;TODAY())</formula>
    </cfRule>
  </conditionalFormatting>
  <conditionalFormatting sqref="AO451:AS451">
    <cfRule type="expression" dxfId="235" priority="1701">
      <formula>#REF!&lt;AO451</formula>
    </cfRule>
    <cfRule type="expression" dxfId="234" priority="1700">
      <formula>#REF!&gt;AO451</formula>
    </cfRule>
    <cfRule type="expression" priority="1699">
      <formula>#REF!</formula>
    </cfRule>
    <cfRule type="expression" dxfId="233" priority="1650">
      <formula>AND(AO452="",AO451&lt;TODAY())</formula>
    </cfRule>
    <cfRule type="expression" dxfId="232" priority="1648">
      <formula>ISBLANK(AO451)</formula>
    </cfRule>
    <cfRule type="expression" dxfId="231" priority="1647">
      <formula>AND(AO452="",AO451&lt;TODAY())</formula>
    </cfRule>
    <cfRule type="expression" dxfId="230" priority="1754">
      <formula>#REF!&gt;AO451</formula>
    </cfRule>
    <cfRule type="expression" dxfId="229" priority="1755">
      <formula>#REF!&lt;AO451</formula>
    </cfRule>
    <cfRule type="expression" dxfId="228" priority="1646">
      <formula>AO452&gt;0</formula>
    </cfRule>
    <cfRule type="expression" dxfId="227" priority="1649">
      <formula>AO452&gt;0</formula>
    </cfRule>
    <cfRule type="expression" dxfId="226" priority="1645">
      <formula>ISBLANK(AO451)</formula>
    </cfRule>
  </conditionalFormatting>
  <conditionalFormatting sqref="AO485:AS485">
    <cfRule type="expression" dxfId="225" priority="1146">
      <formula>#REF!&lt;AO485</formula>
    </cfRule>
  </conditionalFormatting>
  <conditionalFormatting sqref="AO218:AT218 AM246:AT246 AE284 AI284:AK284 AE288:AT288 AI291:AT291 AE293:AT293 AE295:AT295 AE302:AT302 AE304:AT304 AE306:AT306 AN313:AT313 AE315:AT315 AN317:AT317 AE324:AT324 AG330:AT330 AE333:AT333 AL341:AT341 AE343:AT343 AG346:AT346 AJ350:AT350 AO354:AT354 AI359:AT359 AI361:AT361 AL363:AT363 AI365:AT365 AE367:AT368 AE370:AT370 AE374:AT374 AN376:AT376 AE378:AT378 AL380:AT380 AL385:AT385 AE387:AT387 AL389:AT389 AE391:AT391 AE393:AT393 AE396:AT396 AE400:AT400 AE402:AT402 AE404:AT404 AE407:AT407 AE409:AT409 AH411:AR411 AK413:AT413 AI415:AT415 AE422:AT422 AM430:AT430 AE432:AT432 AE434:AT434 AE437:AT437 AE439:AT439 AH441:AT441 AE443:AT443 AE445:AT445 AE449:AT449 AE452:AT452 AE454:AT454 AE456:AT456 AE493:AT493 AE495:AT495 AE497:AT497 AE501:AT501 AE503:AT503 AE563:AT563 AE565:AT565 AE567:AT567 AE569:AT569 AE573:AT573 AE575:AT575 AE581:AT581 AE583:AT583 AE587:AT587 AE595:AT595 AE597:AT597 AE599:AT599 AE601:AT601 AE603:AT603 AE605:AT605 AE607:AT607 AE611:AI611 AL611:AT611 AE613:AT613 AE617:AT617 AE619:AT619 AE621:AT621 AE623:AT623 AE625:AT625 AE627:AT627 AE630:AT630 AE632:AT632 AE636:AT636 AE638:AT638 AE640:AT640">
    <cfRule type="expression" priority="5373">
      <formula>AE217</formula>
    </cfRule>
  </conditionalFormatting>
  <conditionalFormatting sqref="AO218:AT218 AM246:AT246 AE284 AI284:AK284 AE288:AT288 AI291:AT291 AE293:AT293 AE295:AT295 AE304:AT304 AN313:AT313 AE315:AT315 AN317:AT317 AE324:AT324 AG330:AT330 AE333:AT333 AL341:AT341 AE343:AT343 AG346:AT346 AJ350:AT350 AO354:AT354 AI359:AT359 AI361:AT361 AL363:AT363 AI365:AT365 AE367:AT368 AE370:AT370 AE374:AT374 AN376:AT376 AE378:AT378 AL380:AT380 AL385:AT385 AE387:AT387 AL389:AT389 AE391:AT391 AE393:AT393 AE396:AT396 AE400:AT400 AE402:AT402 AE404:AT404 AE407:AT407 AE409:AT409 AK413:AT413 AE422:AT422 AM430:AT430 AE432:AT432 AE434:AT434 AE437:AT437 AE439:AT439 AE449:AT449 AO463:AT463 AO465:AT465 AR484:AT484 AE493:AT493 AE495:AT495 AE497:AT497 AL501:AT501 AE503:AT503 AO555:AT555 AE563:AT563 AE565:AT565 AE567:AT567 AE569:AT569 AE573:AT573 AE575:AT575 AE581:AT581 AE583:AT583 AE587:AT587 AE595:AT595 AE597:AT597 AE599:AT599 AE601:AT601 AE603:AT603 AE605:AT605 AE607:AT607 AE611:AI611 AL611:AT611 AE613:AT613 AE617:AT617 AE619:AT619 AE621:AT621 AE623:AT623 AE625:AT625 AE627:AT627 AE630:AT630 AE632:AT632 AE636:AT636 AE638:AT638 AE640:AT640 AT426 AL447:AT447 AO458:AT458 AO441:AT441 AE463:AI463 AL467:AT467 AF469:AI469 AL469:AT469 AE473:AI473 AL473:AT473 AE475:AI475 AL475:AT475 AO411:AR411">
    <cfRule type="expression" dxfId="224" priority="5375">
      <formula>AE217&gt;AE218</formula>
    </cfRule>
  </conditionalFormatting>
  <conditionalFormatting sqref="AO298:AT298 AO301:AT306 AE350 AO427:AT428 AO430:AT434 AO440:AT442 AO448:AT449 AE468:AI468 AF468:AI474 AL483:AM483 AL485:AM485 AL466:AT475 AE474:AH474 AE451:AI451 AL451:AM451 AO451:AT451 AL459:AM460 AE462:AI465 AE475:AI475 AE562:AI563 AL562:AM563 AO562:AT563 AT481:AT482 AE453:AI453 AL453:AM453 AJ322:AT322">
    <cfRule type="expression" dxfId="223" priority="3869">
      <formula>#REF!&lt;AE298</formula>
    </cfRule>
  </conditionalFormatting>
  <conditionalFormatting sqref="AO298:AT298 AO301:AT307 AE328:AT328 AE410:AE411 AO417:AT418 AE462:AI465 AE468:AI468 AF468:AI474 AE474:AH474 AE475:AI475 AR481:AT481">
    <cfRule type="expression" priority="2092">
      <formula>#REF!</formula>
    </cfRule>
  </conditionalFormatting>
  <conditionalFormatting sqref="AO311:AT311 AL339:AS339 AE370 AE376:AF376">
    <cfRule type="expression" dxfId="222" priority="9080">
      <formula>#REF!&gt;AE311</formula>
    </cfRule>
    <cfRule type="expression" priority="9078">
      <formula>#REF!</formula>
    </cfRule>
  </conditionalFormatting>
  <conditionalFormatting sqref="AO417:AT418 AE418:AI418 AL418:AM418">
    <cfRule type="expression" dxfId="221" priority="2121">
      <formula>#REF!&gt;AE417</formula>
    </cfRule>
  </conditionalFormatting>
  <conditionalFormatting sqref="AO423:AT423">
    <cfRule type="expression" dxfId="220" priority="1998">
      <formula>ISBLANK(AO423)</formula>
    </cfRule>
  </conditionalFormatting>
  <conditionalFormatting sqref="AO432:AT432 AF346 AL348:AT348 AO453:AS453">
    <cfRule type="expression" dxfId="219" priority="3871">
      <formula>#REF!&gt;AF346</formula>
    </cfRule>
  </conditionalFormatting>
  <conditionalFormatting sqref="AO440:AT443">
    <cfRule type="expression" priority="1346">
      <formula>#REF!</formula>
    </cfRule>
  </conditionalFormatting>
  <conditionalFormatting sqref="AO443:AT443">
    <cfRule type="expression" dxfId="218" priority="1348">
      <formula>#REF!&lt;AO443</formula>
    </cfRule>
    <cfRule type="expression" dxfId="217" priority="1347">
      <formula>#REF!&gt;AO443</formula>
    </cfRule>
  </conditionalFormatting>
  <conditionalFormatting sqref="AO445:AT445">
    <cfRule type="expression" dxfId="216" priority="1330">
      <formula>#REF!&gt;AO445</formula>
    </cfRule>
    <cfRule type="expression" dxfId="215" priority="1331">
      <formula>#REF!&lt;AO445</formula>
    </cfRule>
    <cfRule type="expression" priority="1320">
      <formula>#REF!</formula>
    </cfRule>
  </conditionalFormatting>
  <conditionalFormatting sqref="AO447:AT447">
    <cfRule type="expression" dxfId="214" priority="1311">
      <formula>#REF!&gt;AO447</formula>
    </cfRule>
    <cfRule type="expression" dxfId="213" priority="1312">
      <formula>#REF!&lt;AO447</formula>
    </cfRule>
  </conditionalFormatting>
  <conditionalFormatting sqref="AO447:AT449">
    <cfRule type="expression" priority="1308">
      <formula>#REF!</formula>
    </cfRule>
  </conditionalFormatting>
  <conditionalFormatting sqref="AO484:AT485">
    <cfRule type="expression" priority="946">
      <formula>#REF!</formula>
    </cfRule>
  </conditionalFormatting>
  <conditionalFormatting sqref="AO485:AT485 AO483:AT483">
    <cfRule type="expression" dxfId="212" priority="1147">
      <formula>#REF!&gt;AO483</formula>
    </cfRule>
  </conditionalFormatting>
  <conditionalFormatting sqref="AO520:AT521 AE520:AI523 AL520:AM523 AO522:AR522 AO523:AT523 AP524 AP528:AP532 AT528:AT532 AL529:AM529 AO529 AQ529:AS529 AE530:AH530 AL531:AM531 AO531 AQ531:AS531 AE532:AH532 AL533:AM533 AO533:AT533">
    <cfRule type="expression" priority="377">
      <formula>#REF!</formula>
    </cfRule>
  </conditionalFormatting>
  <conditionalFormatting sqref="AO520:AT521 AE520:AI523 AL520:AM523 AO523:AT523 AO522:AR522 AE530:AH530 AE532:AH532 AI529 AL529:AM529 AP528:AP532 AT528:AT532 AL531:AM531 AO531 AQ531:AS531 AO529 AQ529:AS529 AL525:AM525 AO525:AT525 AP524 AL533:AM533 AO533:AT533">
    <cfRule type="expression" dxfId="211" priority="378">
      <formula>#REF!&gt;AE520</formula>
    </cfRule>
  </conditionalFormatting>
  <conditionalFormatting sqref="AO520:AT521 AE520:AI523 AL520:AM523 AP524 AP528:AP532 AT528:AT532 AE530:AH530 AE532:AH532 AF533:AI533 AL533:AM533 AO533:AT533 AO523:AT523 AL525:AM525 AO525:AT525 AO522:AR522 AI529 AL529:AM529 AO529 AQ529:AS529 AL531:AM531 AO531 AQ531:AS531 AF528:AF529">
    <cfRule type="expression" dxfId="210" priority="387">
      <formula>#REF!&lt;AE520</formula>
    </cfRule>
  </conditionalFormatting>
  <conditionalFormatting sqref="AO535:AT536">
    <cfRule type="expression" dxfId="209" priority="180">
      <formula>#REF!&lt;AO535</formula>
    </cfRule>
    <cfRule type="expression" dxfId="208" priority="179">
      <formula>#REF!&gt;AO535</formula>
    </cfRule>
  </conditionalFormatting>
  <conditionalFormatting sqref="AO541:AT541">
    <cfRule type="expression" dxfId="207" priority="446">
      <formula>#REF!&lt;AO541</formula>
    </cfRule>
  </conditionalFormatting>
  <conditionalFormatting sqref="AO541:AT548">
    <cfRule type="expression" dxfId="206" priority="445">
      <formula>#REF!&gt;AO541</formula>
    </cfRule>
  </conditionalFormatting>
  <conditionalFormatting sqref="AO542:AT542 AE335">
    <cfRule type="expression" dxfId="205" priority="3955">
      <formula>AE334&lt;AE335</formula>
    </cfRule>
  </conditionalFormatting>
  <conditionalFormatting sqref="AO550:AT550">
    <cfRule type="expression" dxfId="204" priority="74">
      <formula>AND(AO551="",AO550&lt;TODAY())</formula>
    </cfRule>
  </conditionalFormatting>
  <conditionalFormatting sqref="AP483 AP592">
    <cfRule type="expression" dxfId="203" priority="10686">
      <formula>AND(#REF!="",AP483&lt;TODAY())</formula>
    </cfRule>
    <cfRule type="expression" dxfId="202" priority="10683">
      <formula>#REF!&gt;0</formula>
    </cfRule>
  </conditionalFormatting>
  <conditionalFormatting sqref="AP484">
    <cfRule type="expression" dxfId="201" priority="961">
      <formula>AQ483&gt;AP484</formula>
    </cfRule>
    <cfRule type="expression" priority="960">
      <formula>AQ483</formula>
    </cfRule>
    <cfRule type="expression" dxfId="200" priority="962">
      <formula>AQ483&lt;AP484</formula>
    </cfRule>
  </conditionalFormatting>
  <conditionalFormatting sqref="AP486">
    <cfRule type="expression" priority="895">
      <formula>#REF!</formula>
    </cfRule>
  </conditionalFormatting>
  <conditionalFormatting sqref="AP499">
    <cfRule type="expression" dxfId="199" priority="825">
      <formula>AP498&gt;AP499</formula>
    </cfRule>
    <cfRule type="expression" dxfId="198" priority="824">
      <formula>AP498&lt;AP499</formula>
    </cfRule>
  </conditionalFormatting>
  <conditionalFormatting sqref="AP524 AL525:AM525 AO525:AT525">
    <cfRule type="expression" dxfId="197" priority="379">
      <formula>#REF!&lt;AL524</formula>
    </cfRule>
  </conditionalFormatting>
  <conditionalFormatting sqref="AP550">
    <cfRule type="expression" dxfId="196" priority="73">
      <formula>AP551&gt;0</formula>
    </cfRule>
    <cfRule type="expression" dxfId="195" priority="72">
      <formula>ISBLANK(AP550)</formula>
    </cfRule>
  </conditionalFormatting>
  <conditionalFormatting sqref="AP480:AQ480 AJ480 AN480">
    <cfRule type="expression" dxfId="194" priority="1024">
      <formula>AJ479&lt;AJ480</formula>
    </cfRule>
  </conditionalFormatting>
  <conditionalFormatting sqref="AP480:AQ480">
    <cfRule type="expression" priority="1020">
      <formula>AP479</formula>
    </cfRule>
  </conditionalFormatting>
  <conditionalFormatting sqref="AP484:AQ484">
    <cfRule type="expression" dxfId="193" priority="959">
      <formula>#REF!&lt;AP484</formula>
    </cfRule>
  </conditionalFormatting>
  <conditionalFormatting sqref="AP459:AR459">
    <cfRule type="expression" dxfId="192" priority="10800">
      <formula>AQ460&gt;0</formula>
    </cfRule>
    <cfRule type="expression" dxfId="191" priority="10809">
      <formula>AND(AQ460="",AP459&lt;TODAY())</formula>
    </cfRule>
  </conditionalFormatting>
  <conditionalFormatting sqref="AP482:AS482">
    <cfRule type="expression" dxfId="190" priority="1009">
      <formula>#REF!&lt;AP482</formula>
    </cfRule>
  </conditionalFormatting>
  <conditionalFormatting sqref="AP482:AT482">
    <cfRule type="expression" dxfId="189" priority="1001">
      <formula>#REF!&gt;AP482</formula>
    </cfRule>
  </conditionalFormatting>
  <conditionalFormatting sqref="AP482:AT483">
    <cfRule type="expression" priority="970">
      <formula>#REF!</formula>
    </cfRule>
  </conditionalFormatting>
  <conditionalFormatting sqref="AQ480">
    <cfRule type="expression" priority="1018">
      <formula>#REF!</formula>
    </cfRule>
    <cfRule type="expression" dxfId="188" priority="1023">
      <formula>#REF!&gt;AQ480</formula>
    </cfRule>
    <cfRule type="expression" dxfId="187" priority="1026">
      <formula>#REF!&lt;AQ480</formula>
    </cfRule>
    <cfRule type="expression" dxfId="186" priority="1019">
      <formula>AQ479&lt;AQ480</formula>
    </cfRule>
    <cfRule type="expression" dxfId="185" priority="1021">
      <formula>AQ479&gt;AQ480</formula>
    </cfRule>
  </conditionalFormatting>
  <conditionalFormatting sqref="AQ482">
    <cfRule type="expression" dxfId="184" priority="977">
      <formula>#REF!&lt;AQ482</formula>
    </cfRule>
    <cfRule type="expression" dxfId="183" priority="978">
      <formula>AQ481&gt;AQ482</formula>
    </cfRule>
    <cfRule type="expression" dxfId="182" priority="976">
      <formula>#REF!&gt;AQ482</formula>
    </cfRule>
    <cfRule type="expression" dxfId="181" priority="979">
      <formula>#REF!&gt;AQ482</formula>
    </cfRule>
    <cfRule type="expression" dxfId="180" priority="980">
      <formula>#REF!&lt;AQ482</formula>
    </cfRule>
  </conditionalFormatting>
  <conditionalFormatting sqref="AQ501">
    <cfRule type="expression" dxfId="179" priority="838">
      <formula>AQ500&gt;AQ501</formula>
    </cfRule>
    <cfRule type="expression" dxfId="178" priority="837">
      <formula>AQ500&lt;AQ501</formula>
    </cfRule>
  </conditionalFormatting>
  <conditionalFormatting sqref="AQ522">
    <cfRule type="expression" dxfId="177" priority="323">
      <formula>ISBLANK(AQ522)</formula>
    </cfRule>
    <cfRule type="expression" dxfId="176" priority="322">
      <formula>#REF!&lt;AQ522</formula>
    </cfRule>
    <cfRule type="expression" dxfId="175" priority="341">
      <formula>AND(AQ523="",AQ522&lt;TODAY())</formula>
    </cfRule>
    <cfRule type="expression" dxfId="174" priority="340">
      <formula>AQ523&gt;0</formula>
    </cfRule>
    <cfRule type="expression" dxfId="173" priority="339">
      <formula>ISBLANK(AQ522)</formula>
    </cfRule>
    <cfRule type="expression" dxfId="172" priority="338">
      <formula>#REF!&lt;AQ522</formula>
    </cfRule>
    <cfRule type="expression" dxfId="171" priority="327">
      <formula>ISBLANK(AQ522)</formula>
    </cfRule>
    <cfRule type="expression" dxfId="170" priority="332">
      <formula>AQ523&gt;0</formula>
    </cfRule>
    <cfRule type="expression" dxfId="169" priority="337">
      <formula>AND(AQ523="",AQ522&lt;TODAY())</formula>
    </cfRule>
    <cfRule type="expression" dxfId="168" priority="336">
      <formula>AQ523&gt;0</formula>
    </cfRule>
    <cfRule type="expression" dxfId="167" priority="335">
      <formula>ISBLANK(AQ522)</formula>
    </cfRule>
    <cfRule type="expression" dxfId="166" priority="334">
      <formula>#REF!&lt;AQ522</formula>
    </cfRule>
    <cfRule type="expression" dxfId="165" priority="333">
      <formula>AND(AQ523="",AQ522&lt;TODAY())</formula>
    </cfRule>
    <cfRule type="expression" dxfId="164" priority="331">
      <formula>ISBLANK(AQ522)</formula>
    </cfRule>
    <cfRule type="expression" dxfId="163" priority="330">
      <formula>#REF!&lt;AQ522</formula>
    </cfRule>
    <cfRule type="expression" dxfId="162" priority="329">
      <formula>AND(AQ523="",AQ522&lt;TODAY())</formula>
    </cfRule>
    <cfRule type="expression" dxfId="161" priority="328">
      <formula>AQ523&gt;0</formula>
    </cfRule>
    <cfRule type="expression" dxfId="160" priority="326">
      <formula>#REF!&lt;AQ522</formula>
    </cfRule>
    <cfRule type="expression" dxfId="159" priority="325">
      <formula>AND(AQ523="",AQ522&lt;TODAY())</formula>
    </cfRule>
    <cfRule type="expression" dxfId="158" priority="324">
      <formula>AQ523&gt;0</formula>
    </cfRule>
  </conditionalFormatting>
  <conditionalFormatting sqref="AQ522:AR522">
    <cfRule type="expression" dxfId="157" priority="357">
      <formula>#REF!&lt;AQ522</formula>
    </cfRule>
    <cfRule type="expression" dxfId="156" priority="360">
      <formula>AND(AQ523="",AQ522&lt;TODAY())</formula>
    </cfRule>
    <cfRule type="expression" dxfId="155" priority="359">
      <formula>AQ523&gt;0</formula>
    </cfRule>
    <cfRule type="expression" dxfId="154" priority="358">
      <formula>ISBLANK(AQ522)</formula>
    </cfRule>
  </conditionalFormatting>
  <conditionalFormatting sqref="AQ479:AS479">
    <cfRule type="expression" dxfId="153" priority="1113">
      <formula>#REF!&lt;AQ479</formula>
    </cfRule>
    <cfRule type="expression" priority="1111">
      <formula>#REF!</formula>
    </cfRule>
    <cfRule type="expression" dxfId="152" priority="1112">
      <formula>#REF!&gt;AQ479</formula>
    </cfRule>
  </conditionalFormatting>
  <conditionalFormatting sqref="AQ482:AS482">
    <cfRule type="expression" dxfId="151" priority="990">
      <formula>AQ481&lt;AQ482</formula>
    </cfRule>
  </conditionalFormatting>
  <conditionalFormatting sqref="AQ501:AS501">
    <cfRule type="expression" dxfId="150" priority="1053">
      <formula>AQ500&lt;AQ501</formula>
    </cfRule>
    <cfRule type="expression" dxfId="149" priority="1054">
      <formula>AQ500&gt;AQ501</formula>
    </cfRule>
  </conditionalFormatting>
  <conditionalFormatting sqref="AQ528:AS528">
    <cfRule type="expression" dxfId="148" priority="292">
      <formula>AND(AQ529="",AQ528&lt;TODAY())</formula>
    </cfRule>
    <cfRule type="expression" dxfId="147" priority="291">
      <formula>AQ529&gt;0</formula>
    </cfRule>
  </conditionalFormatting>
  <conditionalFormatting sqref="AQ530:AS530">
    <cfRule type="expression" dxfId="146" priority="289">
      <formula>AND(AQ531="",AQ530&lt;TODAY())</formula>
    </cfRule>
    <cfRule type="expression" dxfId="145" priority="288">
      <formula>AQ531&gt;0</formula>
    </cfRule>
  </conditionalFormatting>
  <conditionalFormatting sqref="AQ532:AS532">
    <cfRule type="expression" dxfId="144" priority="170">
      <formula>AND(AQ533="",AQ532&lt;TODAY())</formula>
    </cfRule>
    <cfRule type="expression" dxfId="143" priority="169">
      <formula>AQ533&gt;0</formula>
    </cfRule>
  </conditionalFormatting>
  <conditionalFormatting sqref="AQ541:AS541">
    <cfRule type="expression" dxfId="142" priority="13">
      <formula>ISBLANK(AQ541)</formula>
    </cfRule>
    <cfRule type="expression" dxfId="141" priority="17">
      <formula>AQ542&gt;0</formula>
    </cfRule>
    <cfRule type="expression" dxfId="140" priority="19">
      <formula>AND(AQ542="",AQ541&lt;TODAY())</formula>
    </cfRule>
    <cfRule type="expression" dxfId="139" priority="21">
      <formula>#REF!&gt;AQ541</formula>
    </cfRule>
    <cfRule type="expression" dxfId="138" priority="22">
      <formula>#REF!&lt;AQ541</formula>
    </cfRule>
  </conditionalFormatting>
  <conditionalFormatting sqref="AQ542:AS542">
    <cfRule type="expression" dxfId="137" priority="23">
      <formula>AQ541&lt;AQ542</formula>
    </cfRule>
  </conditionalFormatting>
  <conditionalFormatting sqref="AQ543:AS543">
    <cfRule type="expression" dxfId="136" priority="428">
      <formula>AND(AQ544="",AQ543&lt;TODAY())</formula>
    </cfRule>
    <cfRule type="expression" dxfId="135" priority="427">
      <formula>AQ544&gt;0</formula>
    </cfRule>
    <cfRule type="expression" dxfId="134" priority="24">
      <formula>AQ544&gt;0</formula>
    </cfRule>
    <cfRule type="expression" dxfId="133" priority="25">
      <formula>AND(AQ544="",AQ543&lt;TODAY())</formula>
    </cfRule>
  </conditionalFormatting>
  <conditionalFormatting sqref="AQ544:AS544">
    <cfRule type="expression" dxfId="132" priority="12">
      <formula>AQ543&gt;AQ544</formula>
    </cfRule>
    <cfRule type="expression" dxfId="131" priority="10">
      <formula>AQ543&lt;AQ544</formula>
    </cfRule>
  </conditionalFormatting>
  <conditionalFormatting sqref="AQ460:AT460">
    <cfRule type="expression" priority="10812">
      <formula>AP459</formula>
    </cfRule>
    <cfRule type="expression" dxfId="130" priority="10815">
      <formula>AP459&lt;AQ460</formula>
    </cfRule>
    <cfRule type="expression" dxfId="129" priority="10818">
      <formula>AP459&gt;AQ460</formula>
    </cfRule>
  </conditionalFormatting>
  <conditionalFormatting sqref="AQ478:AT478">
    <cfRule type="expression" dxfId="128" priority="1049">
      <formula>#REF!&lt;AQ478</formula>
    </cfRule>
    <cfRule type="expression" dxfId="127" priority="1044">
      <formula>AQ477&gt;AQ478</formula>
    </cfRule>
    <cfRule type="expression" dxfId="126" priority="1028">
      <formula>#REF!&lt;AQ478</formula>
    </cfRule>
    <cfRule type="expression" dxfId="125" priority="1043">
      <formula>#REF!&gt;AQ478</formula>
    </cfRule>
  </conditionalFormatting>
  <conditionalFormatting sqref="AQ478:AT479">
    <cfRule type="expression" priority="1029">
      <formula>#REF!</formula>
    </cfRule>
  </conditionalFormatting>
  <conditionalFormatting sqref="AQ483:AT483">
    <cfRule type="expression" dxfId="124" priority="1127">
      <formula>#REF!&lt;AQ483</formula>
    </cfRule>
  </conditionalFormatting>
  <conditionalFormatting sqref="AQ484:AT484">
    <cfRule type="expression" dxfId="123" priority="958">
      <formula>AQ483&gt;AQ484</formula>
    </cfRule>
    <cfRule type="expression" dxfId="122" priority="957">
      <formula>AQ483&lt;AQ484</formula>
    </cfRule>
  </conditionalFormatting>
  <conditionalFormatting sqref="AQ524:AT524">
    <cfRule type="expression" dxfId="121" priority="157">
      <formula>AQ525&gt;0</formula>
    </cfRule>
    <cfRule type="expression" dxfId="120" priority="158">
      <formula>AND(AQ525="",AQ524&lt;TODAY())</formula>
    </cfRule>
  </conditionalFormatting>
  <conditionalFormatting sqref="AQ543:AT543">
    <cfRule type="expression" dxfId="119" priority="8">
      <formula>AQ544&gt;0</formula>
    </cfRule>
    <cfRule type="expression" dxfId="118" priority="9">
      <formula>AND(AQ544="",AQ543&lt;TODAY())</formula>
    </cfRule>
    <cfRule type="expression" dxfId="117" priority="7">
      <formula>ISBLANK(AQ543)</formula>
    </cfRule>
  </conditionalFormatting>
  <conditionalFormatting sqref="AR336">
    <cfRule type="expression" dxfId="116" priority="3753">
      <formula>ISBLANK(AR336)</formula>
    </cfRule>
    <cfRule type="expression" dxfId="115" priority="3755">
      <formula>AND(AR335="",AR336&lt;TODAY())</formula>
    </cfRule>
    <cfRule type="expression" dxfId="114" priority="3754">
      <formula>AR335&gt;0</formula>
    </cfRule>
  </conditionalFormatting>
  <conditionalFormatting sqref="AR383">
    <cfRule type="expression" dxfId="113" priority="3031">
      <formula>ISBLANK(AR383)</formula>
    </cfRule>
    <cfRule type="expression" dxfId="112" priority="3032">
      <formula>AR384&gt;0</formula>
    </cfRule>
    <cfRule type="expression" dxfId="111" priority="3033">
      <formula>AND(AR384="",AR383&lt;TODAY())</formula>
    </cfRule>
  </conditionalFormatting>
  <conditionalFormatting sqref="AR398">
    <cfRule type="expression" dxfId="110" priority="2680">
      <formula>ISBLANK(AR398)</formula>
    </cfRule>
    <cfRule type="expression" dxfId="109" priority="2681">
      <formula>AR399&gt;0</formula>
    </cfRule>
    <cfRule type="expression" dxfId="108" priority="2682">
      <formula>AND(AR399="",AR398&lt;TODAY())</formula>
    </cfRule>
  </conditionalFormatting>
  <conditionalFormatting sqref="AR411">
    <cfRule type="expression" dxfId="107" priority="2076">
      <formula>AR360&gt;AR411</formula>
    </cfRule>
    <cfRule type="expression" priority="2075">
      <formula>AR360</formula>
    </cfRule>
    <cfRule type="expression" dxfId="106" priority="2079">
      <formula>AR359&gt;AR411</formula>
    </cfRule>
    <cfRule type="expression" priority="2077">
      <formula>AR359</formula>
    </cfRule>
    <cfRule type="expression" dxfId="105" priority="2078">
      <formula>AR359&lt;AR411</formula>
    </cfRule>
    <cfRule type="expression" dxfId="104" priority="2074">
      <formula>AR360&lt;AR411</formula>
    </cfRule>
  </conditionalFormatting>
  <conditionalFormatting sqref="AR422">
    <cfRule type="expression" dxfId="103" priority="1932">
      <formula>AR357&lt;AR422</formula>
    </cfRule>
    <cfRule type="expression" dxfId="102" priority="1933">
      <formula>AR357&gt;AR422</formula>
    </cfRule>
    <cfRule type="expression" priority="1931">
      <formula>AR357</formula>
    </cfRule>
    <cfRule type="expression" dxfId="101" priority="1930">
      <formula>AR358&gt;AR422</formula>
    </cfRule>
    <cfRule type="expression" priority="1929">
      <formula>AR358</formula>
    </cfRule>
    <cfRule type="expression" dxfId="100" priority="1928">
      <formula>AR358&lt;AR422</formula>
    </cfRule>
  </conditionalFormatting>
  <conditionalFormatting sqref="AR423">
    <cfRule type="expression" dxfId="99" priority="1889">
      <formula>AR424&gt;0</formula>
    </cfRule>
    <cfRule type="expression" dxfId="98" priority="1890">
      <formula>AND(AR424="",AR423&lt;TODAY())</formula>
    </cfRule>
  </conditionalFormatting>
  <conditionalFormatting sqref="AR426 AO425:AS425">
    <cfRule type="expression" dxfId="97" priority="1985">
      <formula>AO419&gt;0</formula>
    </cfRule>
    <cfRule type="expression" dxfId="96" priority="1885">
      <formula>AO426&gt;0</formula>
    </cfRule>
  </conditionalFormatting>
  <conditionalFormatting sqref="AR426">
    <cfRule type="expression" dxfId="95" priority="1884">
      <formula>ISBLANK(AR426)</formula>
    </cfRule>
    <cfRule type="expression" dxfId="94" priority="1860">
      <formula>ISBLANK(AR426)</formula>
    </cfRule>
    <cfRule type="expression" dxfId="93" priority="1865">
      <formula>AND(AR427="",AR426&lt;TODAY())</formula>
    </cfRule>
    <cfRule type="expression" dxfId="92" priority="1864">
      <formula>AR427&gt;0</formula>
    </cfRule>
    <cfRule type="expression" dxfId="91" priority="1984">
      <formula>ISBLANK(AR426)</formula>
    </cfRule>
  </conditionalFormatting>
  <conditionalFormatting sqref="AR482">
    <cfRule type="expression" dxfId="90" priority="1007">
      <formula>AR483&gt;0</formula>
    </cfRule>
    <cfRule type="expression" dxfId="89" priority="1008">
      <formula>AND(AR483="",AR482&lt;TODAY())</formula>
    </cfRule>
    <cfRule type="expression" dxfId="88" priority="991">
      <formula>ISBLANK(AR482)</formula>
    </cfRule>
  </conditionalFormatting>
  <conditionalFormatting sqref="AR319:AS319">
    <cfRule type="expression" dxfId="87" priority="4500">
      <formula>#REF!&lt;AR319</formula>
    </cfRule>
    <cfRule type="expression" dxfId="86" priority="4499">
      <formula>#REF!&gt;AR319</formula>
    </cfRule>
    <cfRule type="expression" priority="4498">
      <formula>#REF!</formula>
    </cfRule>
  </conditionalFormatting>
  <conditionalFormatting sqref="AR372:AS372">
    <cfRule type="expression" dxfId="85" priority="3102">
      <formula>ISBLANK(AR372)</formula>
    </cfRule>
    <cfRule type="expression" dxfId="84" priority="3104">
      <formula>AND(AR373="",AR372&lt;TODAY())</formula>
    </cfRule>
    <cfRule type="expression" dxfId="83" priority="3103">
      <formula>AR373&gt;0</formula>
    </cfRule>
  </conditionalFormatting>
  <conditionalFormatting sqref="AR440:AS442 AO440:AQ440 AO442:AQ442">
    <cfRule type="expression" dxfId="82" priority="1589">
      <formula>#REF!&gt;AO440</formula>
    </cfRule>
  </conditionalFormatting>
  <conditionalFormatting sqref="AR441:AS441">
    <cfRule type="expression" dxfId="81" priority="1632">
      <formula>ISBLANK(AR441)</formula>
    </cfRule>
  </conditionalFormatting>
  <conditionalFormatting sqref="AR226:AT226">
    <cfRule type="expression" dxfId="80" priority="5661">
      <formula>AR227&gt;0</formula>
    </cfRule>
    <cfRule type="expression" dxfId="79" priority="5662">
      <formula>AND(AR227="",AR226&lt;TODAY())</formula>
    </cfRule>
    <cfRule type="expression" dxfId="78" priority="5663">
      <formula>AR227&gt;0</formula>
    </cfRule>
    <cfRule type="expression" dxfId="77" priority="5664">
      <formula>AND(AR227="",AR226&lt;TODAY())</formula>
    </cfRule>
  </conditionalFormatting>
  <conditionalFormatting sqref="AR297:AT297 AL298:AL299">
    <cfRule type="expression" dxfId="76" priority="4904">
      <formula>#REF!&gt;AL297</formula>
    </cfRule>
  </conditionalFormatting>
  <conditionalFormatting sqref="AR297:AT297">
    <cfRule type="expression" dxfId="75" priority="4903">
      <formula>#REF!&lt;AR297</formula>
    </cfRule>
    <cfRule type="expression" priority="4902">
      <formula>#REF!</formula>
    </cfRule>
  </conditionalFormatting>
  <conditionalFormatting sqref="AR299:AT299">
    <cfRule type="expression" dxfId="74" priority="4895">
      <formula>#REF!&gt;AR299</formula>
    </cfRule>
  </conditionalFormatting>
  <conditionalFormatting sqref="AR337:AT337">
    <cfRule type="expression" dxfId="73" priority="3752">
      <formula>#REF!&gt;AR337</formula>
    </cfRule>
    <cfRule type="expression" priority="3750">
      <formula>#REF!</formula>
    </cfRule>
    <cfRule type="expression" dxfId="72" priority="3751">
      <formula>#REF!&lt;AR337</formula>
    </cfRule>
  </conditionalFormatting>
  <conditionalFormatting sqref="AR427:AT434">
    <cfRule type="expression" priority="1802">
      <formula>#REF!</formula>
    </cfRule>
  </conditionalFormatting>
  <conditionalFormatting sqref="AR432:AT432">
    <cfRule type="expression" dxfId="71" priority="1812">
      <formula>#REF!&gt;AR432</formula>
    </cfRule>
    <cfRule type="expression" dxfId="70" priority="1813">
      <formula>#REF!&lt;AR432</formula>
    </cfRule>
  </conditionalFormatting>
  <conditionalFormatting sqref="AR434:AT434">
    <cfRule type="expression" dxfId="69" priority="1803">
      <formula>#REF!&gt;AR434</formula>
    </cfRule>
    <cfRule type="expression" dxfId="68" priority="1804">
      <formula>#REF!&lt;AR434</formula>
    </cfRule>
  </conditionalFormatting>
  <conditionalFormatting sqref="AR481:AT481">
    <cfRule type="expression" dxfId="67" priority="1136">
      <formula>ISBLANK(AR481)</formula>
    </cfRule>
    <cfRule type="expression" dxfId="66" priority="1660">
      <formula>#REF!&gt;AR481</formula>
    </cfRule>
  </conditionalFormatting>
  <conditionalFormatting sqref="AS234">
    <cfRule type="expression" priority="5685">
      <formula>#REF!</formula>
    </cfRule>
    <cfRule type="expression" dxfId="65" priority="5686">
      <formula>#REF!&lt;AS234</formula>
    </cfRule>
    <cfRule type="expression" dxfId="64" priority="5687">
      <formula>#REF!&gt;AS234</formula>
    </cfRule>
  </conditionalFormatting>
  <conditionalFormatting sqref="AS335 AE341:AI341 AT339">
    <cfRule type="expression" dxfId="63" priority="4017">
      <formula>AE334&gt;AE335</formula>
    </cfRule>
  </conditionalFormatting>
  <conditionalFormatting sqref="AS335 AE341:AI341">
    <cfRule type="expression" dxfId="62" priority="4016">
      <formula>AE334&lt;AE335</formula>
    </cfRule>
  </conditionalFormatting>
  <conditionalFormatting sqref="AS335 AT339 AE341:AI341">
    <cfRule type="expression" priority="4015">
      <formula>AE334</formula>
    </cfRule>
  </conditionalFormatting>
  <conditionalFormatting sqref="AS357">
    <cfRule type="expression" dxfId="61" priority="3566">
      <formula>AND(AS358="",AS357&lt;TODAY())</formula>
    </cfRule>
    <cfRule type="expression" dxfId="60" priority="3564">
      <formula>ISBLANK(AS357)</formula>
    </cfRule>
    <cfRule type="expression" dxfId="59" priority="3565">
      <formula>AS358&gt;0</formula>
    </cfRule>
  </conditionalFormatting>
  <conditionalFormatting sqref="AS411">
    <cfRule type="expression" dxfId="58" priority="2136">
      <formula>AT410&lt;AS411</formula>
    </cfRule>
    <cfRule type="expression" priority="2135">
      <formula>AT410</formula>
    </cfRule>
    <cfRule type="expression" dxfId="57" priority="2134">
      <formula>AT410&gt;AS411</formula>
    </cfRule>
  </conditionalFormatting>
  <conditionalFormatting sqref="AS426 AT427:AT430 AM430 AL431:AM434">
    <cfRule type="expression" dxfId="56" priority="1867">
      <formula>#REF!&gt;AL426</formula>
    </cfRule>
  </conditionalFormatting>
  <conditionalFormatting sqref="AS426">
    <cfRule type="expression" priority="1953">
      <formula>#REF!</formula>
    </cfRule>
    <cfRule type="expression" dxfId="55" priority="1954">
      <formula>#REF!&lt;AS426</formula>
    </cfRule>
  </conditionalFormatting>
  <conditionalFormatting sqref="AS459">
    <cfRule type="expression" dxfId="54" priority="10810">
      <formula>AND(#REF!="",AS459&lt;TODAY())</formula>
    </cfRule>
    <cfRule type="expression" dxfId="53" priority="10801">
      <formula>#REF!&gt;0</formula>
    </cfRule>
  </conditionalFormatting>
  <conditionalFormatting sqref="AS482">
    <cfRule type="expression" dxfId="52" priority="971">
      <formula>#REF!&gt;AS482</formula>
    </cfRule>
    <cfRule type="expression" dxfId="51" priority="972">
      <formula>#REF!&lt;AS482</formula>
    </cfRule>
    <cfRule type="expression" dxfId="50" priority="975">
      <formula>#REF!&lt;AS482</formula>
    </cfRule>
    <cfRule type="expression" dxfId="49" priority="973">
      <formula>AS481&gt;AS482</formula>
    </cfRule>
    <cfRule type="expression" dxfId="48" priority="974">
      <formula>#REF!&gt;AS482</formula>
    </cfRule>
  </conditionalFormatting>
  <conditionalFormatting sqref="AS501">
    <cfRule type="expression" dxfId="47" priority="836">
      <formula>AS500&gt;AS501</formula>
    </cfRule>
    <cfRule type="expression" dxfId="46" priority="835">
      <formula>AS500&lt;AS501</formula>
    </cfRule>
  </conditionalFormatting>
  <conditionalFormatting sqref="AS286:AT286 AE297 AT319 AR326:AT326 AT357 AT372 AS383:AT383 AS398:AT398 AT411 AE471:AT471">
    <cfRule type="expression" dxfId="45" priority="5225">
      <formula>AE285&gt;AE286</formula>
    </cfRule>
  </conditionalFormatting>
  <conditionalFormatting sqref="AS286:AT286 AE297 AT319 AR326:AT326 AT357 AT372 AS383:AT383 AS398:AT398 AT411">
    <cfRule type="expression" priority="5223">
      <formula>AE285</formula>
    </cfRule>
  </conditionalFormatting>
  <conditionalFormatting sqref="AS410:AT410">
    <cfRule type="expression" dxfId="44" priority="2133">
      <formula>AND(#REF!="",AS410&lt;TODAY())</formula>
    </cfRule>
    <cfRule type="expression" dxfId="43" priority="2132">
      <formula>#REF!&gt;0</formula>
    </cfRule>
  </conditionalFormatting>
  <conditionalFormatting sqref="AS508:AT508">
    <cfRule type="expression" dxfId="42" priority="602">
      <formula>AS507&lt;AS508</formula>
    </cfRule>
    <cfRule type="expression" dxfId="41" priority="603">
      <formula>AS507&gt;AS508</formula>
    </cfRule>
  </conditionalFormatting>
  <conditionalFormatting sqref="AS515:AT515">
    <cfRule type="expression" dxfId="40" priority="393">
      <formula>AS516&gt;0</formula>
    </cfRule>
    <cfRule type="expression" dxfId="39" priority="392">
      <formula>ISBLANK(AS515)</formula>
    </cfRule>
    <cfRule type="expression" dxfId="38" priority="394">
      <formula>AND(AS516="",AS515&lt;TODAY())</formula>
    </cfRule>
  </conditionalFormatting>
  <conditionalFormatting sqref="AS522:AT522">
    <cfRule type="expression" dxfId="37" priority="164">
      <formula>AND(AS523="",AS522&lt;TODAY())</formula>
    </cfRule>
    <cfRule type="expression" dxfId="36" priority="163">
      <formula>AS523&gt;0</formula>
    </cfRule>
    <cfRule type="expression" dxfId="35" priority="162">
      <formula>ISBLANK(AS522)</formula>
    </cfRule>
  </conditionalFormatting>
  <conditionalFormatting sqref="AT334">
    <cfRule type="expression" dxfId="34" priority="4025">
      <formula>AND(AT341="",AT334&lt;TODAY())</formula>
    </cfRule>
    <cfRule type="expression" dxfId="33" priority="4024">
      <formula>AT341&gt;0</formula>
    </cfRule>
  </conditionalFormatting>
  <conditionalFormatting sqref="AT335">
    <cfRule type="expression" dxfId="32" priority="4008">
      <formula>AT336&gt;AT335</formula>
    </cfRule>
    <cfRule type="expression" dxfId="31" priority="4007">
      <formula>AT336&lt;AT335</formula>
    </cfRule>
    <cfRule type="expression" priority="4006">
      <formula>AT336</formula>
    </cfRule>
  </conditionalFormatting>
  <conditionalFormatting sqref="AT336 AJ336:AK336 AN336">
    <cfRule type="expression" dxfId="30" priority="4022">
      <formula>AJ335&gt;0</formula>
    </cfRule>
  </conditionalFormatting>
  <conditionalFormatting sqref="AT336">
    <cfRule type="expression" dxfId="29" priority="4021">
      <formula>ISBLANK(AT336)</formula>
    </cfRule>
  </conditionalFormatting>
  <conditionalFormatting sqref="AT338">
    <cfRule type="expression" dxfId="28" priority="3971">
      <formula>AND(AT337="",AT338&lt;TODAY())</formula>
    </cfRule>
    <cfRule type="expression" dxfId="27" priority="3970">
      <formula>AT337&gt;0</formula>
    </cfRule>
    <cfRule type="expression" dxfId="26" priority="3966">
      <formula>ISBLANK(AT338)</formula>
    </cfRule>
  </conditionalFormatting>
  <conditionalFormatting sqref="AT339">
    <cfRule type="expression" priority="3989">
      <formula>AT344</formula>
    </cfRule>
    <cfRule type="expression" dxfId="25" priority="3988">
      <formula>AT344&gt;AT339</formula>
    </cfRule>
    <cfRule type="expression" dxfId="24" priority="3991">
      <formula>AT344&gt;AT339</formula>
    </cfRule>
    <cfRule type="expression" dxfId="23" priority="3987">
      <formula>AT344&lt;AT339</formula>
    </cfRule>
    <cfRule type="expression" dxfId="22" priority="3990">
      <formula>AT344&lt;AT339</formula>
    </cfRule>
  </conditionalFormatting>
  <conditionalFormatting sqref="AT357 AT372 AS286:AT286 AE297 AT319 AR326:AT326 AS383:AT383 AS398:AT398 AT411">
    <cfRule type="expression" dxfId="21" priority="5224">
      <formula>AE285&lt;AE286</formula>
    </cfRule>
  </conditionalFormatting>
  <conditionalFormatting sqref="AT378">
    <cfRule type="expression" dxfId="20" priority="3152">
      <formula>AT367&lt;AT378</formula>
    </cfRule>
    <cfRule type="expression" dxfId="19" priority="3154">
      <formula>AT367&gt;AT378</formula>
    </cfRule>
    <cfRule type="expression" priority="3153">
      <formula>AT367</formula>
    </cfRule>
  </conditionalFormatting>
  <conditionalFormatting sqref="AT410">
    <cfRule type="expression" dxfId="18" priority="2130">
      <formula>AS411&gt;0</formula>
    </cfRule>
    <cfRule type="expression" dxfId="17" priority="2131">
      <formula>AND(AS411="",AT410&lt;TODAY())</formula>
    </cfRule>
  </conditionalFormatting>
  <conditionalFormatting sqref="AT423">
    <cfRule type="expression" dxfId="16" priority="1996">
      <formula>AT417&gt;0</formula>
    </cfRule>
    <cfRule type="expression" dxfId="15" priority="1997">
      <formula>AND(AT417="",AT423&lt;TODAY())</formula>
    </cfRule>
    <cfRule type="expression" dxfId="14" priority="1999">
      <formula>AT427&gt;0</formula>
    </cfRule>
    <cfRule type="expression" dxfId="13" priority="2000">
      <formula>AND(AT427="",AT423&lt;TODAY())</formula>
    </cfRule>
  </conditionalFormatting>
  <conditionalFormatting sqref="AT425">
    <cfRule type="expression" priority="1828">
      <formula>#REF!</formula>
    </cfRule>
    <cfRule type="expression" dxfId="12" priority="1823">
      <formula>#REF!&gt;AT425</formula>
    </cfRule>
    <cfRule type="expression" dxfId="11" priority="1827">
      <formula>#REF!&lt;AT425</formula>
    </cfRule>
  </conditionalFormatting>
  <conditionalFormatting sqref="AT428">
    <cfRule type="expression" dxfId="10" priority="10259">
      <formula>#REF!&gt;AT428</formula>
    </cfRule>
    <cfRule type="expression" dxfId="9" priority="10258">
      <formula>AT498&gt;AT428</formula>
    </cfRule>
    <cfRule type="expression" priority="10256">
      <formula>AT498</formula>
    </cfRule>
    <cfRule type="expression" dxfId="8" priority="10257">
      <formula>AT498&lt;AT428</formula>
    </cfRule>
  </conditionalFormatting>
  <conditionalFormatting sqref="AT429:AT430">
    <cfRule type="expression" dxfId="7" priority="1983">
      <formula>#REF!&lt;AT429</formula>
    </cfRule>
  </conditionalFormatting>
  <conditionalFormatting sqref="AT477">
    <cfRule type="expression" dxfId="6" priority="1131">
      <formula>#REF!&gt;AT477</formula>
    </cfRule>
    <cfRule type="expression" dxfId="5" priority="1129">
      <formula>AT478&gt;0</formula>
    </cfRule>
    <cfRule type="expression" dxfId="4" priority="1133">
      <formula>#REF!&lt;AT477</formula>
    </cfRule>
    <cfRule type="expression" dxfId="3" priority="1128">
      <formula>ISBLANK(AT477)</formula>
    </cfRule>
    <cfRule type="expression" dxfId="2" priority="1130">
      <formula>AND(AT478="",AT477&lt;TODAY())</formula>
    </cfRule>
  </conditionalFormatting>
  <conditionalFormatting sqref="AT477:AT478">
    <cfRule type="expression" priority="1027">
      <formula>#REF!</formula>
    </cfRule>
  </conditionalFormatting>
  <conditionalFormatting sqref="AT481">
    <cfRule type="expression" dxfId="1" priority="1659">
      <formula>AND(AT482="",AT481&lt;TODAY())</formula>
    </cfRule>
    <cfRule type="expression" dxfId="0" priority="1658">
      <formula>AT482&gt;0</formula>
    </cfRule>
  </conditionalFormatting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b14bfe-8fa7-4996-bbbc-3030762f588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FA85CDE6C05747BD67C8DE22747CE5" ma:contentTypeVersion="14" ma:contentTypeDescription="Create a new document." ma:contentTypeScope="" ma:versionID="4f4437178e0add1671784648e9a6a9f1">
  <xsd:schema xmlns:xsd="http://www.w3.org/2001/XMLSchema" xmlns:xs="http://www.w3.org/2001/XMLSchema" xmlns:p="http://schemas.microsoft.com/office/2006/metadata/properties" xmlns:ns3="4cb14bfe-8fa7-4996-bbbc-3030762f588e" xmlns:ns4="4b3000ef-2a75-49d3-8a44-ac8fc49f7a7a" targetNamespace="http://schemas.microsoft.com/office/2006/metadata/properties" ma:root="true" ma:fieldsID="3863628679dd614052d9314e081a95e1" ns3:_="" ns4:_="">
    <xsd:import namespace="4cb14bfe-8fa7-4996-bbbc-3030762f588e"/>
    <xsd:import namespace="4b3000ef-2a75-49d3-8a44-ac8fc49f7a7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14bfe-8fa7-4996-bbbc-3030762f58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3000ef-2a75-49d3-8a44-ac8fc49f7a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729E74-7152-44A9-8496-54169A7DC9DC}">
  <ds:schemaRefs>
    <ds:schemaRef ds:uri="4b3000ef-2a75-49d3-8a44-ac8fc49f7a7a"/>
    <ds:schemaRef ds:uri="http://purl.org/dc/dcmitype/"/>
    <ds:schemaRef ds:uri="4cb14bfe-8fa7-4996-bbbc-3030762f588e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8620459-3305-49E5-902B-42D7067B9D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76BE50-3BC0-4DC4-A6BB-FD3A5952C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b14bfe-8fa7-4996-bbbc-3030762f588e"/>
    <ds:schemaRef ds:uri="4b3000ef-2a75-49d3-8a44-ac8fc49f7a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Zhi Quan</dc:creator>
  <cp:lastModifiedBy>Guo, Yun Bo</cp:lastModifiedBy>
  <dcterms:created xsi:type="dcterms:W3CDTF">2024-04-19T04:39:39Z</dcterms:created>
  <dcterms:modified xsi:type="dcterms:W3CDTF">2026-08-10T00:41:46Z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791f77-3d39-4d72-9277-ac879ec799ed_Enabled">
    <vt:lpwstr>true</vt:lpwstr>
  </property>
  <property fmtid="{D5CDD505-2E9C-101B-9397-08002B2CF9AE}" pid="3" name="MSIP_Label_36791f77-3d39-4d72-9277-ac879ec799ed_SetDate">
    <vt:lpwstr>2024-04-19T04:41:14Z</vt:lpwstr>
  </property>
  <property fmtid="{D5CDD505-2E9C-101B-9397-08002B2CF9AE}" pid="4" name="MSIP_Label_36791f77-3d39-4d72-9277-ac879ec799ed_Method">
    <vt:lpwstr>Standard</vt:lpwstr>
  </property>
  <property fmtid="{D5CDD505-2E9C-101B-9397-08002B2CF9AE}" pid="5" name="MSIP_Label_36791f77-3d39-4d72-9277-ac879ec799ed_Name">
    <vt:lpwstr>restricted-default</vt:lpwstr>
  </property>
  <property fmtid="{D5CDD505-2E9C-101B-9397-08002B2CF9AE}" pid="6" name="MSIP_Label_36791f77-3d39-4d72-9277-ac879ec799ed_SiteId">
    <vt:lpwstr>254ba93e-1f6f-48f3-90e6-e2766664b477</vt:lpwstr>
  </property>
  <property fmtid="{D5CDD505-2E9C-101B-9397-08002B2CF9AE}" pid="7" name="MSIP_Label_36791f77-3d39-4d72-9277-ac879ec799ed_ActionId">
    <vt:lpwstr>49104156-6689-4c01-b0c1-6bba5bac47e7</vt:lpwstr>
  </property>
  <property fmtid="{D5CDD505-2E9C-101B-9397-08002B2CF9AE}" pid="8" name="MSIP_Label_36791f77-3d39-4d72-9277-ac879ec799ed_ContentBits">
    <vt:lpwstr>0</vt:lpwstr>
  </property>
  <property fmtid="{D5CDD505-2E9C-101B-9397-08002B2CF9AE}" pid="9" name="ContentTypeId">
    <vt:lpwstr>0x0101001AFA85CDE6C05747BD67C8DE22747CE5</vt:lpwstr>
  </property>
</Properties>
</file>